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api-test\Testcases\"/>
    </mc:Choice>
  </mc:AlternateContent>
  <xr:revisionPtr revIDLastSave="0" documentId="13_ncr:1_{267FC8B4-8409-4CD8-825C-8AAEE2FADF2E}" xr6:coauthVersionLast="45" xr6:coauthVersionMax="45" xr10:uidLastSave="{00000000-0000-0000-0000-000000000000}"/>
  <bookViews>
    <workbookView xWindow="20370" yWindow="-4680" windowWidth="29040" windowHeight="15990" activeTab="2" xr2:uid="{00000000-000D-0000-FFFF-FFFF00000000}"/>
  </bookViews>
  <sheets>
    <sheet name="Version" sheetId="3" r:id="rId1"/>
    <sheet name="Summary" sheetId="5" r:id="rId2"/>
    <sheet name="Scenario Test" sheetId="4" r:id="rId3"/>
    <sheet name="TestCase" sheetId="1" r:id="rId4"/>
    <sheet name="C#" sheetId="7" r:id="rId5"/>
    <sheet name="UpdateData" sheetId="6" r:id="rId6"/>
  </sheets>
  <externalReferences>
    <externalReference r:id="rId7"/>
  </externalReferences>
  <definedNames>
    <definedName name="_xlnm._FilterDatabase" localSheetId="3" hidden="1">TestCase!$A$5:$N$248</definedName>
    <definedName name="Pass">'[1]Test Case_ILC'!$H$13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2" i="1" l="1"/>
  <c r="B92" i="1"/>
  <c r="B133" i="1"/>
  <c r="B132" i="1"/>
  <c r="B131" i="1"/>
  <c r="B130" i="1"/>
  <c r="B129" i="1"/>
  <c r="B128" i="1"/>
  <c r="B127" i="1"/>
  <c r="B126" i="1"/>
  <c r="B125" i="1"/>
  <c r="B124" i="1"/>
  <c r="B54" i="1"/>
  <c r="B36" i="1"/>
  <c r="B35" i="1"/>
  <c r="I10" i="4" l="1"/>
  <c r="H10" i="4"/>
  <c r="G10" i="4"/>
  <c r="F10" i="4"/>
  <c r="E10" i="4"/>
  <c r="D10" i="4"/>
  <c r="C10" i="4"/>
  <c r="J10" i="4" l="1"/>
  <c r="O10" i="4" s="1"/>
  <c r="B96" i="1"/>
  <c r="B97" i="1"/>
  <c r="B32" i="1"/>
  <c r="B12" i="1"/>
  <c r="B105" i="1"/>
  <c r="B104" i="1"/>
  <c r="B103" i="1"/>
  <c r="B102" i="1"/>
  <c r="B101" i="1"/>
  <c r="B100" i="1"/>
  <c r="B99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36" i="1"/>
  <c r="B135" i="1"/>
  <c r="B134" i="1"/>
  <c r="B123" i="1"/>
  <c r="B122" i="1"/>
  <c r="B121" i="1"/>
  <c r="B120" i="1"/>
  <c r="B119" i="1"/>
  <c r="B118" i="1"/>
  <c r="B143" i="1"/>
  <c r="B141" i="1"/>
  <c r="B138" i="1"/>
  <c r="B137" i="1"/>
  <c r="B89" i="1"/>
  <c r="B88" i="1"/>
  <c r="B90" i="1"/>
  <c r="B87" i="1"/>
  <c r="B86" i="1"/>
  <c r="B83" i="1"/>
  <c r="B82" i="1"/>
  <c r="B52" i="1"/>
  <c r="B51" i="1"/>
  <c r="B50" i="1"/>
  <c r="B64" i="1"/>
  <c r="B65" i="1"/>
  <c r="B62" i="1"/>
  <c r="B61" i="1"/>
  <c r="B69" i="1"/>
  <c r="B68" i="1"/>
  <c r="B67" i="1"/>
  <c r="B59" i="1"/>
  <c r="B58" i="1"/>
  <c r="B66" i="1"/>
  <c r="B63" i="1"/>
  <c r="B60" i="1"/>
  <c r="B56" i="1"/>
  <c r="B55" i="1"/>
  <c r="B71" i="1"/>
  <c r="B72" i="1"/>
  <c r="B53" i="1"/>
  <c r="B73" i="1"/>
  <c r="B74" i="1"/>
  <c r="B79" i="1"/>
  <c r="B78" i="1"/>
  <c r="B77" i="1"/>
  <c r="B76" i="1"/>
  <c r="B75" i="1"/>
  <c r="B70" i="1"/>
  <c r="B57" i="1"/>
  <c r="B48" i="1"/>
  <c r="B47" i="1"/>
  <c r="B46" i="1"/>
  <c r="B45" i="1"/>
  <c r="B44" i="1"/>
  <c r="B43" i="1"/>
  <c r="B42" i="1"/>
  <c r="B41" i="1"/>
  <c r="B84" i="1"/>
  <c r="B81" i="1"/>
  <c r="B80" i="1"/>
  <c r="B49" i="1"/>
  <c r="B91" i="1"/>
  <c r="B85" i="1"/>
  <c r="B207" i="1"/>
  <c r="B213" i="1"/>
  <c r="B231" i="1"/>
  <c r="B181" i="1"/>
  <c r="B230" i="1"/>
  <c r="B212" i="1"/>
  <c r="B206" i="1"/>
  <c r="B201" i="1"/>
  <c r="B191" i="1"/>
  <c r="B194" i="1"/>
  <c r="B195" i="1"/>
  <c r="B185" i="1"/>
  <c r="B184" i="1"/>
  <c r="B199" i="1"/>
  <c r="B198" i="1"/>
  <c r="B189" i="1"/>
  <c r="B188" i="1"/>
  <c r="B182" i="1"/>
  <c r="B179" i="1"/>
  <c r="B178" i="1"/>
  <c r="B174" i="1"/>
  <c r="B173" i="1"/>
  <c r="B220" i="1"/>
  <c r="B219" i="1"/>
  <c r="B218" i="1"/>
  <c r="B217" i="1"/>
  <c r="B216" i="1"/>
  <c r="B225" i="1"/>
  <c r="B224" i="1"/>
  <c r="B158" i="1"/>
  <c r="B157" i="1"/>
  <c r="B163" i="1"/>
  <c r="B162" i="1"/>
  <c r="B148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29" i="1"/>
  <c r="B228" i="1"/>
  <c r="B227" i="1"/>
  <c r="B226" i="1"/>
  <c r="B223" i="1"/>
  <c r="B222" i="1"/>
  <c r="B221" i="1"/>
  <c r="B215" i="1"/>
  <c r="B214" i="1"/>
  <c r="B211" i="1"/>
  <c r="B210" i="1"/>
  <c r="B209" i="1"/>
  <c r="B208" i="1"/>
  <c r="B205" i="1"/>
  <c r="B204" i="1"/>
  <c r="B203" i="1"/>
  <c r="B202" i="1"/>
  <c r="B200" i="1"/>
  <c r="B197" i="1"/>
  <c r="B196" i="1"/>
  <c r="B193" i="1"/>
  <c r="B192" i="1"/>
  <c r="B190" i="1"/>
  <c r="B187" i="1"/>
  <c r="B186" i="1"/>
  <c r="B183" i="1"/>
  <c r="B180" i="1"/>
  <c r="B177" i="1"/>
  <c r="B176" i="1"/>
  <c r="B175" i="1"/>
  <c r="B172" i="1"/>
  <c r="B171" i="1"/>
  <c r="B170" i="1"/>
  <c r="B169" i="1"/>
  <c r="B168" i="1"/>
  <c r="B167" i="1"/>
  <c r="B166" i="1"/>
  <c r="B151" i="1"/>
  <c r="B150" i="1"/>
  <c r="B149" i="1"/>
  <c r="B147" i="1"/>
  <c r="B146" i="1"/>
  <c r="B145" i="1"/>
  <c r="B144" i="1"/>
  <c r="B140" i="1"/>
  <c r="B139" i="1"/>
  <c r="B98" i="1"/>
  <c r="B95" i="1"/>
  <c r="B94" i="1"/>
  <c r="B93" i="1"/>
  <c r="B160" i="1"/>
  <c r="B159" i="1"/>
  <c r="B156" i="1"/>
  <c r="B155" i="1"/>
  <c r="B154" i="1"/>
  <c r="B153" i="1"/>
  <c r="B152" i="1"/>
  <c r="B165" i="1"/>
  <c r="B164" i="1"/>
  <c r="B161" i="1"/>
  <c r="B40" i="1"/>
  <c r="B39" i="1"/>
  <c r="B38" i="1"/>
  <c r="B37" i="1"/>
  <c r="B34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8" i="1"/>
  <c r="B9" i="1"/>
  <c r="B10" i="1"/>
  <c r="B11" i="1"/>
  <c r="B13" i="1"/>
  <c r="L10" i="4" l="1"/>
  <c r="K10" i="4"/>
  <c r="M10" i="4"/>
  <c r="N10" i="4"/>
  <c r="P10" i="4"/>
  <c r="B7" i="1"/>
  <c r="B6" i="1" l="1"/>
  <c r="B33" i="1"/>
  <c r="B31" i="1"/>
  <c r="G38" i="4" l="1"/>
  <c r="B15" i="1"/>
  <c r="H38" i="4"/>
  <c r="E38" i="4" l="1"/>
  <c r="F38" i="4"/>
  <c r="D38" i="4"/>
  <c r="I38" i="4"/>
  <c r="C38" i="4"/>
  <c r="H24" i="4"/>
  <c r="E24" i="4"/>
  <c r="D24" i="4"/>
  <c r="F24" i="4"/>
  <c r="G24" i="4"/>
  <c r="I24" i="4"/>
  <c r="C24" i="4"/>
  <c r="H23" i="4"/>
  <c r="E23" i="4"/>
  <c r="I23" i="4"/>
  <c r="C23" i="4"/>
  <c r="D23" i="4"/>
  <c r="F23" i="4"/>
  <c r="G23" i="4"/>
  <c r="H21" i="4"/>
  <c r="C20" i="4"/>
  <c r="E21" i="4"/>
  <c r="I21" i="4"/>
  <c r="D21" i="4"/>
  <c r="G21" i="4"/>
  <c r="F21" i="4"/>
  <c r="G20" i="4"/>
  <c r="I20" i="4"/>
  <c r="F20" i="4"/>
  <c r="C21" i="4"/>
  <c r="H20" i="4"/>
  <c r="E20" i="4"/>
  <c r="D20" i="4"/>
  <c r="H22" i="4"/>
  <c r="C22" i="4"/>
  <c r="D22" i="4"/>
  <c r="F22" i="4"/>
  <c r="G22" i="4"/>
  <c r="E22" i="4"/>
  <c r="I22" i="4"/>
  <c r="H19" i="4"/>
  <c r="C19" i="4"/>
  <c r="D19" i="4"/>
  <c r="F19" i="4"/>
  <c r="G19" i="4"/>
  <c r="E19" i="4"/>
  <c r="I19" i="4"/>
  <c r="D29" i="4"/>
  <c r="E30" i="4"/>
  <c r="D30" i="4"/>
  <c r="C29" i="4"/>
  <c r="G29" i="4"/>
  <c r="F29" i="4"/>
  <c r="G30" i="4"/>
  <c r="F30" i="4"/>
  <c r="E29" i="4"/>
  <c r="C30" i="4"/>
  <c r="H29" i="4"/>
  <c r="I30" i="4"/>
  <c r="H30" i="4"/>
  <c r="I29" i="4"/>
  <c r="D32" i="4"/>
  <c r="C33" i="4"/>
  <c r="D33" i="4"/>
  <c r="I32" i="4"/>
  <c r="F33" i="4"/>
  <c r="E33" i="4"/>
  <c r="H32" i="4"/>
  <c r="G32" i="4"/>
  <c r="H33" i="4"/>
  <c r="C32" i="4"/>
  <c r="I33" i="4"/>
  <c r="E32" i="4"/>
  <c r="F32" i="4"/>
  <c r="G33" i="4"/>
  <c r="D27" i="4"/>
  <c r="I27" i="4"/>
  <c r="H27" i="4"/>
  <c r="E27" i="4"/>
  <c r="G27" i="4"/>
  <c r="C27" i="4"/>
  <c r="F27" i="4"/>
  <c r="H25" i="4"/>
  <c r="D17" i="4"/>
  <c r="C25" i="4"/>
  <c r="C17" i="4"/>
  <c r="D18" i="4"/>
  <c r="I17" i="4"/>
  <c r="G18" i="4"/>
  <c r="I18" i="4"/>
  <c r="C18" i="4"/>
  <c r="F17" i="4"/>
  <c r="D25" i="4"/>
  <c r="F18" i="4"/>
  <c r="E17" i="4"/>
  <c r="E18" i="4"/>
  <c r="F25" i="4"/>
  <c r="I25" i="4"/>
  <c r="H17" i="4"/>
  <c r="G25" i="4"/>
  <c r="G17" i="4"/>
  <c r="H18" i="4"/>
  <c r="E25" i="4"/>
  <c r="B14" i="1"/>
  <c r="H13" i="4"/>
  <c r="C14" i="4"/>
  <c r="I14" i="4"/>
  <c r="I12" i="4"/>
  <c r="F15" i="4"/>
  <c r="H12" i="4"/>
  <c r="E13" i="4"/>
  <c r="E12" i="4"/>
  <c r="C13" i="4"/>
  <c r="H15" i="4"/>
  <c r="D13" i="4"/>
  <c r="G12" i="4"/>
  <c r="E14" i="4"/>
  <c r="E15" i="4"/>
  <c r="H14" i="4"/>
  <c r="D12" i="4"/>
  <c r="F14" i="4"/>
  <c r="C12" i="4"/>
  <c r="G14" i="4"/>
  <c r="D15" i="4"/>
  <c r="F12" i="4"/>
  <c r="G15" i="4"/>
  <c r="G13" i="4"/>
  <c r="I13" i="4"/>
  <c r="D14" i="4"/>
  <c r="I15" i="4"/>
  <c r="C15" i="4"/>
  <c r="F13" i="4"/>
  <c r="J38" i="4" l="1"/>
  <c r="O38" i="4" s="1"/>
  <c r="J24" i="4"/>
  <c r="N24" i="4" s="1"/>
  <c r="J23" i="4"/>
  <c r="N23" i="4" s="1"/>
  <c r="J21" i="4"/>
  <c r="N21" i="4" s="1"/>
  <c r="J20" i="4"/>
  <c r="P20" i="4" s="1"/>
  <c r="J22" i="4"/>
  <c r="N22" i="4" s="1"/>
  <c r="J19" i="4"/>
  <c r="N19" i="4" s="1"/>
  <c r="J30" i="4"/>
  <c r="N30" i="4" s="1"/>
  <c r="J29" i="4"/>
  <c r="K29" i="4" s="1"/>
  <c r="J33" i="4"/>
  <c r="K33" i="4" s="1"/>
  <c r="J32" i="4"/>
  <c r="M32" i="4" s="1"/>
  <c r="J27" i="4"/>
  <c r="O27" i="4" s="1"/>
  <c r="J17" i="4"/>
  <c r="K17" i="4" s="1"/>
  <c r="J25" i="4"/>
  <c r="N25" i="4" s="1"/>
  <c r="J18" i="4"/>
  <c r="P18" i="4" s="1"/>
  <c r="J15" i="4"/>
  <c r="O15" i="4" s="1"/>
  <c r="J12" i="4"/>
  <c r="K12" i="4" s="1"/>
  <c r="J14" i="4"/>
  <c r="O14" i="4" s="1"/>
  <c r="J13" i="4"/>
  <c r="L13" i="4" s="1"/>
  <c r="K38" i="4" l="1"/>
  <c r="M38" i="4"/>
  <c r="N38" i="4"/>
  <c r="P38" i="4"/>
  <c r="L38" i="4"/>
  <c r="N15" i="4"/>
  <c r="P23" i="4"/>
  <c r="K23" i="4"/>
  <c r="P21" i="4"/>
  <c r="L23" i="4"/>
  <c r="P24" i="4"/>
  <c r="M23" i="4"/>
  <c r="L24" i="4"/>
  <c r="N20" i="4"/>
  <c r="O23" i="4"/>
  <c r="O24" i="4"/>
  <c r="K24" i="4"/>
  <c r="M20" i="4"/>
  <c r="M24" i="4"/>
  <c r="O30" i="4"/>
  <c r="P25" i="4"/>
  <c r="K20" i="4"/>
  <c r="L20" i="4"/>
  <c r="K21" i="4"/>
  <c r="M21" i="4"/>
  <c r="O20" i="4"/>
  <c r="L21" i="4"/>
  <c r="O21" i="4"/>
  <c r="K19" i="4"/>
  <c r="K22" i="4"/>
  <c r="P22" i="4"/>
  <c r="M22" i="4"/>
  <c r="O22" i="4"/>
  <c r="L22" i="4"/>
  <c r="P15" i="4"/>
  <c r="P30" i="4"/>
  <c r="P19" i="4"/>
  <c r="M19" i="4"/>
  <c r="L17" i="4"/>
  <c r="L30" i="4"/>
  <c r="O19" i="4"/>
  <c r="L19" i="4"/>
  <c r="M30" i="4"/>
  <c r="K30" i="4"/>
  <c r="M17" i="4"/>
  <c r="P29" i="4"/>
  <c r="N29" i="4"/>
  <c r="P17" i="4"/>
  <c r="O17" i="4"/>
  <c r="L27" i="4"/>
  <c r="P32" i="4"/>
  <c r="N33" i="4"/>
  <c r="O29" i="4"/>
  <c r="L29" i="4"/>
  <c r="M29" i="4"/>
  <c r="N17" i="4"/>
  <c r="N32" i="4"/>
  <c r="K32" i="4"/>
  <c r="L33" i="4"/>
  <c r="L32" i="4"/>
  <c r="O33" i="4"/>
  <c r="O32" i="4"/>
  <c r="M33" i="4"/>
  <c r="P33" i="4"/>
  <c r="L15" i="4"/>
  <c r="N12" i="4"/>
  <c r="M15" i="4"/>
  <c r="K15" i="4"/>
  <c r="K25" i="4"/>
  <c r="K27" i="4"/>
  <c r="M27" i="4"/>
  <c r="P12" i="4"/>
  <c r="P27" i="4"/>
  <c r="N27" i="4"/>
  <c r="N14" i="4"/>
  <c r="L14" i="4"/>
  <c r="P14" i="4"/>
  <c r="L18" i="4"/>
  <c r="M18" i="4"/>
  <c r="O18" i="4"/>
  <c r="M14" i="4"/>
  <c r="K14" i="4"/>
  <c r="K18" i="4"/>
  <c r="M25" i="4"/>
  <c r="O25" i="4"/>
  <c r="L25" i="4"/>
  <c r="N18" i="4"/>
  <c r="M12" i="4"/>
  <c r="N13" i="4"/>
  <c r="K13" i="4"/>
  <c r="O12" i="4"/>
  <c r="P13" i="4"/>
  <c r="M13" i="4"/>
  <c r="O13" i="4"/>
  <c r="L12" i="4"/>
  <c r="C9" i="5" l="1"/>
  <c r="D9" i="4" l="1"/>
  <c r="F9" i="4" l="1"/>
  <c r="I9" i="4"/>
  <c r="E9" i="4"/>
  <c r="H9" i="4"/>
  <c r="G9" i="4"/>
  <c r="C9" i="4"/>
  <c r="H8" i="4"/>
  <c r="D8" i="4"/>
  <c r="F7" i="4"/>
  <c r="E7" i="4"/>
  <c r="G7" i="4"/>
  <c r="G8" i="4"/>
  <c r="C8" i="4"/>
  <c r="I7" i="4"/>
  <c r="I8" i="4"/>
  <c r="C7" i="4"/>
  <c r="F8" i="4"/>
  <c r="H7" i="4"/>
  <c r="D7" i="4"/>
  <c r="E8" i="4"/>
  <c r="D13" i="5"/>
  <c r="E13" i="5"/>
  <c r="F13" i="5"/>
  <c r="G13" i="5"/>
  <c r="H13" i="5"/>
  <c r="I13" i="5"/>
  <c r="D12" i="5"/>
  <c r="E12" i="5"/>
  <c r="F12" i="5"/>
  <c r="G12" i="5"/>
  <c r="H12" i="5"/>
  <c r="I12" i="5"/>
  <c r="C13" i="5"/>
  <c r="C12" i="5"/>
  <c r="D23" i="5"/>
  <c r="E23" i="5"/>
  <c r="F23" i="5"/>
  <c r="G23" i="5"/>
  <c r="H23" i="5"/>
  <c r="I23" i="5"/>
  <c r="C23" i="5"/>
  <c r="D22" i="5"/>
  <c r="E22" i="5"/>
  <c r="F22" i="5"/>
  <c r="G22" i="5"/>
  <c r="H22" i="5"/>
  <c r="I22" i="5"/>
  <c r="C22" i="5"/>
  <c r="D21" i="5"/>
  <c r="E21" i="5"/>
  <c r="F21" i="5"/>
  <c r="G21" i="5"/>
  <c r="H21" i="5"/>
  <c r="I21" i="5"/>
  <c r="C21" i="5"/>
  <c r="D20" i="5"/>
  <c r="E20" i="5"/>
  <c r="F20" i="5"/>
  <c r="G20" i="5"/>
  <c r="H20" i="5"/>
  <c r="I20" i="5"/>
  <c r="C20" i="5"/>
  <c r="D19" i="5"/>
  <c r="E19" i="5"/>
  <c r="F19" i="5"/>
  <c r="G19" i="5"/>
  <c r="H19" i="5"/>
  <c r="I19" i="5"/>
  <c r="C19" i="5"/>
  <c r="J9" i="4" l="1"/>
  <c r="L9" i="4" s="1"/>
  <c r="J8" i="4"/>
  <c r="O8" i="4" s="1"/>
  <c r="J7" i="4"/>
  <c r="H36" i="4"/>
  <c r="G36" i="4"/>
  <c r="G35" i="4"/>
  <c r="F36" i="4"/>
  <c r="F35" i="4"/>
  <c r="H35" i="4"/>
  <c r="H39" i="4" s="1"/>
  <c r="E11" i="5"/>
  <c r="F11" i="5"/>
  <c r="G11" i="5"/>
  <c r="H11" i="5"/>
  <c r="I11" i="5"/>
  <c r="D11" i="5"/>
  <c r="E10" i="5"/>
  <c r="F10" i="5"/>
  <c r="G10" i="5"/>
  <c r="H10" i="5"/>
  <c r="I10" i="5"/>
  <c r="D10" i="5"/>
  <c r="E9" i="5"/>
  <c r="F9" i="5"/>
  <c r="G9" i="5"/>
  <c r="H9" i="5"/>
  <c r="H14" i="5" s="1"/>
  <c r="I9" i="5"/>
  <c r="D9" i="5"/>
  <c r="I14" i="5" l="1"/>
  <c r="F14" i="5"/>
  <c r="E14" i="5"/>
  <c r="D14" i="5"/>
  <c r="F39" i="4"/>
  <c r="G39" i="4"/>
  <c r="C39" i="5" s="1"/>
  <c r="P7" i="4"/>
  <c r="P9" i="4"/>
  <c r="O9" i="4"/>
  <c r="K9" i="4"/>
  <c r="M9" i="4"/>
  <c r="N9" i="4"/>
  <c r="P8" i="4"/>
  <c r="L7" i="4"/>
  <c r="O7" i="4"/>
  <c r="N7" i="4"/>
  <c r="K7" i="4"/>
  <c r="M7" i="4"/>
  <c r="K8" i="4"/>
  <c r="L8" i="4"/>
  <c r="M8" i="4"/>
  <c r="N8" i="4"/>
  <c r="G14" i="5"/>
  <c r="C24" i="5"/>
  <c r="C11" i="5"/>
  <c r="C10" i="5"/>
  <c r="C14" i="5" l="1"/>
  <c r="C38" i="5"/>
  <c r="C35" i="4"/>
  <c r="D35" i="4"/>
  <c r="E36" i="4"/>
  <c r="E35" i="4"/>
  <c r="I35" i="4"/>
  <c r="E39" i="4" l="1"/>
  <c r="J35" i="4"/>
  <c r="D24" i="5"/>
  <c r="C40" i="5"/>
  <c r="K35" i="4" l="1"/>
  <c r="P35" i="4"/>
  <c r="O35" i="4"/>
  <c r="N35" i="4"/>
  <c r="L35" i="4"/>
  <c r="M35" i="4"/>
  <c r="E24" i="5"/>
  <c r="C41" i="5" l="1"/>
  <c r="F24" i="5"/>
  <c r="G24" i="5" l="1"/>
  <c r="I36" i="4"/>
  <c r="D36" i="4"/>
  <c r="C36" i="4"/>
  <c r="I39" i="4" l="1"/>
  <c r="D39" i="4"/>
  <c r="C37" i="5" s="1"/>
  <c r="C39" i="4"/>
  <c r="C36" i="5" s="1"/>
  <c r="H24" i="5"/>
  <c r="I24" i="5"/>
  <c r="J36" i="4"/>
  <c r="J39" i="4" l="1"/>
  <c r="N36" i="4"/>
  <c r="P36" i="4"/>
  <c r="O36" i="4"/>
  <c r="M36" i="4"/>
  <c r="K36" i="4"/>
  <c r="L36" i="4"/>
  <c r="N39" i="4" l="1"/>
  <c r="C30" i="5" s="1"/>
  <c r="M39" i="4"/>
  <c r="C33" i="5" s="1"/>
  <c r="O39" i="4"/>
  <c r="C31" i="5" s="1"/>
  <c r="L39" i="4"/>
  <c r="P39" i="4"/>
  <c r="C32" i="5" s="1"/>
  <c r="C5" i="5"/>
  <c r="K39" i="4" l="1"/>
  <c r="C28" i="5" s="1"/>
  <c r="C29" i="5"/>
  <c r="C15" i="5"/>
  <c r="D15" i="5" s="1"/>
  <c r="C25" i="5"/>
  <c r="D25" i="5" s="1"/>
  <c r="E25" i="5" s="1"/>
  <c r="F25" i="5" s="1"/>
  <c r="G25" i="5" s="1"/>
  <c r="H25" i="5" s="1"/>
  <c r="I25" i="5" s="1"/>
  <c r="E15" i="5" l="1"/>
  <c r="F15" i="5" s="1"/>
  <c r="G15" i="5" s="1"/>
  <c r="H15" i="5" s="1"/>
  <c r="I15" i="5" s="1"/>
</calcChain>
</file>

<file path=xl/sharedStrings.xml><?xml version="1.0" encoding="utf-8"?>
<sst xmlns="http://schemas.openxmlformats.org/spreadsheetml/2006/main" count="1630" uniqueCount="589">
  <si>
    <t>Condition</t>
  </si>
  <si>
    <t>Expected Result</t>
  </si>
  <si>
    <t>Result</t>
  </si>
  <si>
    <t>Comments</t>
  </si>
  <si>
    <t>Editor</t>
  </si>
  <si>
    <t>+</t>
  </si>
  <si>
    <t>Version history</t>
  </si>
  <si>
    <t>Scenario ID</t>
  </si>
  <si>
    <t>Remark</t>
  </si>
  <si>
    <t>Scenario name</t>
  </si>
  <si>
    <t>Pass</t>
  </si>
  <si>
    <t>Fail</t>
  </si>
  <si>
    <t>Total</t>
  </si>
  <si>
    <t>TEST CASES</t>
  </si>
  <si>
    <t>SUMMARY</t>
  </si>
  <si>
    <t>Create date</t>
  </si>
  <si>
    <t>Block</t>
  </si>
  <si>
    <t>Bàn giao test case</t>
  </si>
  <si>
    <t>Ngày</t>
  </si>
  <si>
    <t>Giờ</t>
  </si>
  <si>
    <t>Actual execution</t>
  </si>
  <si>
    <t>Not yet execution</t>
  </si>
  <si>
    <t>-</t>
  </si>
  <si>
    <t>Test
condition ID</t>
  </si>
  <si>
    <t>Test lần 1</t>
  </si>
  <si>
    <t>Test lần 2</t>
  </si>
  <si>
    <t>Execute test case lần 1 theo ngày</t>
  </si>
  <si>
    <t>Execute test case lần 2 theo ngày</t>
  </si>
  <si>
    <t xml:space="preserve">                                Date
Status</t>
  </si>
  <si>
    <t>Percent pass</t>
  </si>
  <si>
    <t>Percent fail</t>
  </si>
  <si>
    <t>Percent block</t>
  </si>
  <si>
    <t>Percent execute test case</t>
  </si>
  <si>
    <t>Execute test case</t>
  </si>
  <si>
    <t>Tổng số case</t>
  </si>
  <si>
    <t>Environment:</t>
  </si>
  <si>
    <t>Test 
case ID</t>
  </si>
  <si>
    <t>Maker</t>
  </si>
  <si>
    <t>Revision Date</t>
  </si>
  <si>
    <t>Checker</t>
  </si>
  <si>
    <t>Approval Date</t>
  </si>
  <si>
    <t>Document Changes</t>
  </si>
  <si>
    <t xml:space="preserve">Version </t>
  </si>
  <si>
    <t>Update date</t>
  </si>
  <si>
    <t>Pending</t>
  </si>
  <si>
    <t>Not Completed</t>
  </si>
  <si>
    <r>
      <rPr>
        <b/>
        <i/>
        <sz val="10"/>
        <color theme="1"/>
        <rFont val="Arial"/>
        <family val="2"/>
      </rPr>
      <t>Remark</t>
    </r>
    <r>
      <rPr>
        <sz val="10"/>
        <color theme="1"/>
        <rFont val="Arial"/>
        <family val="2"/>
      </rPr>
      <t>: Status of Test Scenario on section “Overall Status”:</t>
    </r>
  </si>
  <si>
    <r>
      <t xml:space="preserve">- </t>
    </r>
    <r>
      <rPr>
        <b/>
        <sz val="10"/>
        <color theme="1"/>
        <rFont val="Arial"/>
        <family val="2"/>
      </rPr>
      <t>Passed</t>
    </r>
    <r>
      <rPr>
        <sz val="10"/>
        <color theme="1"/>
        <rFont val="Arial"/>
        <family val="2"/>
      </rPr>
      <t xml:space="preserve"> = Test Scenario has been tested as planned and application works as expected result.</t>
    </r>
  </si>
  <si>
    <r>
      <t xml:space="preserve">- </t>
    </r>
    <r>
      <rPr>
        <b/>
        <sz val="10"/>
        <color theme="1"/>
        <rFont val="Arial"/>
        <family val="2"/>
      </rPr>
      <t>Failed</t>
    </r>
    <r>
      <rPr>
        <sz val="10"/>
        <color theme="1"/>
        <rFont val="Arial"/>
        <family val="2"/>
      </rPr>
      <t xml:space="preserve"> = Test Scenario has been tested as planned but application does not work as expected.</t>
    </r>
  </si>
  <si>
    <r>
      <t xml:space="preserve">- </t>
    </r>
    <r>
      <rPr>
        <b/>
        <sz val="10"/>
        <color theme="1"/>
        <rFont val="Arial"/>
        <family val="2"/>
      </rPr>
      <t>Blocked</t>
    </r>
    <r>
      <rPr>
        <sz val="10"/>
        <color theme="1"/>
        <rFont val="Arial"/>
        <family val="2"/>
      </rPr>
      <t xml:space="preserve"> = Test Scenario could not be tested as planned because there is an outstanding defect in related function area.</t>
    </r>
  </si>
  <si>
    <r>
      <t xml:space="preserve">- </t>
    </r>
    <r>
      <rPr>
        <b/>
        <sz val="10"/>
        <color theme="1"/>
        <rFont val="Tahoma"/>
        <family val="2"/>
      </rPr>
      <t>Not Completed</t>
    </r>
    <r>
      <rPr>
        <sz val="10"/>
        <color theme="1"/>
        <rFont val="Tahoma"/>
        <family val="2"/>
      </rPr>
      <t xml:space="preserve"> = Test Scenario has been tested as planned but not yet finished due to awaiting test result (ex: require EOD batch).</t>
    </r>
  </si>
  <si>
    <r>
      <t>-</t>
    </r>
    <r>
      <rPr>
        <b/>
        <sz val="10"/>
        <color theme="1"/>
        <rFont val="Arial"/>
        <family val="2"/>
      </rPr>
      <t xml:space="preserve"> No Run (+) </t>
    </r>
    <r>
      <rPr>
        <sz val="10"/>
        <color theme="1"/>
        <rFont val="Arial"/>
        <family val="2"/>
      </rPr>
      <t>= Test Scenario has not been tested as planned.</t>
    </r>
  </si>
  <si>
    <r>
      <t xml:space="preserve">- </t>
    </r>
    <r>
      <rPr>
        <b/>
        <sz val="10"/>
        <color theme="1"/>
        <rFont val="Arial"/>
        <family val="2"/>
      </rPr>
      <t>Pending</t>
    </r>
    <r>
      <rPr>
        <sz val="10"/>
        <color theme="1"/>
        <rFont val="Arial"/>
        <family val="2"/>
      </rPr>
      <t xml:space="preserve"> = Test Scenario will be tested after confirming about the business.</t>
    </r>
  </si>
  <si>
    <r>
      <t xml:space="preserve">- </t>
    </r>
    <r>
      <rPr>
        <b/>
        <sz val="10"/>
        <color theme="1"/>
        <rFont val="Arial"/>
        <family val="2"/>
      </rPr>
      <t xml:space="preserve">Cancel (-) </t>
    </r>
    <r>
      <rPr>
        <sz val="10"/>
        <color theme="1"/>
        <rFont val="Arial"/>
        <family val="2"/>
      </rPr>
      <t>= Test Scenario could not be tested because of wrong condition, not suitable with the environment.</t>
    </r>
  </si>
  <si>
    <t>Percent not run</t>
  </si>
  <si>
    <t>Percent pending</t>
  </si>
  <si>
    <t>Percent 
not run</t>
  </si>
  <si>
    <t>Percent not completed</t>
  </si>
  <si>
    <t xml:space="preserve">Percent block </t>
  </si>
  <si>
    <t>Not run</t>
  </si>
  <si>
    <t>Executor</t>
  </si>
  <si>
    <t>Create document</t>
  </si>
  <si>
    <t>Version: 1.0</t>
  </si>
  <si>
    <t>View successfully</t>
  </si>
  <si>
    <t>Action</t>
  </si>
  <si>
    <t>Update data</t>
  </si>
  <si>
    <t>Update related table</t>
  </si>
  <si>
    <t>o9accounting</t>
  </si>
  <si>
    <t>o9admin</t>
  </si>
  <si>
    <t>o9cash</t>
  </si>
  <si>
    <t>o9deposit</t>
  </si>
  <si>
    <t>Table name</t>
  </si>
  <si>
    <t>Deposit money for deposit account
(current, saving, fixed deposit)</t>
  </si>
  <si>
    <r>
      <rPr>
        <b/>
        <sz val="11"/>
        <color theme="1"/>
        <rFont val="Arial"/>
        <family val="2"/>
      </rPr>
      <t>Deposit account</t>
    </r>
    <r>
      <rPr>
        <sz val="11"/>
        <color theme="1"/>
        <rFont val="Arial"/>
        <family val="2"/>
      </rPr>
      <t xml:space="preserve">
  - Status: Normal (if prevoius status is New/ Dormant)
  - Increase Current balance, Available balance
  - Increase Deposit Amount, Week Credit, Month Credit, Quarter Credit, Semi - Annual Credit and Year Credit
  - BeginOfTenor = Working, EndOfTenor = Working date + tenor
  - LastChangeDormantToNormalDate (if previous status is Dormant)
</t>
    </r>
    <r>
      <rPr>
        <b/>
        <sz val="11"/>
        <color theme="1"/>
        <rFont val="Arial"/>
        <family val="2"/>
      </rPr>
      <t>Deposit by cash</t>
    </r>
    <r>
      <rPr>
        <sz val="11"/>
        <color theme="1"/>
        <rFont val="Arial"/>
        <family val="2"/>
      </rPr>
      <t xml:space="preserve">
  - Increase Customer deposit, Total In, Closing balance of Cash flow
</t>
    </r>
    <r>
      <rPr>
        <b/>
        <sz val="11"/>
        <color theme="1"/>
        <rFont val="Arial"/>
        <family val="2"/>
      </rPr>
      <t>Deposit by deposit</t>
    </r>
    <r>
      <rPr>
        <sz val="11"/>
        <color theme="1"/>
        <rFont val="Arial"/>
        <family val="2"/>
      </rPr>
      <t xml:space="preserve">
  - Decrease Current balance, Available balance
  - Increase Withdraw Amount, Week Debit, Month Debit, Quarter Debit, Semi - Annual Debit and Year Debit
</t>
    </r>
    <r>
      <rPr>
        <b/>
        <sz val="11"/>
        <color theme="1"/>
        <rFont val="Arial"/>
        <family val="2"/>
      </rPr>
      <t>Deposit by GL</t>
    </r>
    <r>
      <rPr>
        <sz val="11"/>
        <color theme="1"/>
        <rFont val="Arial"/>
        <family val="2"/>
      </rPr>
      <t xml:space="preserve">
  - Decrease GL Balance</t>
    </r>
  </si>
  <si>
    <t>GLEntries</t>
  </si>
  <si>
    <t>Insert new row</t>
  </si>
  <si>
    <t>TransactionJournalDone</t>
  </si>
  <si>
    <t>CashList</t>
  </si>
  <si>
    <t>- CurrencyCode already existed: Update old row (update CurrentBalance)
- CurrencyCode does not exist: Insert new row</t>
  </si>
  <si>
    <t>DepositAccount</t>
  </si>
  <si>
    <t>Update old row
  - DepositStatus (if prevoius status is New/ Dormant)
  - Psts
  - CurrentBalance, DepositAmount, WeekCredit, MonthCredit, QuarterCredit, SemiAnnualCredit, YearCredit
  - LastTransactionDate, UpdatedOnUtc
  - BeginOfTenor, EndOfTenor (if deposit type is Fixed Deposit) 
  - LastChangeDormantToNormalDate (if previous status is Dormant)
Update old row (if deposit by deposit)
  - Psts
  - CurrentBalance, WithdrawAmount, WeekDebit, MonthDebit, QuarterDebit, SemiAnnualDebit, YearDebit
  - LastTransactionDate, UpdatedOnUtc</t>
  </si>
  <si>
    <t>AccountBalance</t>
  </si>
  <si>
    <t>Update old row (update Balance)</t>
  </si>
  <si>
    <t>Transaction</t>
  </si>
  <si>
    <t>CashStatement</t>
  </si>
  <si>
    <t>- CashierCode, CurrencyCode, CashType and ValueDate already existed: Update old row (update CashAmount)
- CashierCode, CurrencyCode, CashType and ValueDate do not exist: Insert new row</t>
  </si>
  <si>
    <t>DepositStatement</t>
  </si>
  <si>
    <t>AccountStatement</t>
  </si>
  <si>
    <t>TransactionDetail</t>
  </si>
  <si>
    <t>CashTransaction</t>
  </si>
  <si>
    <t>DepositHistory</t>
  </si>
  <si>
    <t>DepositAccountTrans</t>
  </si>
  <si>
    <t>Withdraw money for deposit account
(current, saving)</t>
  </si>
  <si>
    <r>
      <rPr>
        <b/>
        <sz val="11"/>
        <color theme="1"/>
        <rFont val="Arial"/>
        <family val="2"/>
      </rPr>
      <t>Deposit account</t>
    </r>
    <r>
      <rPr>
        <sz val="11"/>
        <color theme="1"/>
        <rFont val="Arial"/>
        <family val="2"/>
      </rPr>
      <t xml:space="preserve">
  - Decrease Current balance, Available balance
  - Increase Withdraw Amount, Week Debit, Month Debit, Quarter Debit, Semi - Annual Debit and Year Debit
</t>
    </r>
    <r>
      <rPr>
        <b/>
        <sz val="11"/>
        <color theme="1"/>
        <rFont val="Arial"/>
        <family val="2"/>
      </rPr>
      <t>Withdraw by cash</t>
    </r>
    <r>
      <rPr>
        <sz val="11"/>
        <color theme="1"/>
        <rFont val="Arial"/>
        <family val="2"/>
      </rPr>
      <t xml:space="preserve">
  - Increase Customer withdrawal, Total Out, decrease Closing balance of Cash flow
</t>
    </r>
    <r>
      <rPr>
        <b/>
        <sz val="11"/>
        <color theme="1"/>
        <rFont val="Arial"/>
        <family val="2"/>
      </rPr>
      <t>Withdraw by deposit</t>
    </r>
    <r>
      <rPr>
        <sz val="11"/>
        <color theme="1"/>
        <rFont val="Arial"/>
        <family val="2"/>
      </rPr>
      <t xml:space="preserve">
  - Increase Current balance, Available balance
  - Increase Deposit Amount, Week Credit, Month Credit, Quarter Credit, Semi - Annual Credit and Year Credit
</t>
    </r>
    <r>
      <rPr>
        <b/>
        <sz val="11"/>
        <color theme="1"/>
        <rFont val="Arial"/>
        <family val="2"/>
      </rPr>
      <t>Withdraw by GL</t>
    </r>
    <r>
      <rPr>
        <sz val="11"/>
        <color theme="1"/>
        <rFont val="Arial"/>
        <family val="2"/>
      </rPr>
      <t xml:space="preserve">
  - Increase GL Balance</t>
    </r>
  </si>
  <si>
    <t>Update old row (update CurrentBalance)</t>
  </si>
  <si>
    <t>Update old row
  - DepositStatus (if prevoius status is New)
  - Psts
  - CurrentBalance, WithdrawAmount, WeekDebit, MonthDebit, QuarterDebit, SemiAnnualDebit, YearDebit
  - LastTransactionDate, UpdatedOnUtc
  - LastChangeDormantToNormalDate (if previous status is Dormant)
Update old row (if withdraw by deposit)
  - DepositStatus (if prevoius status is New)
  - Psts
  - CurrentBalance, DepositAmount, WeekCredit, MonthCredit, QuarterCredit, SemiAnnualCredit, YearCredit
  - LastTransactionDate, UpdatedOnUtc</t>
  </si>
  <si>
    <t>Deposit money for prepaid fixed deposit</t>
  </si>
  <si>
    <r>
      <rPr>
        <b/>
        <sz val="11"/>
        <color theme="1"/>
        <rFont val="Arial"/>
        <family val="2"/>
      </rPr>
      <t>Fixed deposit account</t>
    </r>
    <r>
      <rPr>
        <sz val="11"/>
        <color theme="1"/>
        <rFont val="Arial"/>
        <family val="2"/>
      </rPr>
      <t xml:space="preserve">
  - Status: Normal (if prevoius status is New)
  - Increase Current balance, Available balance
  - Increase Deposit Amount, Week Credit, Month Credit, Quarter Credit, Semi - Annual Credit and Year Credit
  - BeginOfTenor = Working, EndOfTenor = Working date + tenor
  - Increase Interest prepaid
</t>
    </r>
    <r>
      <rPr>
        <b/>
        <sz val="11"/>
        <color theme="1"/>
        <rFont val="Arial"/>
        <family val="2"/>
      </rPr>
      <t>Linkage account</t>
    </r>
    <r>
      <rPr>
        <sz val="11"/>
        <color theme="1"/>
        <rFont val="Arial"/>
        <family val="2"/>
      </rPr>
      <t xml:space="preserve">
  - Increase Current balance, Available balance
  - Increase Deposit Amount, Week Credit, Month Credit, Quarter Credit, Semi - Annual Credit and Year Credit
</t>
    </r>
    <r>
      <rPr>
        <b/>
        <sz val="11"/>
        <color theme="1"/>
        <rFont val="Arial"/>
        <family val="2"/>
      </rPr>
      <t>Deposit by cash</t>
    </r>
    <r>
      <rPr>
        <sz val="11"/>
        <color theme="1"/>
        <rFont val="Arial"/>
        <family val="2"/>
      </rPr>
      <t xml:space="preserve">
  - Increase Customer deposit, Total In, Closing balance of Cash flow
</t>
    </r>
    <r>
      <rPr>
        <b/>
        <sz val="11"/>
        <color theme="1"/>
        <rFont val="Arial"/>
        <family val="2"/>
      </rPr>
      <t xml:space="preserve">Deposit by deposit
</t>
    </r>
    <r>
      <rPr>
        <sz val="11"/>
        <color theme="1"/>
        <rFont val="Arial"/>
        <family val="2"/>
      </rPr>
      <t xml:space="preserve">  - Decrease Current balance, Available balance
  - Increase Withdraw Amount, Week Debit, Month Debit, Quarter Debit, Semi - Annual Debit and Year Debit</t>
    </r>
  </si>
  <si>
    <t>Update old row (Prepaid fixed deposit)
  - DepositStatus (if prevoius status is New)
  - Psts
  - CurrentBalance, DepositAmount, WeekCredit, MonthCredit, QuarterCredit, SemiAnnualCredit, YearCredit
  - LastTransactionDate, UpdatedOnUtc
  - BeginOfTenor, EndOfTenor (if deposit type is Fixed Deposit) 
  - LastChangeDormantToNormalDate (if previous status is Dormant)
Update old row (linkage account)
  - Psts
  - CurrentBalance, DepositAmount, WeekCredit, MonthCredit, QuarterCredit, SemiAnnualCredit, YearCredit
  - LastTransactionDate, UpdatedOnUtc
Update old row (if deposit by deposit)
  - Psts
  - CurrentBalance, WithdrawAmount, WeekDebit, MonthDebit, QuarterDebit, SemiAnnualDebit, YearDebit
  - LastTransactionDate, UpdatedOnUtc</t>
  </si>
  <si>
    <t>IFCBalance</t>
  </si>
  <si>
    <t>Update old row (update PrepaidAmount)</t>
  </si>
  <si>
    <t>IFCBalanceDetail</t>
  </si>
  <si>
    <t>DepositIFCBalanceTrans</t>
  </si>
  <si>
    <t>CBS-SHWE_TC_BO_C# Convert Stored Procedure</t>
  </si>
  <si>
    <t>NhiDY</t>
  </si>
  <si>
    <t>Customer</t>
  </si>
  <si>
    <t>Deposit</t>
  </si>
  <si>
    <t>SQL_INSERT_CTM: Add customer profile</t>
  </si>
  <si>
    <t>SQL_UPDATE_CTM: Update customer profile</t>
  </si>
  <si>
    <t>SQL_INSERT_MEDIA: Import media file</t>
  </si>
  <si>
    <t>CTM_001</t>
  </si>
  <si>
    <t>CTM_002</t>
  </si>
  <si>
    <t>CTM_003</t>
  </si>
  <si>
    <t>Admin</t>
  </si>
  <si>
    <t>Payment</t>
  </si>
  <si>
    <t>Treasury</t>
  </si>
  <si>
    <t>Credit</t>
  </si>
  <si>
    <t>DPT_DELETE_ACCOUNTLINKAGE: Delete account linkage</t>
  </si>
  <si>
    <t>Accounting</t>
  </si>
  <si>
    <t>DPT_UPDATE_DEPOSIT: Modify deposit account</t>
  </si>
  <si>
    <t>DPT_VIEW_MODIFY_EXT_FIELD: View modify extension fields deposit account</t>
  </si>
  <si>
    <t>Foreign Exchange Rate</t>
  </si>
  <si>
    <t>CRD_001</t>
  </si>
  <si>
    <t>CRD_002</t>
  </si>
  <si>
    <t>FXR_001</t>
  </si>
  <si>
    <t>TRS_001</t>
  </si>
  <si>
    <t>TRS_002</t>
  </si>
  <si>
    <t>ACT_001</t>
  </si>
  <si>
    <t>ACT_002</t>
  </si>
  <si>
    <t>PMT_001</t>
  </si>
  <si>
    <t>ADM_001</t>
  </si>
  <si>
    <t>ADM_002</t>
  </si>
  <si>
    <t>ADM_003</t>
  </si>
  <si>
    <t>ADM_004</t>
  </si>
  <si>
    <t>ADM_005</t>
  </si>
  <si>
    <t>ADM_006</t>
  </si>
  <si>
    <t>ADM_007</t>
  </si>
  <si>
    <t>ADM_008</t>
  </si>
  <si>
    <t>ADM_009</t>
  </si>
  <si>
    <t>DPT_001</t>
  </si>
  <si>
    <t>DPT_002</t>
  </si>
  <si>
    <t>DPT_003</t>
  </si>
  <si>
    <t>DPT_004</t>
  </si>
  <si>
    <t>ADM_REFRESH_BRANCH: Refresh bank</t>
  </si>
  <si>
    <t>ADM_REFRESH_BRANCH_BY_USER: Refresh branch</t>
  </si>
  <si>
    <t>ADM_CLOSE_BRANCH: Close branch</t>
  </si>
  <si>
    <t>ADM_OPEN_BRANCH: Open branch</t>
  </si>
  <si>
    <t>ADM_ADVANCED_SEARCH_ROLE_OF_USER: Role Profile - User - Assignment</t>
  </si>
  <si>
    <t>ADM_SIMPLE_SEARCH_USER_ACCOUNT: Search common user profile</t>
  </si>
  <si>
    <t>ADM_UPDATE_LIST_USER_RIGHT: Role Profile - Invoke - Approve</t>
  </si>
  <si>
    <t>SQL_SIMPLE_SEARCH_TRANSACTION_JOURNAL: Search common F8</t>
  </si>
  <si>
    <t>SQL_ADVANCED_SEARCH_TRANSACTION_JOURNAL: Search advanced F8</t>
  </si>
  <si>
    <t>PMT_SEARCH_SP_QUEUE_INWAR: Search common "Payment Queue for Inward"</t>
  </si>
  <si>
    <t>ACT_ACCHRT_SER_SIMPLE: Search common "Bank Account Definition"</t>
  </si>
  <si>
    <t>DPT_APPROVE_MODIFY: Approve modify deposit account</t>
  </si>
  <si>
    <t>ACT_ACCHRT_INS: Add "Bank Account Definition"</t>
  </si>
  <si>
    <t>TRS_SEARCH_ACCOUNT: Search common "Treasury account information"</t>
  </si>
  <si>
    <t>TRS_VIEW_ACCOUNT: View "Treasury account information"</t>
  </si>
  <si>
    <t>CRD_SEARCH_SP_CREDIT: Search common "Credit account information"</t>
  </si>
  <si>
    <t>CRD_VIEW_CREDIT: View "Credit account information"</t>
  </si>
  <si>
    <t>FX_FXRATE_GETFXRATE: View "Foreign Exchange Rate"</t>
  </si>
  <si>
    <t>CTM_001_001</t>
  </si>
  <si>
    <t>CTM_001_002</t>
  </si>
  <si>
    <t>CTM_001_003</t>
  </si>
  <si>
    <t>CTM_001_004</t>
  </si>
  <si>
    <t>CTM_001_005</t>
  </si>
  <si>
    <t>CTM_001_006</t>
  </si>
  <si>
    <t>CTM_002_001</t>
  </si>
  <si>
    <t>CTM_002_002</t>
  </si>
  <si>
    <t>CTM_002_003</t>
  </si>
  <si>
    <t>CTM_002_004</t>
  </si>
  <si>
    <t>CTM_002_005</t>
  </si>
  <si>
    <t>CTM_002_006</t>
  </si>
  <si>
    <t>CTM_002_007</t>
  </si>
  <si>
    <t>CTM_002_008</t>
  </si>
  <si>
    <t>CTM_002_009</t>
  </si>
  <si>
    <t>CTM_002_010</t>
  </si>
  <si>
    <t>CTM_002_011</t>
  </si>
  <si>
    <t>CTM_002_012</t>
  </si>
  <si>
    <t>CTM_002_013</t>
  </si>
  <si>
    <t>CTM_002_014</t>
  </si>
  <si>
    <t>CTM_002_015</t>
  </si>
  <si>
    <t>CTM_002_016</t>
  </si>
  <si>
    <t>DPT_001_001</t>
  </si>
  <si>
    <t>DPT_001_002</t>
  </si>
  <si>
    <t>DPT_001_003</t>
  </si>
  <si>
    <t>DPT_001_004</t>
  </si>
  <si>
    <t>CTM_003_001</t>
  </si>
  <si>
    <t>CTM_003_002</t>
  </si>
  <si>
    <t>CTM_003_003</t>
  </si>
  <si>
    <t>DPT_002_001</t>
  </si>
  <si>
    <t>DPT_002_002</t>
  </si>
  <si>
    <t>DPT_002_003</t>
  </si>
  <si>
    <t>DPT_002_004</t>
  </si>
  <si>
    <t>DPT_003_001</t>
  </si>
  <si>
    <t>DPT_003_002</t>
  </si>
  <si>
    <t>DPT_003_003</t>
  </si>
  <si>
    <t>DPT_003_004</t>
  </si>
  <si>
    <t>DPT_004_001</t>
  </si>
  <si>
    <t>DPT_004_002</t>
  </si>
  <si>
    <t>DPT_004_003</t>
  </si>
  <si>
    <t>DPT_004_004</t>
  </si>
  <si>
    <t>ADM_001_001</t>
  </si>
  <si>
    <t>ADM_003_003</t>
  </si>
  <si>
    <t>ADM_004_004</t>
  </si>
  <si>
    <t>ADM_002_001</t>
  </si>
  <si>
    <t>ADM_003_001</t>
  </si>
  <si>
    <t>ADM_003_002</t>
  </si>
  <si>
    <t>ADM_003_004</t>
  </si>
  <si>
    <t>ADM_004_001</t>
  </si>
  <si>
    <t>ADM_004_002</t>
  </si>
  <si>
    <t>ADM_004_003</t>
  </si>
  <si>
    <t>ADM_005_001</t>
  </si>
  <si>
    <t>ADM_005_002</t>
  </si>
  <si>
    <t>ADM_005_003</t>
  </si>
  <si>
    <t>ADM_006_001</t>
  </si>
  <si>
    <t>ADM_006_002</t>
  </si>
  <si>
    <t>ADM_006_003</t>
  </si>
  <si>
    <t>ADM_006_004</t>
  </si>
  <si>
    <t>ADM_007_001</t>
  </si>
  <si>
    <t>ADM_007_002</t>
  </si>
  <si>
    <t>ADM_007_003</t>
  </si>
  <si>
    <t>ADM_007_004</t>
  </si>
  <si>
    <t>ADM_008_001</t>
  </si>
  <si>
    <t>ADM_008_002</t>
  </si>
  <si>
    <t>ADM_008_003</t>
  </si>
  <si>
    <t>ADM_008_004</t>
  </si>
  <si>
    <t>ADM_009_001</t>
  </si>
  <si>
    <t>ADM_009_002</t>
  </si>
  <si>
    <t>ADM_009_003</t>
  </si>
  <si>
    <t>ADM_009_004</t>
  </si>
  <si>
    <t>PMT_001_001</t>
  </si>
  <si>
    <t>PMT_001_002</t>
  </si>
  <si>
    <t>PMT_001_003</t>
  </si>
  <si>
    <t>PMT_001_004</t>
  </si>
  <si>
    <t>ACT_001_001</t>
  </si>
  <si>
    <t>ACT_001_002</t>
  </si>
  <si>
    <t>ACT_001_003</t>
  </si>
  <si>
    <t>ACT_001_004</t>
  </si>
  <si>
    <t>ACT_002_001</t>
  </si>
  <si>
    <t>ACT_002_002</t>
  </si>
  <si>
    <t>ACT_002_003</t>
  </si>
  <si>
    <t>ACT_002_004</t>
  </si>
  <si>
    <t>TRS_001_001</t>
  </si>
  <si>
    <t>TRS_001_002</t>
  </si>
  <si>
    <t>TRS_001_003</t>
  </si>
  <si>
    <t>TRS_001_004</t>
  </si>
  <si>
    <t>TRS_002_001</t>
  </si>
  <si>
    <t>TRS_002_002</t>
  </si>
  <si>
    <t>CRD_001_001</t>
  </si>
  <si>
    <t>CRD_001_002</t>
  </si>
  <si>
    <t>CRD_001_003</t>
  </si>
  <si>
    <t>CRD_001_004</t>
  </si>
  <si>
    <t>CRD_002_001</t>
  </si>
  <si>
    <t>FXR_001_001</t>
  </si>
  <si>
    <t>FXR_001_002</t>
  </si>
  <si>
    <t>Delete account linkage: 1 master - 2 detail</t>
  </si>
  <si>
    <t>Delete account linkage: 1 master - 1 detail</t>
  </si>
  <si>
    <t>Delete account linkage: 2 master - 1 detail, detele master 2</t>
  </si>
  <si>
    <t>Delete account linkage: 2 master - 1 detail, detele master 1</t>
  </si>
  <si>
    <t>System shows popup, choose "Yes"
 2 rows data deleted, transaction successfully, follow master account</t>
  </si>
  <si>
    <t>System shows popup, choose "Yes"
 1 row data deleted, transaction successfully, follow master account</t>
  </si>
  <si>
    <t>System shows popup, choose "Yes"
 1 row data deleted, transaction successfully, follow master account 1</t>
  </si>
  <si>
    <t>System shows popup, choose "Yes"
 1 row data deleted, transaction successfully, follow master account 2</t>
  </si>
  <si>
    <t>System shows popup, choose "No"
no row data delete</t>
  </si>
  <si>
    <t>DPT_004_005</t>
  </si>
  <si>
    <t>- Go to screen "ADM-Bank Open/Close"
- Click on "Refresh"</t>
  </si>
  <si>
    <t>- Go to screen "ADM-Branch Open/Close"
- Click on "Refresh"</t>
  </si>
  <si>
    <t>Transaction successfully
Branch show information as below is correct:
- Is Online
- Branch Code
- Name
- Address
- Phone</t>
  </si>
  <si>
    <t>Transaction successfully
All branches show information as below is correct:
- Is Online
- Branch Code
- Name
- Address
- Phone</t>
  </si>
  <si>
    <t>System shows popup approve, enter user and pass valid
Close branch successfully</t>
  </si>
  <si>
    <t>- Go to screen "ADM-Bank Open/Close"
- Choose branch want to open
- Click on "Open branch" icon</t>
  </si>
  <si>
    <t>- Go to screen "ADM-Branch Open/Close"
- Branch don't have pending information
- Click on "Close branch" icon</t>
  </si>
  <si>
    <t>- Go to screen "ADM-Bank Open/Close"
- Choose branch want to close, branch don't have pending information
- Click on "Close branch" icon</t>
  </si>
  <si>
    <t>- Go to screen "ADM-Branch Open/Close"
- Click on "Open branch" icon</t>
  </si>
  <si>
    <t>System shows popup approve, enter user and pass valid
Open branch successfully</t>
  </si>
  <si>
    <t>- Go to screen "ADM-Bank Open/Close"
- Choose branch want to close, branch have pending information
- Click on "Close branch" icon</t>
  </si>
  <si>
    <t>- Go to screen "ADM-Branch Open/Close"
- Branch have pending information
- Click on "Close branch" icon</t>
  </si>
  <si>
    <t>System shows popup approve, enter user and pass invalid
Open branch fail</t>
  </si>
  <si>
    <r>
      <t xml:space="preserve">System shows popup approve, enter user and pass </t>
    </r>
    <r>
      <rPr>
        <sz val="10"/>
        <color rgb="FFFF0000"/>
        <rFont val="Arial"/>
        <family val="2"/>
      </rPr>
      <t>invalid</t>
    </r>
    <r>
      <rPr>
        <sz val="10"/>
        <rFont val="Arial"/>
        <family val="2"/>
      </rPr>
      <t xml:space="preserve">
</t>
    </r>
    <r>
      <rPr>
        <sz val="10"/>
        <color rgb="FFFF0000"/>
        <rFont val="Arial"/>
        <family val="2"/>
      </rPr>
      <t>Close branch fail</t>
    </r>
  </si>
  <si>
    <r>
      <t xml:space="preserve">System shows popup approve, enter user and pass valid
</t>
    </r>
    <r>
      <rPr>
        <sz val="10"/>
        <color rgb="FFFF0000"/>
        <rFont val="Arial"/>
        <family val="2"/>
      </rPr>
      <t>Close branch fail
Show pending information</t>
    </r>
    <r>
      <rPr>
        <sz val="10"/>
        <rFont val="Arial"/>
        <family val="2"/>
      </rPr>
      <t xml:space="preserve">
CTM-Customer Profile
CTM-Approve Profile Modification
CTM-Approve Customer Linkage Modify
CTM-Approve Customer relation management Modify
DPT-Account Information
DPT-Approve Account Modification
Overdraft Account
DPT-Approve Overdraft Contract Modification
CRD-Account Information
CRD-Approve Account Modification
CRD-Product Limit
CRD-Sub Product Limit
MTG-Account Information
ADM-Foreign Exchange Rate
CTM-Customer media files
ADM-Import Data Files
Transaction pending</t>
    </r>
  </si>
  <si>
    <t>- Go to screen "ADM-Foreign Exchange Rate"</t>
  </si>
  <si>
    <t>Transaction successfully
Rate is showed, max "ValueDate", max "RateSequence"
BK: Reference rate
TB: Buying Transfer Rate	
TA: Selling Transfer Rate
SB: Policy Rate
CB: Buying Counter Rate
CA: Selling Counter Rate</t>
  </si>
  <si>
    <t>- Enable new currency
- Go to screen "ADM-Foreign Exchange Rate"</t>
  </si>
  <si>
    <r>
      <t xml:space="preserve">Transaction successfully
Rate is showed, max "ValueDate", max "RateSequence"
BK: Reference rate
TB: Buying Transfer Rate	
TA: Selling Transfer Rate
SB: Policy Rate
CB: Buying Counter Rate
CA: Selling Counter Rate
</t>
    </r>
    <r>
      <rPr>
        <sz val="10"/>
        <color rgb="FFFF0000"/>
        <rFont val="Arial"/>
        <family val="2"/>
      </rPr>
      <t>All rate of new currency is 0.00</t>
    </r>
  </si>
  <si>
    <t>Search empty</t>
  </si>
  <si>
    <t>Search like follow value of column:
- Account number
- Branch code
- Currency code
- Account name
- Counterparty code
- Category code</t>
  </si>
  <si>
    <t>Search = follow value of column:
- Account number
- Branch code
- Currency code
- Account name
- Counterparty code
- Category code</t>
  </si>
  <si>
    <t>View "MM Placement" account</t>
  </si>
  <si>
    <t>View "MM Deposit" account</t>
  </si>
  <si>
    <t>Insert GL account level 6</t>
  </si>
  <si>
    <t>Insert GL account level 7</t>
  </si>
  <si>
    <t>Insert GL account level 8</t>
  </si>
  <si>
    <t>Insert GL account level 9</t>
  </si>
  <si>
    <t>Insert GL account level 9 existed</t>
  </si>
  <si>
    <t>Insert GL account level 6, 7, 8</t>
  </si>
  <si>
    <t>Insert GL account level 1</t>
  </si>
  <si>
    <t>Insert GL account level 2</t>
  </si>
  <si>
    <t>Insert GL account level 3</t>
  </si>
  <si>
    <t>Insert GL account level 4</t>
  </si>
  <si>
    <t>Insert GL account level 5</t>
  </si>
  <si>
    <t>ACT_002_005</t>
  </si>
  <si>
    <t>ACT_002_006</t>
  </si>
  <si>
    <t>ACT_002_007</t>
  </si>
  <si>
    <t>ACT_002_008</t>
  </si>
  <si>
    <t>ACT_002_009</t>
  </si>
  <si>
    <t>ACT_002_010</t>
  </si>
  <si>
    <t>ACT_002_011</t>
  </si>
  <si>
    <t>Search for transactions related to CASH</t>
  </si>
  <si>
    <t>Search for transactions NOT related to CASH</t>
  </si>
  <si>
    <t>Search for transactions related to FOF-FX Transaction</t>
  </si>
  <si>
    <t>Search for transactions related to import data file</t>
  </si>
  <si>
    <t>The data result not found</t>
  </si>
  <si>
    <t>Search for transactions follow user position</t>
  </si>
  <si>
    <t>ADM_007_005</t>
  </si>
  <si>
    <t>ADM_007_006</t>
  </si>
  <si>
    <t>- Go to "ADM-Roles Profile" screen
- Click on tab "Role Profile - User - Assignment" under "Shwebank"</t>
  </si>
  <si>
    <t>Action successfully
Show data is correct</t>
  </si>
  <si>
    <t>- Go to "ADM-Roles Profile" screen
- Click on tab "Role Profile - User - Assignment" under "Shwebank"
- Choose "Select role" second time</t>
  </si>
  <si>
    <t>18h00</t>
  </si>
  <si>
    <t>ADM_008_005</t>
  </si>
  <si>
    <t>ADM_008_006</t>
  </si>
  <si>
    <t>ADM_009_005</t>
  </si>
  <si>
    <t>ADM_009_006</t>
  </si>
  <si>
    <t>- Go to "ACT-Bank Account Definition-Search" screen
- Search empty</t>
  </si>
  <si>
    <t>- Go to "PMT-Payment Queue for Inward-Search" screen
- Search empty</t>
  </si>
  <si>
    <t>- Go to "ADM-User Profile-Search" screen
- Search empty</t>
  </si>
  <si>
    <t>View random items</t>
  </si>
  <si>
    <t>Search successfully
The data result is correct</t>
  </si>
  <si>
    <t>Search successfully
The data result is correct, shows the "Cash" icon</t>
  </si>
  <si>
    <t>Search successfully
The data result is correct, NOT shows the "Cash" icon</t>
  </si>
  <si>
    <t>Search like follow value of column:
- Message code
- Ref no
- Tran reference
- Currency
- Receive bank
- Send bank
- Receiver Id
- Sender Id</t>
  </si>
  <si>
    <t>Search = follow value of column:
- Message code
- Ref no
- Tran reference
- Currency
- Receive bank
- Send bank
- Receiver Id
- Sender Id</t>
  </si>
  <si>
    <t>Search like follow value of column:
- Account number
- Currency
- Account name</t>
  </si>
  <si>
    <t>Search = follow value of column:
- Account number
- Currency
- Account name</t>
  </si>
  <si>
    <t>- Go to "FOF-Transaction Journal" screen
- Search for mode "normal"
- Search empty</t>
  </si>
  <si>
    <t>Search like follow value of column:
- Tran Number
- Tran Name
- Account Number
- Amount
- Status
- User Name
- Branch Code</t>
  </si>
  <si>
    <t>Search = follow value of column:
- Tran Number
- Tran Name
- Account Number
- Amount
- Status
- User Name
- Branch Code</t>
  </si>
  <si>
    <t>ADM_008_007</t>
  </si>
  <si>
    <t>ADM_008_008</t>
  </si>
  <si>
    <t>- Go to "FOF-Transaction Journal" screen
- Search for two mode "status" and "normal"
- Search empty</t>
  </si>
  <si>
    <t>Search like follow value of fields:
- Tran number
- Tran name
- Account number
- Tran date
- Tran time
- Amount From
- Amount To
- Channel
- Tran Type
- User name
- User approve
- User Reject
- Branch code
- Approval reason</t>
  </si>
  <si>
    <t>Search = follow value of fields:
- Tran number
- Tran name
- Account number
- Tran date
- Tran time
- Amount From
- Amount To
- Channel
- Tran Type
- User name
- User approve
- User Reject
- Branch code
- Approval reason</t>
  </si>
  <si>
    <t>ADM_009_007</t>
  </si>
  <si>
    <t>ADM_009_008</t>
  </si>
  <si>
    <t>Search like follow value of column:
- User Code
- User Name
- Login Name
- Branch Name
- Department Name
- Email</t>
  </si>
  <si>
    <t>Search = follow value of column:
- User Code
- User Name
- Login Name
- Branch Name
- Department Name
- Email</t>
  </si>
  <si>
    <t>Add successfully
- Data insert into table "AccountChart"</t>
  </si>
  <si>
    <r>
      <t xml:space="preserve">Add successfully
- Data insert into table "AccountChart"
</t>
    </r>
    <r>
      <rPr>
        <sz val="10"/>
        <color rgb="FFFF0000"/>
        <rFont val="Arial"/>
        <family val="2"/>
      </rPr>
      <t>- Data insert into table "AccountBalance"</t>
    </r>
  </si>
  <si>
    <r>
      <rPr>
        <sz val="10"/>
        <color rgb="FFFF0000"/>
        <rFont val="Arial"/>
        <family val="2"/>
      </rPr>
      <t>Add fail</t>
    </r>
    <r>
      <rPr>
        <sz val="10"/>
        <rFont val="Arial"/>
        <family val="2"/>
      </rPr>
      <t xml:space="preserve">
- Data not insert</t>
    </r>
  </si>
  <si>
    <r>
      <t xml:space="preserve">View successfully
- Data is correct
- Tab "Settlement information" from "SettlementInformation" table:
+ On value date: </t>
    </r>
    <r>
      <rPr>
        <b/>
        <sz val="10"/>
        <color rgb="FFFF0000"/>
        <rFont val="Arial"/>
        <family val="2"/>
      </rPr>
      <t>Credit information</t>
    </r>
    <r>
      <rPr>
        <sz val="10"/>
        <rFont val="Arial"/>
        <family val="2"/>
      </rPr>
      <t xml:space="preserve">
+ On maturity: </t>
    </r>
    <r>
      <rPr>
        <b/>
        <sz val="10"/>
        <color rgb="FFFF0000"/>
        <rFont val="Arial"/>
        <family val="2"/>
      </rPr>
      <t>Debit information</t>
    </r>
  </si>
  <si>
    <r>
      <t xml:space="preserve">View successfully
- Data is correct
- Tab "Settlement information" from "SettlementInformation" table:
+ On value date: </t>
    </r>
    <r>
      <rPr>
        <b/>
        <sz val="10"/>
        <color rgb="FFFF0000"/>
        <rFont val="Arial"/>
        <family val="2"/>
      </rPr>
      <t>Debit information</t>
    </r>
    <r>
      <rPr>
        <sz val="10"/>
        <rFont val="Arial"/>
        <family val="2"/>
      </rPr>
      <t xml:space="preserve">
+ On maturity: </t>
    </r>
    <r>
      <rPr>
        <b/>
        <sz val="10"/>
        <color rgb="FFFF0000"/>
        <rFont val="Arial"/>
        <family val="2"/>
      </rPr>
      <t>Credit information</t>
    </r>
  </si>
  <si>
    <t>ADM_008_009</t>
  </si>
  <si>
    <t>ADM_009_009</t>
  </si>
  <si>
    <t>- Go to "ADM-Roles Profile" screen
- Click on tab "Role Profile - Invoke - Approve" under "Shwebank"</t>
  </si>
  <si>
    <t>- Go to "ADM-Roles Profile" screen
- Click on tab "Role Profile - User - Assignment" under "Shwebank"
- Choose "Select role" first time</t>
  </si>
  <si>
    <t>Action successfully
Show data is correct
The action showed for user</t>
  </si>
  <si>
    <t>- Go to "ADM-Roles Profile" screen
- Click on tab "Role Profile - Invoke - Approve" under "Shwebank"
- Choose "Menu name" first time
- Choose the role want to update</t>
  </si>
  <si>
    <t>- Go to "ADM-Roles Profile" screen
- Click on tab "Role Profile - Invoke - Approve" under "Shwebank"
- Choose "Menu name" second time
- Choose the role want to update</t>
  </si>
  <si>
    <r>
      <t xml:space="preserve">- Go to "ADM-Roles Profile" screen
- Click on tab "Role Profile - Invoke - Approve" under "Shwebank"
- Choose "Menu name" first time
- Choose the role want to update
- </t>
    </r>
    <r>
      <rPr>
        <b/>
        <sz val="10"/>
        <color rgb="FFFF0000"/>
        <rFont val="Arial"/>
        <family val="2"/>
      </rPr>
      <t>Un-check</t>
    </r>
    <r>
      <rPr>
        <sz val="10"/>
        <rFont val="Arial"/>
        <family val="2"/>
      </rPr>
      <t xml:space="preserve"> random action want to set no right</t>
    </r>
  </si>
  <si>
    <r>
      <t xml:space="preserve">- Go to "ADM-Roles Profile" screen
- Click on tab "Role Profile - Invoke - Approve" under "Shwebank"
- Choose "Menu name" second time
- Choose the role want to update
- </t>
    </r>
    <r>
      <rPr>
        <b/>
        <sz val="10"/>
        <color rgb="FFFF0000"/>
        <rFont val="Arial"/>
        <family val="2"/>
      </rPr>
      <t>Un-check</t>
    </r>
    <r>
      <rPr>
        <sz val="10"/>
        <rFont val="Arial"/>
        <family val="2"/>
      </rPr>
      <t xml:space="preserve"> random action want to set no right</t>
    </r>
  </si>
  <si>
    <r>
      <t xml:space="preserve">- Go to "ADM-Roles Profile" screen
- Click on tab "Role Profile - Invoke - Approve" under "Shwebank"
- Choose "Menu name" second time
- Choose the role want to update
- </t>
    </r>
    <r>
      <rPr>
        <b/>
        <sz val="10"/>
        <rFont val="Arial"/>
        <family val="2"/>
      </rPr>
      <t>Check</t>
    </r>
    <r>
      <rPr>
        <sz val="10"/>
        <rFont val="Arial"/>
        <family val="2"/>
      </rPr>
      <t xml:space="preserve"> random action want to set right</t>
    </r>
  </si>
  <si>
    <r>
      <t xml:space="preserve">- Go to "ADM-Roles Profile" screen
- Click on tab "Role Profile - Invoke - Approve" under "Shwebank"
- Choose "Menu name" first time
- Choose the role want to update
- </t>
    </r>
    <r>
      <rPr>
        <b/>
        <sz val="10"/>
        <rFont val="Arial"/>
        <family val="2"/>
      </rPr>
      <t>Check</t>
    </r>
    <r>
      <rPr>
        <sz val="10"/>
        <rFont val="Arial"/>
        <family val="2"/>
      </rPr>
      <t xml:space="preserve"> random action want to set right</t>
    </r>
  </si>
  <si>
    <r>
      <t xml:space="preserve">Action successfully
Show data is correct
The action </t>
    </r>
    <r>
      <rPr>
        <b/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showed for user</t>
    </r>
  </si>
  <si>
    <t>ADM_007_007</t>
  </si>
  <si>
    <t>TRS_001_002
TRS_001_003</t>
  </si>
  <si>
    <t>- Paging
- Choose item per page
- Jump to page</t>
  </si>
  <si>
    <t>ACT_001_002
ACT_001_003</t>
  </si>
  <si>
    <t>ACT_001_005</t>
  </si>
  <si>
    <t>TRS_001_005</t>
  </si>
  <si>
    <t>DPT_001_005</t>
  </si>
  <si>
    <t>DPT_001_006</t>
  </si>
  <si>
    <t>DPT_001_007</t>
  </si>
  <si>
    <t>DPT_001_008</t>
  </si>
  <si>
    <t>DPT_001_009</t>
  </si>
  <si>
    <t>DPT_001_010</t>
  </si>
  <si>
    <t>DPT_001_011</t>
  </si>
  <si>
    <t>DPT_001_012</t>
  </si>
  <si>
    <t>DPT_001_013</t>
  </si>
  <si>
    <t>DPT_001_014</t>
  </si>
  <si>
    <t>DPT_001_015</t>
  </si>
  <si>
    <t>Update deposit account with extension fields:
- Reason of Account Opening: empty
- Relationship Manager: empty</t>
  </si>
  <si>
    <t>Update deposit account with:
- "Is Restricted" is null</t>
  </si>
  <si>
    <t>Update deposit have extension fields with:
- Reason of Account Opening: empty
- Relationship Manager: empty</t>
  </si>
  <si>
    <t>Update prepaid fixed account with:
- Agent hub referral
- Rollover option
- Rollover to catalogue</t>
  </si>
  <si>
    <t>Update fixed account with:
- Agent hub referral
- Rollover option
- Rollover to catalogue</t>
  </si>
  <si>
    <t>Modify successfully</t>
  </si>
  <si>
    <r>
      <t xml:space="preserve">Update deposit have NO extension fields with:
- Reason of Account Opening
- Relationship Manager
</t>
    </r>
    <r>
      <rPr>
        <sz val="10"/>
        <color rgb="FFFF0000"/>
        <rFont val="Arial"/>
        <family val="2"/>
      </rPr>
      <t>Note: delete data in table "DepositAccountExtension"</t>
    </r>
  </si>
  <si>
    <t>Update deposit have extension fields with:
- Reason of Account Opening: have data
- Relationship Manager: have data</t>
  </si>
  <si>
    <t>Modify successfully, need to approve</t>
  </si>
  <si>
    <r>
      <t xml:space="preserve">Modify successfully, </t>
    </r>
    <r>
      <rPr>
        <b/>
        <sz val="10"/>
        <color rgb="FFFF0000"/>
        <rFont val="Arial"/>
        <family val="2"/>
      </rPr>
      <t>NO</t>
    </r>
    <r>
      <rPr>
        <sz val="10"/>
        <rFont val="Arial"/>
        <family val="2"/>
      </rPr>
      <t xml:space="preserve"> need to approve</t>
    </r>
  </si>
  <si>
    <r>
      <t xml:space="preserve">Update </t>
    </r>
    <r>
      <rPr>
        <sz val="10"/>
        <color rgb="FFFF0000"/>
        <rFont val="Arial"/>
        <family val="2"/>
      </rPr>
      <t>current</t>
    </r>
    <r>
      <rPr>
        <sz val="10"/>
        <rFont val="Arial"/>
        <family val="2"/>
      </rPr>
      <t xml:space="preserve"> account
- Status is "Pending to approve"</t>
    </r>
  </si>
  <si>
    <r>
      <t xml:space="preserve">Update </t>
    </r>
    <r>
      <rPr>
        <sz val="10"/>
        <color rgb="FFFF0000"/>
        <rFont val="Arial"/>
        <family val="2"/>
      </rPr>
      <t>current</t>
    </r>
    <r>
      <rPr>
        <sz val="10"/>
        <rFont val="Arial"/>
        <family val="2"/>
      </rPr>
      <t xml:space="preserve"> account
- Status is "New"</t>
    </r>
  </si>
  <si>
    <r>
      <t xml:space="preserve">Update </t>
    </r>
    <r>
      <rPr>
        <sz val="10"/>
        <color rgb="FFFF0000"/>
        <rFont val="Arial"/>
        <family val="2"/>
      </rPr>
      <t>current</t>
    </r>
    <r>
      <rPr>
        <sz val="10"/>
        <rFont val="Arial"/>
        <family val="2"/>
      </rPr>
      <t xml:space="preserve"> account
- Status is "Normal" or "Block" or "Dormant" or "Closed"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</si>
  <si>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
- Status is "Pending to approve"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</si>
  <si>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
- Status is "New"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</si>
  <si>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
- Status is "Normal" or "Block" or "Dormant" or "Closed"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</si>
  <si>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
- Status is "Pending to approve"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</si>
  <si>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
- Status is "New"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</si>
  <si>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
- Status is "Normal" or "Block" or "Dormant" or "Closed" or "Maturity"</t>
    </r>
  </si>
  <si>
    <r>
      <t xml:space="preserve">Update </t>
    </r>
    <r>
      <rPr>
        <sz val="10"/>
        <color rgb="FFFF0000"/>
        <rFont val="Arial"/>
        <family val="2"/>
      </rPr>
      <t>prepaid fixed deposi</t>
    </r>
    <r>
      <rPr>
        <sz val="10"/>
        <rFont val="Arial"/>
        <family val="2"/>
      </rPr>
      <t>t account
- Status is "Pending to approve"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</si>
  <si>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
- Status is "New"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</si>
  <si>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
- Status is "Normal" or "Block" or "Dormant" or "Closed" or "Maturity"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</si>
  <si>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 with "IFC list" have information:
+ Add new IFC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</si>
  <si>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 with "IFC list" have information:
+ Add new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</si>
  <si>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Add new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</si>
  <si>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&gt; 0.00
+ IFC inused
Modify "Margin Value" of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</si>
  <si>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&gt; 0.00
+ IFC inused
Modify "IFC status" of IFC</t>
    </r>
  </si>
  <si>
    <t>Update deposit account with "IFC list" have information:
+ Delete IFC item</t>
  </si>
  <si>
    <t>Update deposit account with "Balance information" have information:
+ "Available balance" is minus</t>
  </si>
  <si>
    <t>Update deposit account with "Balance information" have information:
+ "Current balance" is ********
+ "Available balance" is ********</t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</si>
  <si>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= 0.00
+ IFC inused
Modify "Margin Value" of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</si>
  <si>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= 0.00
+ IFC inused
Modify "IFC status" of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</si>
  <si>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= 0.00
+ Paid &gt; 0.00
+ IFC inused
Modify "Margin Value" of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</si>
  <si>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= 0.00
+ Paid &gt; 0.00
+ IFC inused
Modify "IFC status" of IFC</t>
    </r>
  </si>
  <si>
    <t>Update current account linked Overdraft account with "Balance information" have information:
+ "Current balance" is minus</t>
  </si>
  <si>
    <t>Update deposit account have "Sweeping" information with:
- Sweeping status: from "No" to "Yes"</t>
  </si>
  <si>
    <t>Update deposit account have "Sweeping" information and linked with Overdraft account</t>
  </si>
  <si>
    <t>Update deposit account have "Sweeping" information with:
- Sweeping type: Both
- Sweeping status: change from "Yes" to "No"</t>
  </si>
  <si>
    <t>Update deposit account have "Sweeping" information with:
- Sweeping type: Deficit
- Sweeping status: change from "Yes" to "No"</t>
  </si>
  <si>
    <t>Update deposit account have "Sweeping" information with:
- Sweeping type: Surplus
- Sweeping status: change from "Yes" to "No"</t>
  </si>
  <si>
    <t>Update deposit account have "Sweeping" information with:
- Sweeping status: Yes
- To date (under sweeping) &lt; working date</t>
  </si>
  <si>
    <t>Update deposit account have "Sweeping" information with:
- Sweeping status: Yes
- Sweeping type: Both
- Deficit account status: &lt;&gt; Normal
- Surplus account status: &lt;&gt; New and Normal</t>
  </si>
  <si>
    <t>Update deposit account have "Sweeping" information with:
- Sweeping status: Yes
- Sweeping type: Deficit
- Deficit account status: &lt;&gt; Normal</t>
  </si>
  <si>
    <t>Update deposit account have "Sweeping" information with:
- Sweeping status: Yes
- Sweeping type: Surplus
- Surplus account status: &lt;&gt; New and Normal</t>
  </si>
  <si>
    <t>Update curent account with:
- Agent hub referral</t>
  </si>
  <si>
    <t>Update saving account with:
- Agent hub referral</t>
  </si>
  <si>
    <t>Update deposit account have "Sweeping" information with:
- Sweeping status: Yes
- To date (under sweeping) &lt; from date</t>
  </si>
  <si>
    <t>DPT_001_016</t>
  </si>
  <si>
    <t>DPT_001_017</t>
  </si>
  <si>
    <t>DPT_001_018</t>
  </si>
  <si>
    <t>DPT_001_019</t>
  </si>
  <si>
    <t>DPT_001_020</t>
  </si>
  <si>
    <t>DPT_001_021</t>
  </si>
  <si>
    <t>DPT_001_022</t>
  </si>
  <si>
    <t>DPT_001_023</t>
  </si>
  <si>
    <t>DPT_001_024</t>
  </si>
  <si>
    <t>DPT_001_025</t>
  </si>
  <si>
    <t>DPT_001_026</t>
  </si>
  <si>
    <t>DPT_001_027</t>
  </si>
  <si>
    <t>DPT_001_028</t>
  </si>
  <si>
    <t>DPT_001_029</t>
  </si>
  <si>
    <t>DPT_001_030</t>
  </si>
  <si>
    <t>DPT_001_031</t>
  </si>
  <si>
    <t>DPT_001_032</t>
  </si>
  <si>
    <t>DPT_001_033</t>
  </si>
  <si>
    <t>DPT_001_034</t>
  </si>
  <si>
    <t>DPT_001_035</t>
  </si>
  <si>
    <t>DPT_001_036</t>
  </si>
  <si>
    <t>DPT_001_037</t>
  </si>
  <si>
    <t>DPT_001_038</t>
  </si>
  <si>
    <t>DPT_001_039</t>
  </si>
  <si>
    <t>DPT_001_040</t>
  </si>
  <si>
    <t>DPT_001_041</t>
  </si>
  <si>
    <t>DPT_001_042</t>
  </si>
  <si>
    <t>DPT_001_043</t>
  </si>
  <si>
    <t>DPT_001_044</t>
  </si>
  <si>
    <t>DPT_001_045</t>
  </si>
  <si>
    <t>DPT_001_046</t>
  </si>
  <si>
    <t>DPT_001_047</t>
  </si>
  <si>
    <t>DPT_001_048</t>
  </si>
  <si>
    <t>DPT_001_049</t>
  </si>
  <si>
    <t>DPT_001_050</t>
  </si>
  <si>
    <t>DPT_001_051</t>
  </si>
  <si>
    <t>DPT_001_052</t>
  </si>
  <si>
    <t>DPT_001_053</t>
  </si>
  <si>
    <t>Update deposit account with extension fields:
- Reason of Account Opening: have data
- Relationship Manager: have data</t>
  </si>
  <si>
    <t>Update deposit account with extension fields:
- Reason of Account Opening: text max length 250
- Relationship Manager: have data</t>
  </si>
  <si>
    <t>View successfully
- Have data under table "DepositAccountExtension"</t>
  </si>
  <si>
    <t>DPT_003_005</t>
  </si>
  <si>
    <t>DPT_003_006</t>
  </si>
  <si>
    <t>DPT_003_007</t>
  </si>
  <si>
    <t>DPT_003_008</t>
  </si>
  <si>
    <t>DPT_003_009</t>
  </si>
  <si>
    <t>DPT_003_010</t>
  </si>
  <si>
    <t>DPT_003_011</t>
  </si>
  <si>
    <t>DPT_003_012</t>
  </si>
  <si>
    <t>DPT_003_013</t>
  </si>
  <si>
    <t>DPT_003_014</t>
  </si>
  <si>
    <t>DPT_003_015</t>
  </si>
  <si>
    <t>DPT_003_016</t>
  </si>
  <si>
    <t>DPT_003_017</t>
  </si>
  <si>
    <t>DPT_003_018</t>
  </si>
  <si>
    <t>DPT_003_019</t>
  </si>
  <si>
    <t>DPT_003_020</t>
  </si>
  <si>
    <t>DPT_003_021</t>
  </si>
  <si>
    <t>DPT_003_022</t>
  </si>
  <si>
    <t>DPT_003_023</t>
  </si>
  <si>
    <t>DPT_003_024</t>
  </si>
  <si>
    <t>DPT_003_025</t>
  </si>
  <si>
    <t>DPT_003_026</t>
  </si>
  <si>
    <t>DPT_003_027</t>
  </si>
  <si>
    <t>DPT_003_028</t>
  </si>
  <si>
    <t>DPT_003_029</t>
  </si>
  <si>
    <t>DPT_003_030</t>
  </si>
  <si>
    <t>DPT_003_031</t>
  </si>
  <si>
    <t>DPT_003_032</t>
  </si>
  <si>
    <t>DPT_003_033</t>
  </si>
  <si>
    <t>DPT_003_034</t>
  </si>
  <si>
    <t>DPT_003_035</t>
  </si>
  <si>
    <t>DPT_003_036</t>
  </si>
  <si>
    <t>DPT_003_037</t>
  </si>
  <si>
    <t>DPT_003_038</t>
  </si>
  <si>
    <t>DPT_003_039</t>
  </si>
  <si>
    <t>DPT_003_040</t>
  </si>
  <si>
    <t>DPT_003_041</t>
  </si>
  <si>
    <t>DPT_003_042</t>
  </si>
  <si>
    <t>DPT_003_043</t>
  </si>
  <si>
    <t>DPT_003_044</t>
  </si>
  <si>
    <t>Import fail</t>
  </si>
  <si>
    <r>
      <t xml:space="preserve">Import media file 5MB
</t>
    </r>
    <r>
      <rPr>
        <sz val="10"/>
        <color rgb="FFFF0000"/>
        <rFont val="Arial"/>
        <family val="2"/>
      </rPr>
      <t>NOTE: update param Server "MEDIA_UPLOAD_MAX_SIZE" is "2" (mean: allow file with max size is 2MB)</t>
    </r>
  </si>
  <si>
    <r>
      <t xml:space="preserve">Update </t>
    </r>
    <r>
      <rPr>
        <sz val="10"/>
        <color rgb="FFFF0000"/>
        <rFont val="Arial"/>
        <family val="2"/>
      </rPr>
      <t>C1: Personal</t>
    </r>
    <r>
      <rPr>
        <sz val="10"/>
        <rFont val="Arial"/>
        <family val="2"/>
      </rPr>
      <t xml:space="preserve"> customer
- Status is "Normal" or "Block" or "Decease Claim" or "Closed"</t>
    </r>
  </si>
  <si>
    <r>
      <t xml:space="preserve">Add </t>
    </r>
    <r>
      <rPr>
        <sz val="10"/>
        <color rgb="FFFF0000"/>
        <rFont val="Arial"/>
        <family val="2"/>
      </rPr>
      <t>C1: Personal</t>
    </r>
    <r>
      <rPr>
        <sz val="10"/>
        <rFont val="Arial"/>
        <family val="2"/>
      </rPr>
      <t xml:space="preserve"> customer</t>
    </r>
  </si>
  <si>
    <r>
      <t xml:space="preserve">Add </t>
    </r>
    <r>
      <rPr>
        <sz val="10"/>
        <color rgb="FFFF0000"/>
        <rFont val="Arial"/>
        <family val="2"/>
      </rPr>
      <t>C2: SME</t>
    </r>
    <r>
      <rPr>
        <sz val="10"/>
        <rFont val="Arial"/>
        <family val="2"/>
      </rPr>
      <t xml:space="preserve"> customer</t>
    </r>
  </si>
  <si>
    <r>
      <t xml:space="preserve">Add </t>
    </r>
    <r>
      <rPr>
        <sz val="10"/>
        <color rgb="FFFF0000"/>
        <rFont val="Arial"/>
        <family val="2"/>
      </rPr>
      <t>C3: Corporate</t>
    </r>
    <r>
      <rPr>
        <sz val="10"/>
        <rFont val="Arial"/>
        <family val="2"/>
      </rPr>
      <t xml:space="preserve"> customer</t>
    </r>
  </si>
  <si>
    <r>
      <t xml:space="preserve">Add </t>
    </r>
    <r>
      <rPr>
        <sz val="10"/>
        <color rgb="FFFF0000"/>
        <rFont val="Arial"/>
        <family val="2"/>
      </rPr>
      <t>C4: Institutional</t>
    </r>
    <r>
      <rPr>
        <sz val="10"/>
        <rFont val="Arial"/>
        <family val="2"/>
      </rPr>
      <t xml:space="preserve"> customer</t>
    </r>
  </si>
  <si>
    <r>
      <t xml:space="preserve">Update </t>
    </r>
    <r>
      <rPr>
        <sz val="10"/>
        <color rgb="FFFF0000"/>
        <rFont val="Arial"/>
        <family val="2"/>
      </rPr>
      <t>C1: Personal</t>
    </r>
    <r>
      <rPr>
        <sz val="10"/>
        <rFont val="Arial"/>
        <family val="2"/>
      </rPr>
      <t xml:space="preserve"> customer
- Status is "Pending to approve"</t>
    </r>
  </si>
  <si>
    <r>
      <t xml:space="preserve">Update </t>
    </r>
    <r>
      <rPr>
        <sz val="10"/>
        <color rgb="FFFF0000"/>
        <rFont val="Arial"/>
        <family val="2"/>
      </rPr>
      <t>C2: SME</t>
    </r>
    <r>
      <rPr>
        <sz val="10"/>
        <rFont val="Arial"/>
        <family val="2"/>
      </rPr>
      <t xml:space="preserve"> customer
- Status is "Pending to approve"</t>
    </r>
  </si>
  <si>
    <r>
      <t xml:space="preserve">Update </t>
    </r>
    <r>
      <rPr>
        <sz val="10"/>
        <color rgb="FFFF0000"/>
        <rFont val="Arial"/>
        <family val="2"/>
      </rPr>
      <t>C2: SME</t>
    </r>
    <r>
      <rPr>
        <sz val="10"/>
        <rFont val="Arial"/>
        <family val="2"/>
      </rPr>
      <t xml:space="preserve"> customer
- Status is "Normal" or "Block" or "Decease Claim" or "Closed"</t>
    </r>
  </si>
  <si>
    <r>
      <t xml:space="preserve">Update </t>
    </r>
    <r>
      <rPr>
        <sz val="10"/>
        <color rgb="FFFF0000"/>
        <rFont val="Arial"/>
        <family val="2"/>
      </rPr>
      <t>C3: Corporate</t>
    </r>
    <r>
      <rPr>
        <sz val="10"/>
        <rFont val="Arial"/>
        <family val="2"/>
      </rPr>
      <t xml:space="preserve"> customer
- Status is "Pending to approve"</t>
    </r>
  </si>
  <si>
    <r>
      <t xml:space="preserve">Update </t>
    </r>
    <r>
      <rPr>
        <sz val="10"/>
        <color rgb="FFFF0000"/>
        <rFont val="Arial"/>
        <family val="2"/>
      </rPr>
      <t>C3: Corporate</t>
    </r>
    <r>
      <rPr>
        <sz val="10"/>
        <rFont val="Arial"/>
        <family val="2"/>
      </rPr>
      <t xml:space="preserve"> customer
- Status is "Normal" or "Block" or "Decease Claim" or "Closed"</t>
    </r>
  </si>
  <si>
    <r>
      <t xml:space="preserve">Update </t>
    </r>
    <r>
      <rPr>
        <sz val="10"/>
        <color rgb="FFFF0000"/>
        <rFont val="Arial"/>
        <family val="2"/>
      </rPr>
      <t>C4: Institutional</t>
    </r>
    <r>
      <rPr>
        <sz val="10"/>
        <rFont val="Arial"/>
        <family val="2"/>
      </rPr>
      <t xml:space="preserve"> customer
- Status is "Pending to approve"</t>
    </r>
  </si>
  <si>
    <r>
      <t xml:space="preserve">Update </t>
    </r>
    <r>
      <rPr>
        <sz val="10"/>
        <color rgb="FFFF0000"/>
        <rFont val="Arial"/>
        <family val="2"/>
      </rPr>
      <t>C4: Institutional</t>
    </r>
    <r>
      <rPr>
        <sz val="10"/>
        <rFont val="Arial"/>
        <family val="2"/>
      </rPr>
      <t xml:space="preserve"> customer
- Status is "Normal" or "Block" or "Decease Claim" or "Closed"</t>
    </r>
  </si>
  <si>
    <t>Update customer have extension fields with:
- Reason For Other Economic Sector: empty
- Reason For Other Business Type: empty
- Referral Field: empty
- Reason For Other Sub Economic Sector: empty
- Reason For Other Occupation: empty
- Reason For Other Paper Type: empty
- Income: empty
- Introducer: empty
- Position: empty
- Remark Field To Add: empty
- Employer Name: empty
- Fdi Info: empty
- Tin Number: empty</t>
  </si>
  <si>
    <t>Add successfully
- Insert data into table "CustomerExtension"</t>
  </si>
  <si>
    <t>Using openAPI for third parties</t>
  </si>
  <si>
    <t>CTM_001_007</t>
  </si>
  <si>
    <t>Add customer with existing "Paper number" and "Paper type"</t>
  </si>
  <si>
    <t>Modify successfully
- Insert data into table "CustomerExtension"</t>
  </si>
  <si>
    <t>Update customer have relation account information</t>
  </si>
  <si>
    <t>Update customer with:
- Status "Pending to approve"
- Change paper number</t>
  </si>
  <si>
    <t>Popup is showed
'Modify successfully</t>
  </si>
  <si>
    <t>Update customer with extension field change from "Other" to NOT "Other":
- Reason For Other Economic Sector
- Reason For Other Business Type
- Reason For Other Sub Economic Sector
- Reason For Other Occupation
- Reason For Other Paper Type</t>
  </si>
  <si>
    <t>Add customer with address containing special characters</t>
  </si>
  <si>
    <t>Update customer with address containing special characters</t>
  </si>
  <si>
    <t>Modify successfully
- Data in "Other" field skipped, not clear data</t>
  </si>
  <si>
    <t>Update customer with:
- "Is Restricted" is null</t>
  </si>
  <si>
    <r>
      <t xml:space="preserve">Update customer have extension fields with:
- Reason For Other Economic Sector: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Reason For Other Business Type: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Referral Field: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Reason For Other Sub Economic Sector: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Reason For Other Occupation: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Reason For Other Paper Type: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Income: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Introducer: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Position: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Remark Field To Add: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Employer Name: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Fdi Info: </t>
    </r>
    <r>
      <rPr>
        <sz val="10"/>
        <color rgb="FFFF0000"/>
        <rFont val="Arial"/>
        <family val="2"/>
      </rPr>
      <t>empty</t>
    </r>
    <r>
      <rPr>
        <sz val="10"/>
        <rFont val="Arial"/>
        <family val="2"/>
      </rPr>
      <t xml:space="preserve">
- Tin Number: </t>
    </r>
    <r>
      <rPr>
        <sz val="10"/>
        <color rgb="FFFF0000"/>
        <rFont val="Arial"/>
        <family val="2"/>
      </rPr>
      <t>empty</t>
    </r>
  </si>
  <si>
    <r>
      <t xml:space="preserve">Update customer have NO extension fields with:
- Reason For Other Economic Sector
- Reason For Other Business Type
- Referral Field
- Reason For Other Sub Economic Sector
- Reason For Other Occupation
- Reason For Other Paper Type
- Income
- Introducer
- Position
- Remark Field To Add
- Employer Name
- Fdi Info
- Tin Number
</t>
    </r>
    <r>
      <rPr>
        <sz val="10"/>
        <color rgb="FFFF0000"/>
        <rFont val="Arial"/>
        <family val="2"/>
      </rPr>
      <t>Note: delete data in table "CustomerExtension"</t>
    </r>
  </si>
  <si>
    <t>Update customer with "Relation Deposit Information":
- Deposit account have "Balance" is ********</t>
  </si>
  <si>
    <t>Import successfully
- Insert data is correct
- o9customer.dbo.CustomerMediaStorage
- o9cms.dbo.MediaUpload
- o9cms.dbo.UserMedia</t>
  </si>
  <si>
    <t>Import media file 2MB
- PNG/JPG/PDF/Excel
- Expired date is empty</t>
  </si>
  <si>
    <t>Import media file 2MB
- PNG/JPG/PDF/Excel
- Expired date is valid</t>
  </si>
  <si>
    <r>
      <t xml:space="preserve">Update deposit have </t>
    </r>
    <r>
      <rPr>
        <sz val="10"/>
        <color rgb="FFFF0000"/>
        <rFont val="Arial"/>
        <family val="2"/>
      </rPr>
      <t>NO</t>
    </r>
    <r>
      <rPr>
        <sz val="10"/>
        <rFont val="Arial"/>
        <family val="2"/>
      </rPr>
      <t xml:space="preserve"> extension fields with:
- Reason of Account Opening
- Relationship Manager
</t>
    </r>
    <r>
      <rPr>
        <sz val="10"/>
        <color rgb="FFFF0000"/>
        <rFont val="Arial"/>
        <family val="2"/>
      </rPr>
      <t>Note: delete data in table "DepositAccountExtension"</t>
    </r>
  </si>
  <si>
    <t>Add successfully
- Address
- Extension fields
- "LastModifyUserCode" get value is UserCode login
Insert data into "Customer Group"
Check data in the tables:
- o9customer.dbo.SingleCustomer
- o9customer.dbo.CustomerGroup
- o9customer.dbo.CustomerExtension
- o9customer.dbo.CustomerAlias</t>
  </si>
  <si>
    <t>Add successfully
- Address
- Extension fields
- "LastModifyUserCode" get value is UserCode login
Auto insert data into "Customer Linkage"
Check data in the tables:
- o9customer.dbo.SingleCustomer
- o9customer.dbo.CustomerLinkage
- o9customer.dbo.CustomerExtension
- o9customer.dbo.CustomerAlias</t>
  </si>
  <si>
    <t>Add successfully
- Address
- Extension fields
- "LastModifyUserCode" get value is UserCode login
- Insert data into table "CustomerExtension"</t>
  </si>
  <si>
    <t>Add successfully
- Address
- Extension fields
- "LastModifyUserCode" get value is UserCode login</t>
  </si>
  <si>
    <t>Add fail
Error message "ERROR: Paper number existed"</t>
  </si>
  <si>
    <r>
      <t xml:space="preserve">Modify successfully, </t>
    </r>
    <r>
      <rPr>
        <b/>
        <sz val="10"/>
        <color rgb="FFFF0000"/>
        <rFont val="Arial"/>
        <family val="2"/>
      </rPr>
      <t>NO</t>
    </r>
    <r>
      <rPr>
        <sz val="10"/>
        <rFont val="Arial"/>
        <family val="2"/>
      </rPr>
      <t xml:space="preserve"> need to approve
- Address
- Extension fields
- "LastModifyUserCode" get UserCode of user login and make update
- "UpdatedOnUtc" get date and time UTC
- "LastUpdateDate"  get working date</t>
    </r>
  </si>
  <si>
    <t>Modify successfully, need to approve
- Address
- Extension fields
- "LastModifyUserCode" get UserCode of user login and make update
- "UpdatedOnUtc" get date and time UTC
- "LastUpdateDate"  get working date</t>
  </si>
  <si>
    <r>
      <t xml:space="preserve">Modify successfully, </t>
    </r>
    <r>
      <rPr>
        <b/>
        <sz val="10"/>
        <color rgb="FFFF0000"/>
        <rFont val="Arial"/>
        <family val="2"/>
      </rPr>
      <t>NO</t>
    </r>
    <r>
      <rPr>
        <sz val="10"/>
        <rFont val="Arial"/>
        <family val="2"/>
      </rPr>
      <t xml:space="preserve"> need to approve
- Address
- Extension fields
- "LastModifyUserCode" get UserCode of user login and make update
- "UpdatedOnUtc" get date and time UTC</t>
    </r>
  </si>
  <si>
    <t>CTM_004</t>
  </si>
  <si>
    <t>CTM_INSERT_CTM_API: OpenAPI add customer profile</t>
  </si>
  <si>
    <t>dùng chung step code SQL_INSERT_CTM</t>
  </si>
  <si>
    <t>CTM_004_001</t>
  </si>
  <si>
    <t>Modify successfully, need to approve
- Address
- Extension fields
- "LastModifyUserCode" get UserCode of user login and make update
- "UpdatedOnUtc" get date and time UTC
- "LastUpdateDate"  get real date</t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</si>
  <si>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= 0.00
+ IFC inused
</t>
    </r>
    <r>
      <rPr>
        <b/>
        <sz val="10"/>
        <color rgb="FF00B050"/>
        <rFont val="Arial"/>
        <family val="2"/>
      </rPr>
      <t>NO modify IFC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</si>
  <si>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&gt; 0.00
+ Paid &gt; 0.00
+ IFC inused
</t>
    </r>
    <r>
      <rPr>
        <b/>
        <sz val="10"/>
        <color rgb="FF00B050"/>
        <rFont val="Arial"/>
        <family val="2"/>
      </rPr>
      <t>NO modify IFC</t>
    </r>
  </si>
  <si>
    <r>
      <rPr>
        <b/>
        <sz val="10"/>
        <color rgb="FFFF0000"/>
        <rFont val="Arial"/>
        <family val="2"/>
      </rPr>
      <t>Modify failed</t>
    </r>
    <r>
      <rPr>
        <sz val="10"/>
        <rFont val="Arial"/>
        <family val="2"/>
      </rPr>
      <t xml:space="preserve">
- Tab "IFC list", IFC code with "Oustanding" and "Paid" is NOT update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"Margin Value"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"IFC status"
</t>
    </r>
    <r>
      <rPr>
        <b/>
        <sz val="10"/>
        <rFont val="Arial"/>
        <family val="2"/>
      </rPr>
      <t>NOTE: Based on Production</t>
    </r>
  </si>
  <si>
    <r>
      <t xml:space="preserve">Update </t>
    </r>
    <r>
      <rPr>
        <sz val="10"/>
        <color rgb="FFFF0000"/>
        <rFont val="Arial"/>
        <family val="2"/>
      </rPr>
      <t>prepaid fixed deposit</t>
    </r>
    <r>
      <rPr>
        <sz val="10"/>
        <rFont val="Arial"/>
        <family val="2"/>
      </rPr>
      <t xml:space="preserve"> account with "IFC list" have information:
+ PrepaidAmount = 0.00
+ Paid &gt; 0.00
+ IFC inused
</t>
    </r>
    <r>
      <rPr>
        <b/>
        <sz val="10"/>
        <color rgb="FF00B050"/>
        <rFont val="Arial"/>
        <family val="2"/>
      </rPr>
      <t>NO modify IFC</t>
    </r>
  </si>
  <si>
    <t>Modify successfully, need to approve
- Tab "IFC list", IFC code with "BasicBalance" and "Oustanding" and "Paid" are NOT update</t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</si>
  <si>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 with "IFC list" have information:
+ Oustanding = 0.00
+ Paid &gt; 0.00
+ BasicBalance &gt; 0.00
Modify "Margin Value" of IFC
Modify "IFC status" of IFC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</si>
  <si>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 with "IFC list" have information:
+ </t>
    </r>
    <r>
      <rPr>
        <b/>
        <sz val="10"/>
        <color rgb="FFFF0000"/>
        <rFont val="Arial"/>
        <family val="2"/>
      </rPr>
      <t>Oustanding &gt; 0.00</t>
    </r>
    <r>
      <rPr>
        <sz val="10"/>
        <rFont val="Arial"/>
        <family val="2"/>
      </rPr>
      <t xml:space="preserve">
+ Paid = 0.00
+ BasicBalance &gt; 0.00
Modify "Margin Value" of IFC
Modify "IFC status" of IFC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</si>
  <si>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 with "IFC list" have information:
+ </t>
    </r>
    <r>
      <rPr>
        <b/>
        <sz val="10"/>
        <color rgb="FFFF0000"/>
        <rFont val="Arial"/>
        <family val="2"/>
      </rPr>
      <t>Oustanding &gt; 0.00</t>
    </r>
    <r>
      <rPr>
        <sz val="10"/>
        <rFont val="Arial"/>
        <family val="2"/>
      </rPr>
      <t xml:space="preserve">
+ Paid &gt; 0.00
+ BasicBalance &gt; 0.00
Modify "Margin Value" of IFC
Modify "IFC status" of IFC</t>
    </r>
  </si>
  <si>
    <t>Modify successfully, need to approve
- Tab "IFC list", IFC code with "BasicBalance" and "Oustanding" and "Paid" are NOT update
- Can update "Margin Value"
- Can update "IFC status"</t>
  </si>
  <si>
    <r>
      <t xml:space="preserve">Modify successfully, need to approve
- Tab "IFC list", IFC code with "BasicBalance" and "Oustanding" and "Paid" are NOT update
- Can update "Margin Value"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"IFC status", UI disable field</t>
    </r>
  </si>
  <si>
    <r>
      <t xml:space="preserve">Modify successfully, need to approve
- Tab "IFC list", IFC code with "BasicBalance" and "Oustanding" and "Paid" is NOT update
- Can update "Margin Value"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"IFC status", UI disable field</t>
    </r>
  </si>
  <si>
    <t>Modify successfully, need to approve
- Tab "IFC list", IFC code with "Oustanding" and "Paid" is NOT update
- Can update "Margin Value"
- Can update "IFC status"</t>
  </si>
  <si>
    <r>
      <t xml:space="preserve">Modify successfully, need to approve
- Tab "IFC list", IFC code with "Oustanding" and "Paid" is NOT update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"Margin Value"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"IFC status"
</t>
    </r>
    <r>
      <rPr>
        <b/>
        <sz val="10"/>
        <rFont val="Arial"/>
        <family val="2"/>
      </rPr>
      <t>NOTE: Based on Production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</si>
  <si>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 with "IFC list" have information:
+ Oustanding = 0.00
+ Paid &gt; 0.00
Modify "Margin Value" of IFC
Modify "IFC status" of IFC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</si>
  <si>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 with "IFC list" have information:
+ </t>
    </r>
    <r>
      <rPr>
        <b/>
        <sz val="10"/>
        <color rgb="FFFF0000"/>
        <rFont val="Arial"/>
        <family val="2"/>
      </rPr>
      <t>Oustanding &gt; 0.00</t>
    </r>
    <r>
      <rPr>
        <sz val="10"/>
        <rFont val="Arial"/>
        <family val="2"/>
      </rPr>
      <t xml:space="preserve">
+ Paid &gt; 0.00
Modify "Margin Value" of IFC
Modify "IFC status" of IFC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</si>
  <si>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 with "IFC list" have information:
+ </t>
    </r>
    <r>
      <rPr>
        <b/>
        <sz val="10"/>
        <color rgb="FFFF0000"/>
        <rFont val="Arial"/>
        <family val="2"/>
      </rPr>
      <t>Oustanding &gt; 0.00</t>
    </r>
    <r>
      <rPr>
        <sz val="10"/>
        <rFont val="Arial"/>
        <family val="2"/>
      </rPr>
      <t xml:space="preserve">
+ Paid = 0.00
Modify "Margin Value" of IFC
Modify "IFC status" of IFC</t>
    </r>
  </si>
  <si>
    <r>
      <t xml:space="preserve">Modify successfully, need to approve
- Tab "IFC list", IFC code with "Oustanding" and "Paid" is NOT update
- Can update "Margin Value"
- Can </t>
    </r>
    <r>
      <rPr>
        <sz val="10"/>
        <color rgb="FFFF0000"/>
        <rFont val="Arial"/>
        <family val="2"/>
      </rPr>
      <t>NOT</t>
    </r>
    <r>
      <rPr>
        <sz val="10"/>
        <rFont val="Arial"/>
        <family val="2"/>
      </rPr>
      <t xml:space="preserve"> update "IFC status", UI disable field</t>
    </r>
  </si>
  <si>
    <r>
      <t xml:space="preserve">Update </t>
    </r>
    <r>
      <rPr>
        <sz val="10"/>
        <color rgb="FFFF0000"/>
        <rFont val="Arial"/>
        <family val="2"/>
      </rPr>
      <t>saving</t>
    </r>
    <r>
      <rPr>
        <sz val="10"/>
        <rFont val="Arial"/>
        <family val="2"/>
      </rPr>
      <t xml:space="preserve"> account with "IFC list" have information:
+ BasicBalance &gt; 0.00 or
+ Paid &gt; 0.00 or
+ BasicBalance &gt; 0.00
</t>
    </r>
    <r>
      <rPr>
        <b/>
        <sz val="10"/>
        <color rgb="FF00B050"/>
        <rFont val="Arial"/>
        <family val="2"/>
      </rPr>
      <t>NO modify IFC</t>
    </r>
  </si>
  <si>
    <r>
      <t xml:space="preserve">Update </t>
    </r>
    <r>
      <rPr>
        <sz val="10"/>
        <color rgb="FFFF0000"/>
        <rFont val="Arial"/>
        <family val="2"/>
      </rPr>
      <t>fixed deposit</t>
    </r>
    <r>
      <rPr>
        <sz val="10"/>
        <rFont val="Arial"/>
        <family val="2"/>
      </rPr>
      <t xml:space="preserve"> account with "IFC list" have information:
+ Oustanding &gt; 0.00 or
+ Paid &gt; 0.00
</t>
    </r>
    <r>
      <rPr>
        <b/>
        <sz val="10"/>
        <color rgb="FF00B050"/>
        <rFont val="Arial"/>
        <family val="2"/>
      </rPr>
      <t>NO modify IFC</t>
    </r>
  </si>
  <si>
    <t>Modify successfully, need to approve
- Tab "IFC list", IFC code with "Oustanding" and "Paid" is NOT update</t>
  </si>
  <si>
    <t>DPT_001_054</t>
  </si>
  <si>
    <t>Not allow modify, UI disable check-box</t>
  </si>
  <si>
    <r>
      <t xml:space="preserve">Modify successfully, need to approve
- Tab "IFC list", IFC code with "Oustanding" and "Paid" is NOT update
- Can update "Margin Value"
- Can update "IFC status"
</t>
    </r>
    <r>
      <rPr>
        <b/>
        <sz val="10"/>
        <rFont val="Arial"/>
        <family val="2"/>
      </rPr>
      <t>NOTE: Based on Production</t>
    </r>
  </si>
  <si>
    <r>
      <rPr>
        <b/>
        <sz val="10"/>
        <color rgb="FFFF0000"/>
        <rFont val="Arial"/>
        <family val="2"/>
      </rPr>
      <t>Modify failed</t>
    </r>
    <r>
      <rPr>
        <sz val="10"/>
        <rFont val="Arial"/>
        <family val="2"/>
      </rPr>
      <t xml:space="preserve">
- NOT allow delete IFC in the list of items
</t>
    </r>
    <r>
      <rPr>
        <b/>
        <sz val="10"/>
        <rFont val="Arial"/>
        <family val="2"/>
      </rPr>
      <t>NOTE: Based on Production</t>
    </r>
  </si>
  <si>
    <r>
      <t xml:space="preserve">Modify successfully, need to approve
</t>
    </r>
    <r>
      <rPr>
        <b/>
        <sz val="10"/>
        <rFont val="Arial"/>
        <family val="2"/>
      </rPr>
      <t>NOTE: Based on Production</t>
    </r>
  </si>
  <si>
    <t>Modify successfully, need to approve
- Tab "IFC GLs Information"
+ GL account insert new row</t>
  </si>
  <si>
    <t>DPT_001_055</t>
  </si>
  <si>
    <t>Update deposit account with user not same branch</t>
  </si>
  <si>
    <r>
      <t>Not allow modify</t>
    </r>
    <r>
      <rPr>
        <sz val="10"/>
        <color rgb="FFFF0000"/>
        <rFont val="Arial"/>
        <family val="2"/>
      </rPr>
      <t xml:space="preserve">
Error message "Only the branch holding the deposit account can be made"</t>
    </r>
  </si>
  <si>
    <t>DPT_003_045</t>
  </si>
  <si>
    <t>Approve modify deposit account with user not same branch</t>
  </si>
  <si>
    <r>
      <t>Not allow approve</t>
    </r>
    <r>
      <rPr>
        <sz val="10"/>
        <color rgb="FFFF0000"/>
        <rFont val="Arial"/>
        <family val="2"/>
      </rPr>
      <t xml:space="preserve">
Error message "BranchOfUserNotAllowed: Only the branch holding the deposit account can be made"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</si>
</sst>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yy"/>
    <numFmt numFmtId="165" formatCode="0.0"/>
    <numFmt numFmtId="166" formatCode="_-* #,##0.00_-;\-* #,##0.00_-;_-* &quot;-&quot;??_-;_-@_-"/>
  </numFmts>
  <fonts count="3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Book Antiqua"/>
      <family val="1"/>
    </font>
    <font>
      <b/>
      <sz val="16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i/>
      <sz val="10"/>
      <color theme="1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10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1662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</borders>
  <cellStyleXfs count="11">
    <xf numFmtId="0" fontId="0" fillId="0" borderId="0"/>
    <xf numFmtId="0" fontId="6" fillId="0" borderId="0"/>
    <xf numFmtId="0" fontId="6" fillId="0" borderId="0" applyNumberFormat="0" applyFill="0" applyBorder="0" applyAlignment="0" applyProtection="0"/>
    <xf numFmtId="0" fontId="7" fillId="0" borderId="0"/>
    <xf numFmtId="0" fontId="6" fillId="0" borderId="0"/>
    <xf numFmtId="9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156">
    <xf numFmtId="0" fontId="0" fillId="0" borderId="0" xfId="0"/>
    <xf numFmtId="0" fontId="9" fillId="3" borderId="0" xfId="3" applyFont="1" applyFill="1"/>
    <xf numFmtId="0" fontId="6" fillId="3" borderId="0" xfId="4" applyFont="1" applyFill="1"/>
    <xf numFmtId="165" fontId="6" fillId="3" borderId="1" xfId="2" applyNumberFormat="1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6" fillId="3" borderId="9" xfId="2" applyFont="1" applyFill="1" applyBorder="1" applyAlignment="1">
      <alignment horizontal="left" vertical="center" wrapText="1"/>
    </xf>
    <xf numFmtId="0" fontId="6" fillId="3" borderId="12" xfId="2" applyFont="1" applyFill="1" applyBorder="1" applyAlignment="1">
      <alignment horizontal="left" vertical="center" wrapText="1"/>
    </xf>
    <xf numFmtId="0" fontId="11" fillId="0" borderId="0" xfId="0" applyFont="1"/>
    <xf numFmtId="0" fontId="6" fillId="3" borderId="0" xfId="3" applyFont="1" applyFill="1" applyAlignment="1">
      <alignment horizontal="left"/>
    </xf>
    <xf numFmtId="0" fontId="6" fillId="3" borderId="0" xfId="2" applyFont="1" applyFill="1"/>
    <xf numFmtId="0" fontId="12" fillId="0" borderId="0" xfId="0" applyFont="1" applyAlignment="1">
      <alignment horizontal="left" vertical="center" wrapText="1"/>
    </xf>
    <xf numFmtId="0" fontId="10" fillId="0" borderId="0" xfId="1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4" fontId="6" fillId="0" borderId="0" xfId="1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49" fontId="6" fillId="0" borderId="0" xfId="1" applyNumberFormat="1" applyFont="1" applyFill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14" fontId="6" fillId="0" borderId="1" xfId="0" applyNumberFormat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16" fontId="17" fillId="0" borderId="1" xfId="0" applyNumberFormat="1" applyFont="1" applyFill="1" applyBorder="1" applyAlignment="1">
      <alignment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0" xfId="1" applyNumberFormat="1" applyFont="1" applyFill="1" applyBorder="1" applyAlignment="1">
      <alignment vertical="center"/>
    </xf>
    <xf numFmtId="0" fontId="5" fillId="0" borderId="0" xfId="0" applyFont="1" applyBorder="1"/>
    <xf numFmtId="10" fontId="6" fillId="0" borderId="1" xfId="5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3" xfId="0" applyFont="1" applyBorder="1"/>
    <xf numFmtId="0" fontId="4" fillId="0" borderId="0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9" fillId="0" borderId="0" xfId="1" applyNumberFormat="1" applyFont="1" applyFill="1" applyBorder="1" applyAlignment="1">
      <alignment vertical="center"/>
    </xf>
    <xf numFmtId="164" fontId="6" fillId="3" borderId="5" xfId="2" applyNumberFormat="1" applyFont="1" applyFill="1" applyBorder="1" applyAlignment="1">
      <alignment horizontal="center" vertical="center" wrapText="1"/>
    </xf>
    <xf numFmtId="14" fontId="6" fillId="3" borderId="5" xfId="2" applyNumberFormat="1" applyFont="1" applyFill="1" applyBorder="1" applyAlignment="1">
      <alignment horizontal="center" vertical="center" wrapText="1"/>
    </xf>
    <xf numFmtId="14" fontId="6" fillId="3" borderId="7" xfId="2" applyNumberFormat="1" applyFont="1" applyFill="1" applyBorder="1" applyAlignment="1">
      <alignment horizontal="center" vertical="center" wrapText="1"/>
    </xf>
    <xf numFmtId="14" fontId="6" fillId="3" borderId="10" xfId="2" applyNumberFormat="1" applyFont="1" applyFill="1" applyBorder="1" applyAlignment="1">
      <alignment horizontal="center" vertical="center" wrapText="1"/>
    </xf>
    <xf numFmtId="165" fontId="6" fillId="3" borderId="1" xfId="2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2" quotePrefix="1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8" xfId="2" quotePrefix="1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left" vertical="center" wrapText="1"/>
    </xf>
    <xf numFmtId="0" fontId="6" fillId="3" borderId="11" xfId="2" applyFont="1" applyFill="1" applyBorder="1" applyAlignment="1">
      <alignment horizontal="left" vertical="center" wrapText="1"/>
    </xf>
    <xf numFmtId="0" fontId="14" fillId="5" borderId="1" xfId="1" applyNumberFormat="1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left" vertical="center" wrapText="1"/>
    </xf>
    <xf numFmtId="0" fontId="10" fillId="6" borderId="1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horizontal="center" vertical="center"/>
    </xf>
    <xf numFmtId="0" fontId="14" fillId="5" borderId="1" xfId="1" applyNumberFormat="1" applyFont="1" applyFill="1" applyBorder="1" applyAlignment="1">
      <alignment horizontal="left" vertical="center" wrapText="1"/>
    </xf>
    <xf numFmtId="49" fontId="14" fillId="5" borderId="1" xfId="1" applyNumberFormat="1" applyFont="1" applyFill="1" applyBorder="1" applyAlignment="1">
      <alignment horizontal="left" vertical="center" wrapText="1"/>
    </xf>
    <xf numFmtId="10" fontId="10" fillId="6" borderId="1" xfId="5" applyNumberFormat="1" applyFont="1" applyFill="1" applyBorder="1" applyAlignment="1">
      <alignment horizontal="center" vertical="center"/>
    </xf>
    <xf numFmtId="14" fontId="17" fillId="0" borderId="0" xfId="0" quotePrefix="1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7" fillId="6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vertical="center"/>
    </xf>
    <xf numFmtId="0" fontId="4" fillId="9" borderId="1" xfId="0" applyFont="1" applyFill="1" applyBorder="1"/>
    <xf numFmtId="10" fontId="4" fillId="9" borderId="1" xfId="5" applyNumberFormat="1" applyFont="1" applyFill="1" applyBorder="1"/>
    <xf numFmtId="0" fontId="4" fillId="6" borderId="1" xfId="0" applyFont="1" applyFill="1" applyBorder="1"/>
    <xf numFmtId="10" fontId="4" fillId="6" borderId="1" xfId="5" applyNumberFormat="1" applyFont="1" applyFill="1" applyBorder="1"/>
    <xf numFmtId="10" fontId="4" fillId="8" borderId="1" xfId="5" applyNumberFormat="1" applyFont="1" applyFill="1" applyBorder="1"/>
    <xf numFmtId="10" fontId="4" fillId="7" borderId="1" xfId="5" applyNumberFormat="1" applyFont="1" applyFill="1" applyBorder="1"/>
    <xf numFmtId="0" fontId="20" fillId="5" borderId="2" xfId="1" applyNumberFormat="1" applyFont="1" applyFill="1" applyBorder="1" applyAlignment="1">
      <alignment horizontal="left" vertical="center" wrapText="1"/>
    </xf>
    <xf numFmtId="0" fontId="20" fillId="5" borderId="3" xfId="1" applyNumberFormat="1" applyFont="1" applyFill="1" applyBorder="1" applyAlignment="1">
      <alignment horizontal="left" vertical="center" wrapText="1"/>
    </xf>
    <xf numFmtId="0" fontId="20" fillId="5" borderId="4" xfId="1" applyNumberFormat="1" applyFont="1" applyFill="1" applyBorder="1" applyAlignment="1">
      <alignment horizontal="left" vertical="center" wrapText="1"/>
    </xf>
    <xf numFmtId="0" fontId="3" fillId="8" borderId="1" xfId="0" applyFont="1" applyFill="1" applyBorder="1"/>
    <xf numFmtId="0" fontId="3" fillId="7" borderId="1" xfId="0" applyFont="1" applyFill="1" applyBorder="1"/>
    <xf numFmtId="0" fontId="3" fillId="9" borderId="1" xfId="0" applyFont="1" applyFill="1" applyBorder="1"/>
    <xf numFmtId="0" fontId="14" fillId="10" borderId="1" xfId="0" applyFont="1" applyFill="1" applyBorder="1" applyAlignment="1">
      <alignment horizontal="center" vertical="center" wrapText="1"/>
    </xf>
    <xf numFmtId="0" fontId="14" fillId="10" borderId="1" xfId="1" applyNumberFormat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6" fillId="0" borderId="1" xfId="2" applyNumberFormat="1" applyFont="1" applyFill="1" applyBorder="1" applyAlignment="1">
      <alignment horizontal="center" vertical="center"/>
    </xf>
    <xf numFmtId="0" fontId="10" fillId="6" borderId="1" xfId="2" applyNumberFormat="1" applyFont="1" applyFill="1" applyBorder="1" applyAlignment="1">
      <alignment horizontal="center" vertical="center"/>
    </xf>
    <xf numFmtId="0" fontId="11" fillId="0" borderId="0" xfId="0" applyNumberFormat="1" applyFont="1"/>
    <xf numFmtId="0" fontId="6" fillId="0" borderId="1" xfId="1" quotePrefix="1" applyNumberFormat="1" applyFont="1" applyFill="1" applyBorder="1" applyAlignment="1">
      <alignment horizontal="left" vertical="center" wrapText="1"/>
    </xf>
    <xf numFmtId="0" fontId="6" fillId="0" borderId="1" xfId="2" quotePrefix="1" applyBorder="1" applyAlignment="1">
      <alignment horizontal="left" vertical="center" wrapText="1"/>
    </xf>
    <xf numFmtId="0" fontId="13" fillId="0" borderId="0" xfId="1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65" fontId="6" fillId="3" borderId="5" xfId="2" applyNumberFormat="1" applyFill="1" applyBorder="1" applyAlignment="1">
      <alignment horizontal="center" vertical="center" wrapText="1"/>
    </xf>
    <xf numFmtId="165" fontId="6" fillId="3" borderId="1" xfId="2" applyNumberFormat="1" applyFill="1" applyBorder="1" applyAlignment="1">
      <alignment horizontal="left" vertical="center" wrapText="1"/>
    </xf>
    <xf numFmtId="14" fontId="6" fillId="3" borderId="1" xfId="2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5" fontId="6" fillId="3" borderId="1" xfId="2" applyNumberFormat="1" applyFill="1" applyBorder="1" applyAlignment="1">
      <alignment horizontal="center" vertical="center" wrapText="1"/>
    </xf>
    <xf numFmtId="0" fontId="6" fillId="3" borderId="6" xfId="2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24" fillId="0" borderId="1" xfId="1" quotePrefix="1" applyNumberFormat="1" applyFont="1" applyFill="1" applyBorder="1" applyAlignment="1">
      <alignment horizontal="left" vertical="center" wrapText="1"/>
    </xf>
    <xf numFmtId="0" fontId="27" fillId="12" borderId="1" xfId="9" applyFont="1" applyBorder="1" applyAlignment="1">
      <alignment vertical="center"/>
    </xf>
    <xf numFmtId="0" fontId="27" fillId="12" borderId="6" xfId="9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quotePrefix="1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vertical="top"/>
    </xf>
    <xf numFmtId="0" fontId="0" fillId="0" borderId="30" xfId="0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34" xfId="0" applyBorder="1"/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quotePrefix="1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0" fillId="0" borderId="26" xfId="0" applyBorder="1"/>
    <xf numFmtId="0" fontId="0" fillId="0" borderId="22" xfId="0" applyBorder="1"/>
    <xf numFmtId="0" fontId="0" fillId="0" borderId="33" xfId="0" applyBorder="1" applyAlignment="1">
      <alignment vertical="top"/>
    </xf>
    <xf numFmtId="0" fontId="24" fillId="0" borderId="1" xfId="2" quotePrefix="1" applyFont="1" applyBorder="1" applyAlignment="1">
      <alignment horizontal="left" vertical="center" wrapText="1"/>
    </xf>
    <xf numFmtId="0" fontId="23" fillId="0" borderId="1" xfId="2" quotePrefix="1" applyFont="1" applyBorder="1" applyAlignment="1">
      <alignment horizontal="left" vertical="center" wrapText="1"/>
    </xf>
    <xf numFmtId="0" fontId="6" fillId="0" borderId="18" xfId="0" quotePrefix="1" applyFont="1" applyBorder="1" applyAlignment="1">
      <alignment horizontal="left" vertical="center" wrapText="1"/>
    </xf>
    <xf numFmtId="0" fontId="8" fillId="3" borderId="0" xfId="3" applyFont="1" applyFill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8" fillId="6" borderId="14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10" fillId="7" borderId="14" xfId="1" applyNumberFormat="1" applyFont="1" applyFill="1" applyBorder="1" applyAlignment="1">
      <alignment horizontal="left" vertical="center" wrapText="1"/>
    </xf>
    <xf numFmtId="0" fontId="14" fillId="7" borderId="17" xfId="1" applyNumberFormat="1" applyFont="1" applyFill="1" applyBorder="1" applyAlignment="1">
      <alignment horizontal="left" vertical="center" wrapText="1"/>
    </xf>
    <xf numFmtId="0" fontId="14" fillId="7" borderId="15" xfId="1" applyNumberFormat="1" applyFont="1" applyFill="1" applyBorder="1" applyAlignment="1">
      <alignment horizontal="left" vertical="center" wrapText="1"/>
    </xf>
    <xf numFmtId="0" fontId="26" fillId="11" borderId="2" xfId="8" applyFont="1" applyBorder="1" applyAlignment="1">
      <alignment horizontal="center" vertical="center"/>
    </xf>
    <xf numFmtId="0" fontId="26" fillId="11" borderId="5" xfId="8" applyFont="1" applyBorder="1" applyAlignment="1">
      <alignment horizontal="center" vertical="center"/>
    </xf>
    <xf numFmtId="0" fontId="26" fillId="11" borderId="3" xfId="8" applyFont="1" applyBorder="1" applyAlignment="1">
      <alignment horizontal="center" vertical="center"/>
    </xf>
    <xf numFmtId="0" fontId="26" fillId="11" borderId="1" xfId="8" applyFont="1" applyBorder="1" applyAlignment="1">
      <alignment horizontal="center" vertical="center"/>
    </xf>
    <xf numFmtId="0" fontId="26" fillId="11" borderId="4" xfId="8" applyFont="1" applyBorder="1" applyAlignment="1">
      <alignment horizontal="center" vertical="center"/>
    </xf>
    <xf numFmtId="0" fontId="27" fillId="13" borderId="1" xfId="10" applyFont="1" applyBorder="1" applyAlignment="1">
      <alignment horizontal="center" vertical="center"/>
    </xf>
    <xf numFmtId="0" fontId="27" fillId="13" borderId="6" xfId="10" applyFont="1" applyBorder="1" applyAlignment="1">
      <alignment horizontal="center" vertical="center"/>
    </xf>
    <xf numFmtId="0" fontId="0" fillId="0" borderId="19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0" xfId="0" quotePrefix="1" applyBorder="1" applyAlignment="1">
      <alignment horizontal="left" vertical="top" wrapText="1"/>
    </xf>
    <xf numFmtId="0" fontId="0" fillId="0" borderId="28" xfId="0" quotePrefix="1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quotePrefix="1" applyBorder="1" applyAlignment="1">
      <alignment horizontal="left" vertical="top" wrapText="1"/>
    </xf>
    <xf numFmtId="0" fontId="0" fillId="0" borderId="33" xfId="0" quotePrefix="1" applyBorder="1" applyAlignment="1">
      <alignment horizontal="left" vertical="top" wrapText="1"/>
    </xf>
    <xf numFmtId="0" fontId="0" fillId="0" borderId="35" xfId="0" quotePrefix="1" applyBorder="1" applyAlignment="1">
      <alignment horizontal="left" vertical="top" wrapText="1"/>
    </xf>
    <xf numFmtId="0" fontId="13" fillId="0" borderId="0" xfId="1" applyNumberFormat="1" applyFont="1" applyFill="1" applyBorder="1" applyAlignment="1">
      <alignment horizontal="center" vertical="center"/>
    </xf>
  </cellXfs>
  <cellStyles count="11">
    <cellStyle name="20% - Accent1" xfId="9" builtinId="30"/>
    <cellStyle name="60% - Accent1" xfId="10" builtinId="32"/>
    <cellStyle name="Accent1" xfId="8" builtinId="29"/>
    <cellStyle name="Comma 2" xfId="6" xr:uid="{00000000-0005-0000-0000-000000000000}"/>
    <cellStyle name="Comma 3" xfId="7" xr:uid="{00000000-0005-0000-0000-000001000000}"/>
    <cellStyle name="Normal" xfId="0" builtinId="0"/>
    <cellStyle name="Normal 2" xfId="2" xr:uid="{00000000-0005-0000-0000-000003000000}"/>
    <cellStyle name="Normal_Copy of Sample Product Test Scenarios and Conditions" xfId="1" xr:uid="{00000000-0005-0000-0000-000004000000}"/>
    <cellStyle name="Normal_Cover Sheet" xfId="3" xr:uid="{00000000-0005-0000-0000-000005000000}"/>
    <cellStyle name="Normal_fitgapanalysis-template-1" xfId="4" xr:uid="{00000000-0005-0000-0000-000006000000}"/>
    <cellStyle name="Percent" xfId="5" builtinId="5"/>
  </cellStyles>
  <dxfs count="0"/>
  <tableStyles count="0" defaultTableStyle="TableStyleMedium2" defaultPivotStyle="PivotStyleLight16"/>
  <colors>
    <mruColors>
      <color rgb="FFF16624"/>
      <color rgb="FFED7D31"/>
      <color rgb="FFFFCC66"/>
      <color rgb="FFEE6112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457200</xdr:colOff>
      <xdr:row>68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F556E-0655-4777-A4FB-C2DD9B38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0975"/>
          <a:ext cx="18288000" cy="1213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55</xdr:col>
      <xdr:colOff>596428</xdr:colOff>
      <xdr:row>68</xdr:row>
      <xdr:rowOff>52941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A0303-3290-49F2-B8BF-40ADAD3B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0357" y="176893"/>
          <a:ext cx="18285714" cy="11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S\Working\Markets\Myanmar\TF\Testing\TF_Test%20Case_%20ILC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Scenario Test"/>
      <sheetName val="Data"/>
      <sheetName val="Common"/>
      <sheetName val="Test Case_ILC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H13" t="str">
            <v>Pass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4"/>
  <sheetViews>
    <sheetView showGridLines="0" workbookViewId="0">
      <selection activeCell="B25" sqref="B25"/>
    </sheetView>
  </sheetViews>
  <sheetFormatPr defaultColWidth="9" defaultRowHeight="12.75" x14ac:dyDescent="0.2"/>
  <cols>
    <col min="1" max="1" width="11.75" style="8" bestFit="1" customWidth="1"/>
    <col min="2" max="2" width="11.125" style="8" customWidth="1"/>
    <col min="3" max="3" width="13.5" style="8" bestFit="1" customWidth="1"/>
    <col min="4" max="4" width="9.625" style="8" bestFit="1" customWidth="1"/>
    <col min="5" max="5" width="13.5" style="8" bestFit="1" customWidth="1"/>
    <col min="6" max="6" width="32" style="8" customWidth="1"/>
    <col min="7" max="16384" width="9" style="8"/>
  </cols>
  <sheetData>
    <row r="4" spans="1:6" ht="20.25" x14ac:dyDescent="0.3">
      <c r="A4" s="128" t="s">
        <v>103</v>
      </c>
      <c r="B4" s="128"/>
      <c r="C4" s="128"/>
      <c r="D4" s="128"/>
      <c r="E4" s="128"/>
      <c r="F4" s="128"/>
    </row>
    <row r="5" spans="1:6" x14ac:dyDescent="0.2">
      <c r="A5" s="1"/>
      <c r="B5" s="2"/>
      <c r="C5" s="2"/>
      <c r="D5" s="9"/>
    </row>
    <row r="6" spans="1:6" x14ac:dyDescent="0.2">
      <c r="A6" s="10"/>
      <c r="B6" s="10"/>
      <c r="C6" s="10"/>
      <c r="D6" s="9" t="s">
        <v>62</v>
      </c>
    </row>
    <row r="7" spans="1:6" ht="13.5" thickBot="1" x14ac:dyDescent="0.25">
      <c r="A7" s="10" t="s">
        <v>6</v>
      </c>
      <c r="B7" s="10"/>
      <c r="C7" s="10"/>
      <c r="D7" s="10"/>
    </row>
    <row r="8" spans="1:6" ht="15" x14ac:dyDescent="0.2">
      <c r="A8" s="72" t="s">
        <v>42</v>
      </c>
      <c r="B8" s="73" t="s">
        <v>37</v>
      </c>
      <c r="C8" s="73" t="s">
        <v>38</v>
      </c>
      <c r="D8" s="73" t="s">
        <v>39</v>
      </c>
      <c r="E8" s="73" t="s">
        <v>40</v>
      </c>
      <c r="F8" s="74" t="s">
        <v>41</v>
      </c>
    </row>
    <row r="9" spans="1:6" x14ac:dyDescent="0.2">
      <c r="A9" s="89">
        <v>1</v>
      </c>
      <c r="B9" s="90" t="s">
        <v>104</v>
      </c>
      <c r="C9" s="91">
        <v>45657</v>
      </c>
      <c r="D9" s="92"/>
      <c r="E9" s="93"/>
      <c r="F9" s="94" t="s">
        <v>61</v>
      </c>
    </row>
    <row r="10" spans="1:6" x14ac:dyDescent="0.2">
      <c r="A10" s="40"/>
      <c r="B10" s="3"/>
      <c r="C10" s="44"/>
      <c r="D10" s="3"/>
      <c r="E10" s="45"/>
      <c r="F10" s="5"/>
    </row>
    <row r="11" spans="1:6" x14ac:dyDescent="0.2">
      <c r="A11" s="41"/>
      <c r="B11" s="4"/>
      <c r="C11" s="45"/>
      <c r="D11" s="4"/>
      <c r="E11" s="46"/>
      <c r="F11" s="5"/>
    </row>
    <row r="12" spans="1:6" x14ac:dyDescent="0.2">
      <c r="A12" s="42"/>
      <c r="B12" s="50"/>
      <c r="C12" s="47"/>
      <c r="D12" s="50"/>
      <c r="E12" s="48"/>
      <c r="F12" s="6"/>
    </row>
    <row r="13" spans="1:6" x14ac:dyDescent="0.2">
      <c r="A13" s="42"/>
      <c r="B13" s="50"/>
      <c r="C13" s="47"/>
      <c r="D13" s="50"/>
      <c r="E13" s="48"/>
      <c r="F13" s="6"/>
    </row>
    <row r="14" spans="1:6" ht="13.5" thickBot="1" x14ac:dyDescent="0.25">
      <c r="A14" s="43"/>
      <c r="B14" s="51"/>
      <c r="C14" s="49"/>
      <c r="D14" s="51"/>
      <c r="E14" s="49"/>
      <c r="F14" s="7"/>
    </row>
  </sheetData>
  <mergeCells count="1">
    <mergeCell ref="A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1"/>
  <sheetViews>
    <sheetView showGridLines="0" workbookViewId="0">
      <selection activeCell="G35" sqref="G35"/>
    </sheetView>
  </sheetViews>
  <sheetFormatPr defaultColWidth="9" defaultRowHeight="12.75" x14ac:dyDescent="0.2"/>
  <cols>
    <col min="1" max="1" width="9" style="35"/>
    <col min="2" max="2" width="20.375" style="35" bestFit="1" customWidth="1"/>
    <col min="3" max="3" width="9.125" style="35" bestFit="1" customWidth="1"/>
    <col min="4" max="16384" width="9" style="35"/>
  </cols>
  <sheetData>
    <row r="2" spans="2:9" x14ac:dyDescent="0.2">
      <c r="B2" s="132" t="s">
        <v>17</v>
      </c>
      <c r="C2" s="132"/>
    </row>
    <row r="3" spans="2:9" x14ac:dyDescent="0.2">
      <c r="B3" s="26" t="s">
        <v>18</v>
      </c>
      <c r="C3" s="29">
        <v>45659</v>
      </c>
    </row>
    <row r="4" spans="2:9" x14ac:dyDescent="0.2">
      <c r="B4" s="26" t="s">
        <v>19</v>
      </c>
      <c r="C4" s="30" t="s">
        <v>319</v>
      </c>
    </row>
    <row r="5" spans="2:9" x14ac:dyDescent="0.2">
      <c r="B5" s="26" t="s">
        <v>34</v>
      </c>
      <c r="C5" s="30">
        <f>'Scenario Test'!J39</f>
        <v>210</v>
      </c>
    </row>
    <row r="6" spans="2:9" x14ac:dyDescent="0.2">
      <c r="B6" s="36"/>
      <c r="C6" s="36"/>
      <c r="D6" s="36"/>
      <c r="F6" s="36"/>
      <c r="G6" s="37"/>
      <c r="H6" s="37"/>
    </row>
    <row r="7" spans="2:9" x14ac:dyDescent="0.2">
      <c r="B7" s="129" t="s">
        <v>26</v>
      </c>
      <c r="C7" s="130"/>
      <c r="D7" s="130"/>
      <c r="E7" s="130"/>
      <c r="F7" s="130"/>
      <c r="G7" s="130"/>
      <c r="H7" s="130"/>
      <c r="I7" s="131"/>
    </row>
    <row r="8" spans="2:9" ht="25.5" x14ac:dyDescent="0.2">
      <c r="B8" s="27" t="s">
        <v>28</v>
      </c>
      <c r="C8" s="28">
        <v>45657</v>
      </c>
      <c r="D8" s="28">
        <v>45659</v>
      </c>
      <c r="E8" s="28">
        <v>45660</v>
      </c>
      <c r="F8" s="28">
        <v>45663</v>
      </c>
      <c r="G8" s="28">
        <v>45664</v>
      </c>
      <c r="H8" s="28">
        <v>45665</v>
      </c>
      <c r="I8" s="28">
        <v>45666</v>
      </c>
    </row>
    <row r="9" spans="2:9" x14ac:dyDescent="0.2">
      <c r="B9" s="62" t="s">
        <v>10</v>
      </c>
      <c r="C9" s="62">
        <f>COUNTIFS(TestCase!$G:$G,$B$9,TestCase!$J:$J,C8)</f>
        <v>2</v>
      </c>
      <c r="D9" s="62">
        <f>COUNTIFS(TestCase!$G:$G,$B$9,TestCase!$J:$J,D8)</f>
        <v>52</v>
      </c>
      <c r="E9" s="62">
        <f>COUNTIFS(TestCase!$G:$G,$B$9,TestCase!$J:$J,E8)</f>
        <v>77</v>
      </c>
      <c r="F9" s="62">
        <f>COUNTIFS(TestCase!$G:$G,$B$9,TestCase!$J:$J,F8)</f>
        <v>8</v>
      </c>
      <c r="G9" s="62">
        <f>COUNTIFS(TestCase!$G:$G,$B$9,TestCase!$J:$J,G8)</f>
        <v>10</v>
      </c>
      <c r="H9" s="62">
        <f>COUNTIFS(TestCase!$G:$G,$B$9,TestCase!$J:$J,H8)</f>
        <v>10</v>
      </c>
      <c r="I9" s="62">
        <f>COUNTIFS(TestCase!$G:$G,$B$9,TestCase!$J:$J,I8)</f>
        <v>32</v>
      </c>
    </row>
    <row r="10" spans="2:9" x14ac:dyDescent="0.2">
      <c r="B10" s="62" t="s">
        <v>11</v>
      </c>
      <c r="C10" s="62">
        <f>COUNTIFS(TestCase!$G:$G,$B$10,TestCase!$J:$J,C8)</f>
        <v>0</v>
      </c>
      <c r="D10" s="62">
        <f>COUNTIFS(TestCase!$G:$G,$B$10,TestCase!$J:$J,D8)</f>
        <v>0</v>
      </c>
      <c r="E10" s="62">
        <f>COUNTIFS(TestCase!$G:$G,$B$10,TestCase!$J:$J,E8)</f>
        <v>0</v>
      </c>
      <c r="F10" s="62">
        <f>COUNTIFS(TestCase!$G:$G,$B$10,TestCase!$J:$J,F8)</f>
        <v>0</v>
      </c>
      <c r="G10" s="62">
        <f>COUNTIFS(TestCase!$G:$G,$B$10,TestCase!$J:$J,G8)</f>
        <v>0</v>
      </c>
      <c r="H10" s="62">
        <f>COUNTIFS(TestCase!$G:$G,$B$10,TestCase!$J:$J,H8)</f>
        <v>0</v>
      </c>
      <c r="I10" s="62">
        <f>COUNTIFS(TestCase!$G:$G,$B$10,TestCase!$J:$J,I8)</f>
        <v>0</v>
      </c>
    </row>
    <row r="11" spans="2:9" x14ac:dyDescent="0.2">
      <c r="B11" s="62" t="s">
        <v>16</v>
      </c>
      <c r="C11" s="62">
        <f>COUNTIFS(TestCase!$G:$G,$B$11,TestCase!$J:$J,C8)</f>
        <v>0</v>
      </c>
      <c r="D11" s="62">
        <f>COUNTIFS(TestCase!$G:$G,$B$11,TestCase!$J:$J,D8)</f>
        <v>0</v>
      </c>
      <c r="E11" s="62">
        <f>COUNTIFS(TestCase!$G:$G,$B$11,TestCase!$J:$J,E8)</f>
        <v>0</v>
      </c>
      <c r="F11" s="62">
        <f>COUNTIFS(TestCase!$G:$G,$B$11,TestCase!$J:$J,F8)</f>
        <v>0</v>
      </c>
      <c r="G11" s="62">
        <f>COUNTIFS(TestCase!$G:$G,$B$11,TestCase!$J:$J,G8)</f>
        <v>0</v>
      </c>
      <c r="H11" s="62">
        <f>COUNTIFS(TestCase!$G:$G,$B$11,TestCase!$J:$J,H8)</f>
        <v>0</v>
      </c>
      <c r="I11" s="62">
        <f>COUNTIFS(TestCase!$G:$G,$B$11,TestCase!$J:$J,I8)</f>
        <v>0</v>
      </c>
    </row>
    <row r="12" spans="2:9" x14ac:dyDescent="0.2">
      <c r="B12" s="62" t="s">
        <v>44</v>
      </c>
      <c r="C12" s="62">
        <f>COUNTIFS(TestCase!$G:$G,$B$12,TestCase!$K:$K,C8)</f>
        <v>0</v>
      </c>
      <c r="D12" s="62">
        <f>COUNTIFS(TestCase!$G:$G,$B$12,TestCase!$K:$K,D8)</f>
        <v>0</v>
      </c>
      <c r="E12" s="62">
        <f>COUNTIFS(TestCase!$G:$G,$B$12,TestCase!$K:$K,E8)</f>
        <v>0</v>
      </c>
      <c r="F12" s="62">
        <f>COUNTIFS(TestCase!$G:$G,$B$12,TestCase!$K:$K,F8)</f>
        <v>0</v>
      </c>
      <c r="G12" s="62">
        <f>COUNTIFS(TestCase!$G:$G,$B$12,TestCase!$K:$K,G8)</f>
        <v>0</v>
      </c>
      <c r="H12" s="62">
        <f>COUNTIFS(TestCase!$G:$G,$B$12,TestCase!$K:$K,H8)</f>
        <v>0</v>
      </c>
      <c r="I12" s="62">
        <f>COUNTIFS(TestCase!$G:$G,$B$12,TestCase!$K:$K,I8)</f>
        <v>0</v>
      </c>
    </row>
    <row r="13" spans="2:9" x14ac:dyDescent="0.2">
      <c r="B13" s="62" t="s">
        <v>45</v>
      </c>
      <c r="C13" s="62">
        <f>COUNTIFS(TestCase!$G:$G,$B$13,TestCase!$K:$K,C8)</f>
        <v>0</v>
      </c>
      <c r="D13" s="62">
        <f>COUNTIFS(TestCase!$G:$G,$B$13,TestCase!$K:$K,D8)</f>
        <v>0</v>
      </c>
      <c r="E13" s="62">
        <f>COUNTIFS(TestCase!$G:$G,$B$13,TestCase!$K:$K,E8)</f>
        <v>0</v>
      </c>
      <c r="F13" s="62">
        <f>COUNTIFS(TestCase!$G:$G,$B$13,TestCase!$K:$K,F8)</f>
        <v>0</v>
      </c>
      <c r="G13" s="62">
        <f>COUNTIFS(TestCase!$G:$G,$B$13,TestCase!$K:$K,G8)</f>
        <v>0</v>
      </c>
      <c r="H13" s="62">
        <f>COUNTIFS(TestCase!$G:$G,$B$13,TestCase!$K:$K,H8)</f>
        <v>0</v>
      </c>
      <c r="I13" s="62">
        <f>COUNTIFS(TestCase!$G:$G,$B$13,TestCase!$K:$K,I8)</f>
        <v>0</v>
      </c>
    </row>
    <row r="14" spans="2:9" x14ac:dyDescent="0.2">
      <c r="B14" s="63" t="s">
        <v>20</v>
      </c>
      <c r="C14" s="64">
        <f>SUM(C9:C13)</f>
        <v>2</v>
      </c>
      <c r="D14" s="64">
        <f t="shared" ref="D14:I14" si="0">SUM(D9:D13)</f>
        <v>52</v>
      </c>
      <c r="E14" s="64">
        <f t="shared" si="0"/>
        <v>77</v>
      </c>
      <c r="F14" s="64">
        <f t="shared" si="0"/>
        <v>8</v>
      </c>
      <c r="G14" s="64">
        <f t="shared" si="0"/>
        <v>10</v>
      </c>
      <c r="H14" s="64">
        <f t="shared" si="0"/>
        <v>10</v>
      </c>
      <c r="I14" s="64">
        <f t="shared" si="0"/>
        <v>32</v>
      </c>
    </row>
    <row r="15" spans="2:9" x14ac:dyDescent="0.2">
      <c r="B15" s="65" t="s">
        <v>21</v>
      </c>
      <c r="C15" s="65">
        <f>$C$5-C14</f>
        <v>208</v>
      </c>
      <c r="D15" s="65">
        <f>C15-D14</f>
        <v>156</v>
      </c>
      <c r="E15" s="65">
        <f>D15-E14</f>
        <v>79</v>
      </c>
      <c r="F15" s="65">
        <f t="shared" ref="F15:I15" si="1">E15-F14</f>
        <v>71</v>
      </c>
      <c r="G15" s="65">
        <f t="shared" si="1"/>
        <v>61</v>
      </c>
      <c r="H15" s="65">
        <f t="shared" si="1"/>
        <v>51</v>
      </c>
      <c r="I15" s="65">
        <f t="shared" si="1"/>
        <v>19</v>
      </c>
    </row>
    <row r="17" spans="2:9" x14ac:dyDescent="0.2">
      <c r="B17" s="129" t="s">
        <v>27</v>
      </c>
      <c r="C17" s="130"/>
      <c r="D17" s="130"/>
      <c r="E17" s="130"/>
      <c r="F17" s="130"/>
      <c r="G17" s="130"/>
      <c r="H17" s="130"/>
      <c r="I17" s="131"/>
    </row>
    <row r="18" spans="2:9" ht="25.5" x14ac:dyDescent="0.2">
      <c r="B18" s="27" t="s">
        <v>28</v>
      </c>
      <c r="C18" s="28">
        <v>45657</v>
      </c>
      <c r="D18" s="28">
        <v>45659</v>
      </c>
      <c r="E18" s="28">
        <v>45660</v>
      </c>
      <c r="F18" s="28">
        <v>45663</v>
      </c>
      <c r="G18" s="28">
        <v>45664</v>
      </c>
      <c r="H18" s="28">
        <v>45665</v>
      </c>
      <c r="I18" s="28">
        <v>45666</v>
      </c>
    </row>
    <row r="19" spans="2:9" x14ac:dyDescent="0.2">
      <c r="B19" s="62" t="s">
        <v>10</v>
      </c>
      <c r="C19" s="62">
        <f>COUNTIFS(TestCase!$G:$G,$B$19,TestCase!$K:$K,C18)</f>
        <v>0</v>
      </c>
      <c r="D19" s="62">
        <f>COUNTIFS(TestCase!$G:$G,$B$19,TestCase!$K:$K,D18)</f>
        <v>2</v>
      </c>
      <c r="E19" s="62">
        <f>COUNTIFS(TestCase!$G:$G,$B$19,TestCase!$K:$K,E18)</f>
        <v>11</v>
      </c>
      <c r="F19" s="62">
        <f>COUNTIFS(TestCase!$G:$G,$B$19,TestCase!$K:$K,F18)</f>
        <v>20</v>
      </c>
      <c r="G19" s="62">
        <f>COUNTIFS(TestCase!$G:$G,$B$19,TestCase!$K:$K,G18)</f>
        <v>0</v>
      </c>
      <c r="H19" s="62">
        <f>COUNTIFS(TestCase!$G:$G,$B$19,TestCase!$K:$K,H18)</f>
        <v>36</v>
      </c>
      <c r="I19" s="62">
        <f>COUNTIFS(TestCase!$G:$G,$B$19,TestCase!$K:$K,I18)</f>
        <v>50</v>
      </c>
    </row>
    <row r="20" spans="2:9" x14ac:dyDescent="0.2">
      <c r="B20" s="62" t="s">
        <v>11</v>
      </c>
      <c r="C20" s="62">
        <f>COUNTIFS(TestCase!$G:$G,$B$20,TestCase!$K:$K,C18)</f>
        <v>0</v>
      </c>
      <c r="D20" s="62">
        <f>COUNTIFS(TestCase!$G:$G,$B$20,TestCase!$K:$K,D18)</f>
        <v>0</v>
      </c>
      <c r="E20" s="62">
        <f>COUNTIFS(TestCase!$G:$G,$B$20,TestCase!$K:$K,E18)</f>
        <v>0</v>
      </c>
      <c r="F20" s="62">
        <f>COUNTIFS(TestCase!$G:$G,$B$20,TestCase!$K:$K,F18)</f>
        <v>0</v>
      </c>
      <c r="G20" s="62">
        <f>COUNTIFS(TestCase!$G:$G,$B$20,TestCase!$K:$K,G18)</f>
        <v>0</v>
      </c>
      <c r="H20" s="62">
        <f>COUNTIFS(TestCase!$G:$G,$B$20,TestCase!$K:$K,H18)</f>
        <v>0</v>
      </c>
      <c r="I20" s="62">
        <f>COUNTIFS(TestCase!$G:$G,$B$20,TestCase!$K:$K,I18)</f>
        <v>0</v>
      </c>
    </row>
    <row r="21" spans="2:9" x14ac:dyDescent="0.2">
      <c r="B21" s="62" t="s">
        <v>16</v>
      </c>
      <c r="C21" s="62">
        <f>COUNTIFS(TestCase!$G:$G,$B$21,TestCase!$K:$K,C18)</f>
        <v>0</v>
      </c>
      <c r="D21" s="62">
        <f>COUNTIFS(TestCase!$G:$G,$B$21,TestCase!$K:$K,D18)</f>
        <v>0</v>
      </c>
      <c r="E21" s="62">
        <f>COUNTIFS(TestCase!$G:$G,$B$21,TestCase!$K:$K,E18)</f>
        <v>0</v>
      </c>
      <c r="F21" s="62">
        <f>COUNTIFS(TestCase!$G:$G,$B$21,TestCase!$K:$K,F18)</f>
        <v>0</v>
      </c>
      <c r="G21" s="62">
        <f>COUNTIFS(TestCase!$G:$G,$B$21,TestCase!$K:$K,G18)</f>
        <v>0</v>
      </c>
      <c r="H21" s="62">
        <f>COUNTIFS(TestCase!$G:$G,$B$21,TestCase!$K:$K,H18)</f>
        <v>0</v>
      </c>
      <c r="I21" s="62">
        <f>COUNTIFS(TestCase!$G:$G,$B$21,TestCase!$K:$K,I18)</f>
        <v>0</v>
      </c>
    </row>
    <row r="22" spans="2:9" x14ac:dyDescent="0.2">
      <c r="B22" s="62" t="s">
        <v>44</v>
      </c>
      <c r="C22" s="62">
        <f>COUNTIFS(TestCase!$G:$G,$B$22,TestCase!$K:$K,C18)</f>
        <v>0</v>
      </c>
      <c r="D22" s="62">
        <f>COUNTIFS(TestCase!$G:$G,$B$22,TestCase!$K:$K,D18)</f>
        <v>0</v>
      </c>
      <c r="E22" s="62">
        <f>COUNTIFS(TestCase!$G:$G,$B$22,TestCase!$K:$K,E18)</f>
        <v>0</v>
      </c>
      <c r="F22" s="62">
        <f>COUNTIFS(TestCase!$G:$G,$B$22,TestCase!$K:$K,F18)</f>
        <v>0</v>
      </c>
      <c r="G22" s="62">
        <f>COUNTIFS(TestCase!$G:$G,$B$22,TestCase!$K:$K,G18)</f>
        <v>0</v>
      </c>
      <c r="H22" s="62">
        <f>COUNTIFS(TestCase!$G:$G,$B$22,TestCase!$K:$K,H18)</f>
        <v>0</v>
      </c>
      <c r="I22" s="62">
        <f>COUNTIFS(TestCase!$G:$G,$B$22,TestCase!$K:$K,I18)</f>
        <v>0</v>
      </c>
    </row>
    <row r="23" spans="2:9" x14ac:dyDescent="0.2">
      <c r="B23" s="62" t="s">
        <v>45</v>
      </c>
      <c r="C23" s="62">
        <f>COUNTIFS(TestCase!$G:$G,$B$23,TestCase!$K:$K,C18)</f>
        <v>0</v>
      </c>
      <c r="D23" s="62">
        <f>COUNTIFS(TestCase!$G:$G,$B$23,TestCase!$K:$K,D18)</f>
        <v>0</v>
      </c>
      <c r="E23" s="62">
        <f>COUNTIFS(TestCase!$G:$G,$B$23,TestCase!$K:$K,E18)</f>
        <v>0</v>
      </c>
      <c r="F23" s="62">
        <f>COUNTIFS(TestCase!$G:$G,$B$23,TestCase!$K:$K,F18)</f>
        <v>0</v>
      </c>
      <c r="G23" s="62">
        <f>COUNTIFS(TestCase!$G:$G,$B$23,TestCase!$K:$K,G18)</f>
        <v>0</v>
      </c>
      <c r="H23" s="62">
        <f>COUNTIFS(TestCase!$G:$G,$B$23,TestCase!$K:$K,H18)</f>
        <v>0</v>
      </c>
      <c r="I23" s="62">
        <f>COUNTIFS(TestCase!$G:$G,$B$23,TestCase!$K:$K,I18)</f>
        <v>0</v>
      </c>
    </row>
    <row r="24" spans="2:9" x14ac:dyDescent="0.2">
      <c r="B24" s="63" t="s">
        <v>20</v>
      </c>
      <c r="C24" s="64">
        <f>SUM(C19:C23)</f>
        <v>0</v>
      </c>
      <c r="D24" s="64">
        <f>SUM(D19:D23)</f>
        <v>2</v>
      </c>
      <c r="E24" s="64">
        <f>SUM(E19:E23)</f>
        <v>11</v>
      </c>
      <c r="F24" s="64">
        <f>SUM(F19:F23)</f>
        <v>20</v>
      </c>
      <c r="G24" s="64">
        <f>SUM(G19:G23)</f>
        <v>0</v>
      </c>
      <c r="H24" s="64">
        <f t="shared" ref="H24" si="2">SUM(H19:H23)</f>
        <v>36</v>
      </c>
      <c r="I24" s="64">
        <f t="shared" ref="I24" si="3">SUM(I19:I23)</f>
        <v>50</v>
      </c>
    </row>
    <row r="25" spans="2:9" x14ac:dyDescent="0.2">
      <c r="B25" s="65" t="s">
        <v>21</v>
      </c>
      <c r="C25" s="65">
        <f>$C$5-C24</f>
        <v>210</v>
      </c>
      <c r="D25" s="65">
        <f>C25-D24</f>
        <v>208</v>
      </c>
      <c r="E25" s="65">
        <f t="shared" ref="E25:I25" si="4">D25-E24</f>
        <v>197</v>
      </c>
      <c r="F25" s="65">
        <f t="shared" si="4"/>
        <v>177</v>
      </c>
      <c r="G25" s="65">
        <f t="shared" si="4"/>
        <v>177</v>
      </c>
      <c r="H25" s="65">
        <f t="shared" si="4"/>
        <v>141</v>
      </c>
      <c r="I25" s="65">
        <f t="shared" si="4"/>
        <v>91</v>
      </c>
    </row>
    <row r="27" spans="2:9" x14ac:dyDescent="0.2">
      <c r="B27" s="133" t="s">
        <v>32</v>
      </c>
      <c r="C27" s="134"/>
    </row>
    <row r="28" spans="2:9" x14ac:dyDescent="0.2">
      <c r="B28" s="68" t="s">
        <v>29</v>
      </c>
      <c r="C28" s="69">
        <f>'Scenario Test'!K39</f>
        <v>0.97140000000000004</v>
      </c>
    </row>
    <row r="29" spans="2:9" x14ac:dyDescent="0.2">
      <c r="B29" s="68" t="s">
        <v>30</v>
      </c>
      <c r="C29" s="69">
        <f>'Scenario Test'!L39</f>
        <v>0</v>
      </c>
    </row>
    <row r="30" spans="2:9" x14ac:dyDescent="0.2">
      <c r="B30" s="76" t="s">
        <v>58</v>
      </c>
      <c r="C30" s="71">
        <f>'Scenario Test'!N39</f>
        <v>0</v>
      </c>
    </row>
    <row r="31" spans="2:9" x14ac:dyDescent="0.2">
      <c r="B31" s="76" t="s">
        <v>55</v>
      </c>
      <c r="C31" s="71">
        <f>'Scenario Test'!O39</f>
        <v>0</v>
      </c>
    </row>
    <row r="32" spans="2:9" x14ac:dyDescent="0.2">
      <c r="B32" s="75" t="s">
        <v>57</v>
      </c>
      <c r="C32" s="70">
        <f>'Scenario Test'!P39</f>
        <v>0</v>
      </c>
    </row>
    <row r="33" spans="2:3" x14ac:dyDescent="0.2">
      <c r="B33" s="77" t="s">
        <v>54</v>
      </c>
      <c r="C33" s="67">
        <f>'Scenario Test'!M39</f>
        <v>2.86E-2</v>
      </c>
    </row>
    <row r="35" spans="2:3" x14ac:dyDescent="0.2">
      <c r="B35" s="133" t="s">
        <v>33</v>
      </c>
      <c r="C35" s="134"/>
    </row>
    <row r="36" spans="2:3" x14ac:dyDescent="0.2">
      <c r="B36" s="68" t="s">
        <v>10</v>
      </c>
      <c r="C36" s="68">
        <f>'Scenario Test'!C39</f>
        <v>204</v>
      </c>
    </row>
    <row r="37" spans="2:3" x14ac:dyDescent="0.2">
      <c r="B37" s="68" t="s">
        <v>11</v>
      </c>
      <c r="C37" s="68">
        <f>'Scenario Test'!D39</f>
        <v>0</v>
      </c>
    </row>
    <row r="38" spans="2:3" x14ac:dyDescent="0.2">
      <c r="B38" s="76" t="s">
        <v>16</v>
      </c>
      <c r="C38" s="76">
        <f>'Scenario Test'!F39</f>
        <v>0</v>
      </c>
    </row>
    <row r="39" spans="2:3" x14ac:dyDescent="0.2">
      <c r="B39" s="76" t="s">
        <v>44</v>
      </c>
      <c r="C39" s="76">
        <f>'Scenario Test'!G39</f>
        <v>0</v>
      </c>
    </row>
    <row r="40" spans="2:3" x14ac:dyDescent="0.2">
      <c r="B40" s="75" t="s">
        <v>45</v>
      </c>
      <c r="C40" s="75">
        <f>'Scenario Test'!H39</f>
        <v>0</v>
      </c>
    </row>
    <row r="41" spans="2:3" x14ac:dyDescent="0.2">
      <c r="B41" s="66" t="s">
        <v>59</v>
      </c>
      <c r="C41" s="66">
        <f>'Scenario Test'!E39</f>
        <v>6</v>
      </c>
    </row>
  </sheetData>
  <mergeCells count="5">
    <mergeCell ref="B7:I7"/>
    <mergeCell ref="B2:C2"/>
    <mergeCell ref="B17:I17"/>
    <mergeCell ref="B27:C27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T48"/>
  <sheetViews>
    <sheetView showGridLines="0" tabSelected="1" workbookViewId="0">
      <selection activeCell="B24" sqref="B24"/>
    </sheetView>
  </sheetViews>
  <sheetFormatPr defaultColWidth="13.5" defaultRowHeight="12.75" x14ac:dyDescent="0.2"/>
  <cols>
    <col min="1" max="1" width="10.125" style="8" bestFit="1" customWidth="1"/>
    <col min="2" max="2" width="63.25" style="8" bestFit="1" customWidth="1"/>
    <col min="3" max="3" width="9.125" style="83" bestFit="1" customWidth="1"/>
    <col min="4" max="6" width="5.625" style="83" bestFit="1" customWidth="1"/>
    <col min="7" max="7" width="7.5" style="83" bestFit="1" customWidth="1"/>
    <col min="8" max="8" width="9.5" style="83" bestFit="1" customWidth="1"/>
    <col min="9" max="9" width="5.625" style="83" bestFit="1" customWidth="1"/>
    <col min="10" max="10" width="9" style="83" customWidth="1"/>
    <col min="11" max="11" width="7" style="8" bestFit="1" customWidth="1"/>
    <col min="12" max="12" width="7" style="8" customWidth="1"/>
    <col min="13" max="13" width="7.875" style="8" bestFit="1" customWidth="1"/>
    <col min="14" max="14" width="7" style="8" customWidth="1"/>
    <col min="15" max="15" width="9.375" style="8" customWidth="1"/>
    <col min="16" max="16" width="10" style="8" bestFit="1" customWidth="1"/>
    <col min="17" max="17" width="49.375" style="8" bestFit="1" customWidth="1"/>
    <col min="18" max="18" width="7.5" style="8" customWidth="1"/>
    <col min="19" max="19" width="8.25" style="8" bestFit="1" customWidth="1"/>
    <col min="20" max="20" width="20.375" style="8" bestFit="1" customWidth="1"/>
    <col min="21" max="16384" width="13.5" style="8"/>
  </cols>
  <sheetData>
    <row r="3" spans="1:20" ht="19.5" x14ac:dyDescent="0.2">
      <c r="A3" s="155" t="s">
        <v>14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5" spans="1:20" ht="25.5" x14ac:dyDescent="0.2">
      <c r="A5" s="56" t="s">
        <v>7</v>
      </c>
      <c r="B5" s="56" t="s">
        <v>9</v>
      </c>
      <c r="C5" s="52" t="s">
        <v>10</v>
      </c>
      <c r="D5" s="52" t="s">
        <v>11</v>
      </c>
      <c r="E5" s="52" t="s">
        <v>5</v>
      </c>
      <c r="F5" s="52" t="s">
        <v>16</v>
      </c>
      <c r="G5" s="52" t="s">
        <v>44</v>
      </c>
      <c r="H5" s="52" t="s">
        <v>45</v>
      </c>
      <c r="I5" s="52" t="s">
        <v>22</v>
      </c>
      <c r="J5" s="52" t="s">
        <v>12</v>
      </c>
      <c r="K5" s="52" t="s">
        <v>29</v>
      </c>
      <c r="L5" s="52" t="s">
        <v>30</v>
      </c>
      <c r="M5" s="52" t="s">
        <v>56</v>
      </c>
      <c r="N5" s="52" t="s">
        <v>31</v>
      </c>
      <c r="O5" s="52" t="s">
        <v>55</v>
      </c>
      <c r="P5" s="52" t="s">
        <v>57</v>
      </c>
      <c r="Q5" s="57" t="s">
        <v>8</v>
      </c>
    </row>
    <row r="6" spans="1:20" x14ac:dyDescent="0.2">
      <c r="A6" s="137" t="s">
        <v>105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20" x14ac:dyDescent="0.2">
      <c r="A7" s="20" t="s">
        <v>110</v>
      </c>
      <c r="B7" s="14" t="s">
        <v>107</v>
      </c>
      <c r="C7" s="81">
        <f>COUNTIFS(TestCase!$A:$A,A7,TestCase!$G:$G,$C$5)</f>
        <v>7</v>
      </c>
      <c r="D7" s="81">
        <f>COUNTIFS(TestCase!$A:$A,A7,TestCase!$G:$G,$D$5)</f>
        <v>0</v>
      </c>
      <c r="E7" s="81">
        <f>COUNTIFS(TestCase!$A:$A,A7,TestCase!$G:$G,$E$5)</f>
        <v>0</v>
      </c>
      <c r="F7" s="81">
        <f>COUNTIFS(TestCase!$A:$A,A7,TestCase!$G:$G,$F$5)</f>
        <v>0</v>
      </c>
      <c r="G7" s="81">
        <f>COUNTIFS(TestCase!$A:$A,A7,TestCase!$G:$G,$G$5)</f>
        <v>0</v>
      </c>
      <c r="H7" s="81">
        <f>COUNTIFS(TestCase!$A:$A,A7,TestCase!$G:$G,$H$5)</f>
        <v>0</v>
      </c>
      <c r="I7" s="81">
        <f>COUNTIFS(TestCase!$A:$A,A7,TestCase!$G:$G,$I$5)</f>
        <v>0</v>
      </c>
      <c r="J7" s="81">
        <f t="shared" ref="J7:J10" si="0">SUM(C7:H7)</f>
        <v>7</v>
      </c>
      <c r="K7" s="33">
        <f>IFERROR(ROUND(C7/J7,4),0)</f>
        <v>1</v>
      </c>
      <c r="L7" s="33">
        <f>IFERROR(ROUND(D7/J7,4),0)</f>
        <v>0</v>
      </c>
      <c r="M7" s="33">
        <f>IFERROR(ROUND(E7/J7,4),0)</f>
        <v>0</v>
      </c>
      <c r="N7" s="33">
        <f>IFERROR(ROUND(F7/J7,4),0)</f>
        <v>0</v>
      </c>
      <c r="O7" s="33">
        <f>IFERROR(ROUND(G7/J7,4),0)</f>
        <v>0</v>
      </c>
      <c r="P7" s="33">
        <f>IFERROR(ROUND(H7/J7,4),0)</f>
        <v>0</v>
      </c>
      <c r="Q7" s="14"/>
      <c r="T7" s="32"/>
    </row>
    <row r="8" spans="1:20" x14ac:dyDescent="0.2">
      <c r="A8" s="20" t="s">
        <v>111</v>
      </c>
      <c r="B8" s="14" t="s">
        <v>108</v>
      </c>
      <c r="C8" s="81">
        <f>COUNTIFS(TestCase!$A:$A,A8,TestCase!$G:$G,$C$5)</f>
        <v>16</v>
      </c>
      <c r="D8" s="81">
        <f>COUNTIFS(TestCase!$A:$A,A8,TestCase!$G:$G,$D$5)</f>
        <v>0</v>
      </c>
      <c r="E8" s="81">
        <f>COUNTIFS(TestCase!$A:$A,A8,TestCase!$G:$G,$E$5)</f>
        <v>0</v>
      </c>
      <c r="F8" s="81">
        <f>COUNTIFS(TestCase!$A:$A,A8,TestCase!$G:$G,$F$5)</f>
        <v>0</v>
      </c>
      <c r="G8" s="81">
        <f>COUNTIFS(TestCase!$A:$A,A8,TestCase!$G:$G,$G$5)</f>
        <v>0</v>
      </c>
      <c r="H8" s="81">
        <f>COUNTIFS(TestCase!$A:$A,A8,TestCase!$G:$G,$H$5)</f>
        <v>0</v>
      </c>
      <c r="I8" s="81">
        <f>COUNTIFS(TestCase!$A:$A,A8,TestCase!$G:$G,$I$5)</f>
        <v>0</v>
      </c>
      <c r="J8" s="81">
        <f t="shared" si="0"/>
        <v>16</v>
      </c>
      <c r="K8" s="33">
        <f t="shared" ref="K8" si="1">IFERROR(ROUND(C8/J8,4),0)</f>
        <v>1</v>
      </c>
      <c r="L8" s="33">
        <f t="shared" ref="L8" si="2">IFERROR(ROUND(D8/J8,4),0)</f>
        <v>0</v>
      </c>
      <c r="M8" s="33">
        <f t="shared" ref="M8" si="3">IFERROR(ROUND(E8/J8,4),0)</f>
        <v>0</v>
      </c>
      <c r="N8" s="33">
        <f t="shared" ref="N8" si="4">IFERROR(ROUND(F8/J8,4),0)</f>
        <v>0</v>
      </c>
      <c r="O8" s="33">
        <f t="shared" ref="O8" si="5">IFERROR(ROUND(G8/J8,4),0)</f>
        <v>0</v>
      </c>
      <c r="P8" s="33">
        <f t="shared" ref="P8" si="6">IFERROR(ROUND(H8/J8,4),0)</f>
        <v>0</v>
      </c>
      <c r="Q8" s="14"/>
      <c r="T8" s="32"/>
    </row>
    <row r="9" spans="1:20" x14ac:dyDescent="0.2">
      <c r="A9" s="20" t="s">
        <v>112</v>
      </c>
      <c r="B9" s="14" t="s">
        <v>109</v>
      </c>
      <c r="C9" s="81">
        <f>COUNTIFS(TestCase!$A:$A,A9,TestCase!$G:$G,$C$5)</f>
        <v>3</v>
      </c>
      <c r="D9" s="81">
        <f>COUNTIFS(TestCase!$A:$A,A9,TestCase!$G:$G,$D$5)</f>
        <v>0</v>
      </c>
      <c r="E9" s="81">
        <f>COUNTIFS(TestCase!$A:$A,A9,TestCase!$G:$G,$E$5)</f>
        <v>0</v>
      </c>
      <c r="F9" s="81">
        <f>COUNTIFS(TestCase!$A:$A,A9,TestCase!$G:$G,$F$5)</f>
        <v>0</v>
      </c>
      <c r="G9" s="81">
        <f>COUNTIFS(TestCase!$A:$A,A9,TestCase!$G:$G,$G$5)</f>
        <v>0</v>
      </c>
      <c r="H9" s="81">
        <f>COUNTIFS(TestCase!$A:$A,A9,TestCase!$G:$G,$H$5)</f>
        <v>0</v>
      </c>
      <c r="I9" s="81">
        <f>COUNTIFS(TestCase!$A:$A,A9,TestCase!$G:$G,$I$5)</f>
        <v>0</v>
      </c>
      <c r="J9" s="81">
        <f t="shared" si="0"/>
        <v>3</v>
      </c>
      <c r="K9" s="33">
        <f>IFERROR(ROUND(C9/J9,4),0)</f>
        <v>1</v>
      </c>
      <c r="L9" s="33">
        <f>IFERROR(ROUND(D9/J9,4),0)</f>
        <v>0</v>
      </c>
      <c r="M9" s="33">
        <f>IFERROR(ROUND(E9/J9,4),0)</f>
        <v>0</v>
      </c>
      <c r="N9" s="33">
        <f>IFERROR(ROUND(F9/J9,4),0)</f>
        <v>0</v>
      </c>
      <c r="O9" s="33">
        <f>IFERROR(ROUND(G9/J9,4),0)</f>
        <v>0</v>
      </c>
      <c r="P9" s="33">
        <f>IFERROR(ROUND(H9/J9,4),0)</f>
        <v>0</v>
      </c>
      <c r="Q9" s="14"/>
      <c r="T9" s="32"/>
    </row>
    <row r="10" spans="1:20" x14ac:dyDescent="0.2">
      <c r="A10" s="20" t="s">
        <v>552</v>
      </c>
      <c r="B10" s="14" t="s">
        <v>553</v>
      </c>
      <c r="C10" s="81">
        <f>COUNTIFS(TestCase!$A:$A,A10,TestCase!$G:$G,$C$5)</f>
        <v>1</v>
      </c>
      <c r="D10" s="81">
        <f>COUNTIFS(TestCase!$A:$A,A10,TestCase!$G:$G,$D$5)</f>
        <v>0</v>
      </c>
      <c r="E10" s="81">
        <f>COUNTIFS(TestCase!$A:$A,A10,TestCase!$G:$G,$E$5)</f>
        <v>0</v>
      </c>
      <c r="F10" s="81">
        <f>COUNTIFS(TestCase!$A:$A,A10,TestCase!$G:$G,$F$5)</f>
        <v>0</v>
      </c>
      <c r="G10" s="81">
        <f>COUNTIFS(TestCase!$A:$A,A10,TestCase!$G:$G,$G$5)</f>
        <v>0</v>
      </c>
      <c r="H10" s="81">
        <f>COUNTIFS(TestCase!$A:$A,A10,TestCase!$G:$G,$H$5)</f>
        <v>0</v>
      </c>
      <c r="I10" s="81">
        <f>COUNTIFS(TestCase!$A:$A,A10,TestCase!$G:$G,$I$5)</f>
        <v>0</v>
      </c>
      <c r="J10" s="81">
        <f t="shared" si="0"/>
        <v>1</v>
      </c>
      <c r="K10" s="33">
        <f>IFERROR(ROUND(C10/J10,4),0)</f>
        <v>1</v>
      </c>
      <c r="L10" s="33">
        <f>IFERROR(ROUND(D10/J10,4),0)</f>
        <v>0</v>
      </c>
      <c r="M10" s="33">
        <f>IFERROR(ROUND(E10/J10,4),0)</f>
        <v>0</v>
      </c>
      <c r="N10" s="33">
        <f>IFERROR(ROUND(F10/J10,4),0)</f>
        <v>0</v>
      </c>
      <c r="O10" s="33">
        <f>IFERROR(ROUND(G10/J10,4),0)</f>
        <v>0</v>
      </c>
      <c r="P10" s="33">
        <f>IFERROR(ROUND(H10/J10,4),0)</f>
        <v>0</v>
      </c>
      <c r="Q10" s="14" t="s">
        <v>554</v>
      </c>
      <c r="T10" s="32"/>
    </row>
    <row r="11" spans="1:20" x14ac:dyDescent="0.2">
      <c r="A11" s="137" t="s">
        <v>106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9"/>
    </row>
    <row r="12" spans="1:20" x14ac:dyDescent="0.2">
      <c r="A12" s="20" t="s">
        <v>139</v>
      </c>
      <c r="B12" s="14" t="s">
        <v>119</v>
      </c>
      <c r="C12" s="81">
        <f>COUNTIFS(TestCase!$A:$A,A12,TestCase!$G:$G,$C$5)</f>
        <v>55</v>
      </c>
      <c r="D12" s="81">
        <f>COUNTIFS(TestCase!$A:$A,A12,TestCase!$G:$G,$D$5)</f>
        <v>0</v>
      </c>
      <c r="E12" s="81">
        <f>COUNTIFS(TestCase!$A:$A,A12,TestCase!$G:$G,$E$5)</f>
        <v>0</v>
      </c>
      <c r="F12" s="81">
        <f>COUNTIFS(TestCase!$A:$A,A12,TestCase!$G:$G,$F$5)</f>
        <v>0</v>
      </c>
      <c r="G12" s="81">
        <f>COUNTIFS(TestCase!$A:$A,A12,TestCase!$G:$G,$G$5)</f>
        <v>0</v>
      </c>
      <c r="H12" s="81">
        <f>COUNTIFS(TestCase!$A:$A,A12,TestCase!$G:$G,$H$5)</f>
        <v>0</v>
      </c>
      <c r="I12" s="81">
        <f>COUNTIFS(TestCase!$A:$A,A12,TestCase!$G:$G,$I$5)</f>
        <v>0</v>
      </c>
      <c r="J12" s="81">
        <f t="shared" ref="J12:J15" si="7">SUM(C12:H12)</f>
        <v>55</v>
      </c>
      <c r="K12" s="33">
        <f>IFERROR(ROUND(C12/J12,4),0)</f>
        <v>1</v>
      </c>
      <c r="L12" s="33">
        <f>IFERROR(ROUND(D12/J12,4),0)</f>
        <v>0</v>
      </c>
      <c r="M12" s="33">
        <f>IFERROR(ROUND(E12/J12,4),0)</f>
        <v>0</v>
      </c>
      <c r="N12" s="33">
        <f>IFERROR(ROUND(F12/J12,4),0)</f>
        <v>0</v>
      </c>
      <c r="O12" s="33">
        <f>IFERROR(ROUND(G12/J12,4),0)</f>
        <v>0</v>
      </c>
      <c r="P12" s="33">
        <f>IFERROR(ROUND(H12/J12,4),0)</f>
        <v>0</v>
      </c>
      <c r="Q12" s="14"/>
      <c r="T12" s="32"/>
    </row>
    <row r="13" spans="1:20" x14ac:dyDescent="0.2">
      <c r="A13" s="20" t="s">
        <v>140</v>
      </c>
      <c r="B13" s="14" t="s">
        <v>120</v>
      </c>
      <c r="C13" s="81">
        <f>COUNTIFS(TestCase!$A:$A,A13,TestCase!$G:$G,$C$5)</f>
        <v>4</v>
      </c>
      <c r="D13" s="81">
        <f>COUNTIFS(TestCase!$A:$A,A13,TestCase!$G:$G,$D$5)</f>
        <v>0</v>
      </c>
      <c r="E13" s="81">
        <f>COUNTIFS(TestCase!$A:$A,A13,TestCase!$G:$G,$E$5)</f>
        <v>0</v>
      </c>
      <c r="F13" s="81">
        <f>COUNTIFS(TestCase!$A:$A,A13,TestCase!$G:$G,$F$5)</f>
        <v>0</v>
      </c>
      <c r="G13" s="81">
        <f>COUNTIFS(TestCase!$A:$A,A13,TestCase!$G:$G,$G$5)</f>
        <v>0</v>
      </c>
      <c r="H13" s="81">
        <f>COUNTIFS(TestCase!$A:$A,A13,TestCase!$G:$G,$H$5)</f>
        <v>0</v>
      </c>
      <c r="I13" s="81">
        <f>COUNTIFS(TestCase!$A:$A,A13,TestCase!$G:$G,$I$5)</f>
        <v>0</v>
      </c>
      <c r="J13" s="81">
        <f t="shared" si="7"/>
        <v>4</v>
      </c>
      <c r="K13" s="33">
        <f t="shared" ref="K13:K15" si="8">IFERROR(ROUND(C13/J13,4),0)</f>
        <v>1</v>
      </c>
      <c r="L13" s="33">
        <f t="shared" ref="L13:L15" si="9">IFERROR(ROUND(D13/J13,4),0)</f>
        <v>0</v>
      </c>
      <c r="M13" s="33">
        <f t="shared" ref="M13:M15" si="10">IFERROR(ROUND(E13/J13,4),0)</f>
        <v>0</v>
      </c>
      <c r="N13" s="33">
        <f t="shared" ref="N13:N15" si="11">IFERROR(ROUND(F13/J13,4),0)</f>
        <v>0</v>
      </c>
      <c r="O13" s="33">
        <f t="shared" ref="O13:O15" si="12">IFERROR(ROUND(G13/J13,4),0)</f>
        <v>0</v>
      </c>
      <c r="P13" s="33">
        <f t="shared" ref="P13:P15" si="13">IFERROR(ROUND(H13/J13,4),0)</f>
        <v>0</v>
      </c>
      <c r="Q13" s="14"/>
      <c r="T13" s="32"/>
    </row>
    <row r="14" spans="1:20" x14ac:dyDescent="0.2">
      <c r="A14" s="20" t="s">
        <v>141</v>
      </c>
      <c r="B14" s="14" t="s">
        <v>154</v>
      </c>
      <c r="C14" s="81">
        <f>COUNTIFS(TestCase!$A:$A,A14,TestCase!$G:$G,$C$5)</f>
        <v>45</v>
      </c>
      <c r="D14" s="81">
        <f>COUNTIFS(TestCase!$A:$A,A14,TestCase!$G:$G,$D$5)</f>
        <v>0</v>
      </c>
      <c r="E14" s="81">
        <f>COUNTIFS(TestCase!$A:$A,A14,TestCase!$G:$G,$E$5)</f>
        <v>0</v>
      </c>
      <c r="F14" s="81">
        <f>COUNTIFS(TestCase!$A:$A,A14,TestCase!$G:$G,$F$5)</f>
        <v>0</v>
      </c>
      <c r="G14" s="81">
        <f>COUNTIFS(TestCase!$A:$A,A14,TestCase!$G:$G,$G$5)</f>
        <v>0</v>
      </c>
      <c r="H14" s="81">
        <f>COUNTIFS(TestCase!$A:$A,A14,TestCase!$G:$G,$H$5)</f>
        <v>0</v>
      </c>
      <c r="I14" s="81">
        <f>COUNTIFS(TestCase!$A:$A,A14,TestCase!$G:$G,$I$5)</f>
        <v>0</v>
      </c>
      <c r="J14" s="81">
        <f t="shared" si="7"/>
        <v>45</v>
      </c>
      <c r="K14" s="33">
        <f t="shared" si="8"/>
        <v>1</v>
      </c>
      <c r="L14" s="33">
        <f t="shared" si="9"/>
        <v>0</v>
      </c>
      <c r="M14" s="33">
        <f t="shared" si="10"/>
        <v>0</v>
      </c>
      <c r="N14" s="33">
        <f t="shared" si="11"/>
        <v>0</v>
      </c>
      <c r="O14" s="33">
        <f t="shared" si="12"/>
        <v>0</v>
      </c>
      <c r="P14" s="33">
        <f t="shared" si="13"/>
        <v>0</v>
      </c>
      <c r="Q14" s="14"/>
      <c r="T14" s="32"/>
    </row>
    <row r="15" spans="1:20" x14ac:dyDescent="0.2">
      <c r="A15" s="20" t="s">
        <v>142</v>
      </c>
      <c r="B15" s="14" t="s">
        <v>117</v>
      </c>
      <c r="C15" s="81">
        <f>COUNTIFS(TestCase!$A:$A,A15,TestCase!$G:$G,$C$5)</f>
        <v>5</v>
      </c>
      <c r="D15" s="81">
        <f>COUNTIFS(TestCase!$A:$A,A15,TestCase!$G:$G,$D$5)</f>
        <v>0</v>
      </c>
      <c r="E15" s="81">
        <f>COUNTIFS(TestCase!$A:$A,A15,TestCase!$G:$G,$E$5)</f>
        <v>0</v>
      </c>
      <c r="F15" s="81">
        <f>COUNTIFS(TestCase!$A:$A,A15,TestCase!$G:$G,$F$5)</f>
        <v>0</v>
      </c>
      <c r="G15" s="81">
        <f>COUNTIFS(TestCase!$A:$A,A15,TestCase!$G:$G,$G$5)</f>
        <v>0</v>
      </c>
      <c r="H15" s="81">
        <f>COUNTIFS(TestCase!$A:$A,A15,TestCase!$G:$G,$H$5)</f>
        <v>0</v>
      </c>
      <c r="I15" s="81">
        <f>COUNTIFS(TestCase!$A:$A,A15,TestCase!$G:$G,$I$5)</f>
        <v>0</v>
      </c>
      <c r="J15" s="81">
        <f t="shared" si="7"/>
        <v>5</v>
      </c>
      <c r="K15" s="33">
        <f t="shared" si="8"/>
        <v>1</v>
      </c>
      <c r="L15" s="33">
        <f t="shared" si="9"/>
        <v>0</v>
      </c>
      <c r="M15" s="33">
        <f t="shared" si="10"/>
        <v>0</v>
      </c>
      <c r="N15" s="33">
        <f t="shared" si="11"/>
        <v>0</v>
      </c>
      <c r="O15" s="33">
        <f t="shared" si="12"/>
        <v>0</v>
      </c>
      <c r="P15" s="33">
        <f t="shared" si="13"/>
        <v>0</v>
      </c>
      <c r="Q15" s="14"/>
      <c r="T15" s="32"/>
    </row>
    <row r="16" spans="1:20" x14ac:dyDescent="0.2">
      <c r="A16" s="137" t="s">
        <v>113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9"/>
    </row>
    <row r="17" spans="1:20" x14ac:dyDescent="0.2">
      <c r="A17" s="20" t="s">
        <v>130</v>
      </c>
      <c r="B17" s="14" t="s">
        <v>143</v>
      </c>
      <c r="C17" s="81">
        <f>COUNTIFS(TestCase!$A:$A,A17,TestCase!$G:$G,$C$5)</f>
        <v>1</v>
      </c>
      <c r="D17" s="81">
        <f>COUNTIFS(TestCase!$A:$A,A17,TestCase!$G:$G,$D$5)</f>
        <v>0</v>
      </c>
      <c r="E17" s="81">
        <f>COUNTIFS(TestCase!$A:$A,A17,TestCase!$G:$G,$E$5)</f>
        <v>0</v>
      </c>
      <c r="F17" s="81">
        <f>COUNTIFS(TestCase!$A:$A,A17,TestCase!$G:$G,$F$5)</f>
        <v>0</v>
      </c>
      <c r="G17" s="81">
        <f>COUNTIFS(TestCase!$A:$A,A17,TestCase!$G:$G,$G$5)</f>
        <v>0</v>
      </c>
      <c r="H17" s="81">
        <f>COUNTIFS(TestCase!$A:$A,A17,TestCase!$G:$G,$H$5)</f>
        <v>0</v>
      </c>
      <c r="I17" s="81">
        <f>COUNTIFS(TestCase!$A:$A,A17,TestCase!$G:$G,$I$5)</f>
        <v>0</v>
      </c>
      <c r="J17" s="81">
        <f t="shared" ref="J17:J25" si="14">SUM(C17:H17)</f>
        <v>1</v>
      </c>
      <c r="K17" s="33">
        <f>IFERROR(ROUND(C17/J17,4),0)</f>
        <v>1</v>
      </c>
      <c r="L17" s="33">
        <f>IFERROR(ROUND(D17/J17,4),0)</f>
        <v>0</v>
      </c>
      <c r="M17" s="33">
        <f>IFERROR(ROUND(E17/J17,4),0)</f>
        <v>0</v>
      </c>
      <c r="N17" s="33">
        <f>IFERROR(ROUND(F17/J17,4),0)</f>
        <v>0</v>
      </c>
      <c r="O17" s="33">
        <f>IFERROR(ROUND(G17/J17,4),0)</f>
        <v>0</v>
      </c>
      <c r="P17" s="33">
        <f>IFERROR(ROUND(H17/J17,4),0)</f>
        <v>0</v>
      </c>
      <c r="Q17" s="14"/>
      <c r="T17" s="32"/>
    </row>
    <row r="18" spans="1:20" x14ac:dyDescent="0.2">
      <c r="A18" s="20" t="s">
        <v>131</v>
      </c>
      <c r="B18" s="14" t="s">
        <v>144</v>
      </c>
      <c r="C18" s="81">
        <f>COUNTIFS(TestCase!$A:$A,A18,TestCase!$G:$G,$C$5)</f>
        <v>1</v>
      </c>
      <c r="D18" s="81">
        <f>COUNTIFS(TestCase!$A:$A,A18,TestCase!$G:$G,$D$5)</f>
        <v>0</v>
      </c>
      <c r="E18" s="81">
        <f>COUNTIFS(TestCase!$A:$A,A18,TestCase!$G:$G,$E$5)</f>
        <v>0</v>
      </c>
      <c r="F18" s="81">
        <f>COUNTIFS(TestCase!$A:$A,A18,TestCase!$G:$G,$F$5)</f>
        <v>0</v>
      </c>
      <c r="G18" s="81">
        <f>COUNTIFS(TestCase!$A:$A,A18,TestCase!$G:$G,$G$5)</f>
        <v>0</v>
      </c>
      <c r="H18" s="81">
        <f>COUNTIFS(TestCase!$A:$A,A18,TestCase!$G:$G,$H$5)</f>
        <v>0</v>
      </c>
      <c r="I18" s="81">
        <f>COUNTIFS(TestCase!$A:$A,A18,TestCase!$G:$G,$I$5)</f>
        <v>0</v>
      </c>
      <c r="J18" s="81">
        <f t="shared" si="14"/>
        <v>1</v>
      </c>
      <c r="K18" s="33">
        <f t="shared" ref="K18:K25" si="15">IFERROR(ROUND(C18/J18,4),0)</f>
        <v>1</v>
      </c>
      <c r="L18" s="33">
        <f t="shared" ref="L18:L25" si="16">IFERROR(ROUND(D18/J18,4),0)</f>
        <v>0</v>
      </c>
      <c r="M18" s="33">
        <f t="shared" ref="M18:M25" si="17">IFERROR(ROUND(E18/J18,4),0)</f>
        <v>0</v>
      </c>
      <c r="N18" s="33">
        <f t="shared" ref="N18:N25" si="18">IFERROR(ROUND(F18/J18,4),0)</f>
        <v>0</v>
      </c>
      <c r="O18" s="33">
        <f t="shared" ref="O18:O25" si="19">IFERROR(ROUND(G18/J18,4),0)</f>
        <v>0</v>
      </c>
      <c r="P18" s="33">
        <f t="shared" ref="P18:P25" si="20">IFERROR(ROUND(H18/J18,4),0)</f>
        <v>0</v>
      </c>
      <c r="Q18" s="14"/>
      <c r="T18" s="32"/>
    </row>
    <row r="19" spans="1:20" x14ac:dyDescent="0.2">
      <c r="A19" s="20" t="s">
        <v>132</v>
      </c>
      <c r="B19" s="14" t="s">
        <v>145</v>
      </c>
      <c r="C19" s="81">
        <f>COUNTIFS(TestCase!$A:$A,A19,TestCase!$G:$G,$C$5)</f>
        <v>6</v>
      </c>
      <c r="D19" s="81">
        <f>COUNTIFS(TestCase!$A:$A,A19,TestCase!$G:$G,$D$5)</f>
        <v>0</v>
      </c>
      <c r="E19" s="81">
        <f>COUNTIFS(TestCase!$A:$A,A19,TestCase!$G:$G,$E$5)</f>
        <v>0</v>
      </c>
      <c r="F19" s="81">
        <f>COUNTIFS(TestCase!$A:$A,A19,TestCase!$G:$G,$F$5)</f>
        <v>0</v>
      </c>
      <c r="G19" s="81">
        <f>COUNTIFS(TestCase!$A:$A,A19,TestCase!$G:$G,$G$5)</f>
        <v>0</v>
      </c>
      <c r="H19" s="81">
        <f>COUNTIFS(TestCase!$A:$A,A19,TestCase!$G:$G,$H$5)</f>
        <v>0</v>
      </c>
      <c r="I19" s="81">
        <f>COUNTIFS(TestCase!$A:$A,A19,TestCase!$G:$G,$I$5)</f>
        <v>0</v>
      </c>
      <c r="J19" s="81">
        <f t="shared" ref="J19:J24" si="21">SUM(C19:H19)</f>
        <v>6</v>
      </c>
      <c r="K19" s="33">
        <f t="shared" ref="K19:K24" si="22">IFERROR(ROUND(C19/J19,4),0)</f>
        <v>1</v>
      </c>
      <c r="L19" s="33">
        <f t="shared" ref="L19:L24" si="23">IFERROR(ROUND(D19/J19,4),0)</f>
        <v>0</v>
      </c>
      <c r="M19" s="33">
        <f t="shared" ref="M19:M24" si="24">IFERROR(ROUND(E19/J19,4),0)</f>
        <v>0</v>
      </c>
      <c r="N19" s="33">
        <f t="shared" ref="N19:N24" si="25">IFERROR(ROUND(F19/J19,4),0)</f>
        <v>0</v>
      </c>
      <c r="O19" s="33">
        <f t="shared" ref="O19:O24" si="26">IFERROR(ROUND(G19/J19,4),0)</f>
        <v>0</v>
      </c>
      <c r="P19" s="33">
        <f t="shared" ref="P19:P24" si="27">IFERROR(ROUND(H19/J19,4),0)</f>
        <v>0</v>
      </c>
      <c r="Q19" s="14"/>
      <c r="T19" s="32"/>
    </row>
    <row r="20" spans="1:20" x14ac:dyDescent="0.2">
      <c r="A20" s="20" t="s">
        <v>133</v>
      </c>
      <c r="B20" s="14" t="s">
        <v>146</v>
      </c>
      <c r="C20" s="81">
        <f>COUNTIFS(TestCase!$A:$A,A20,TestCase!$G:$G,$C$5)</f>
        <v>4</v>
      </c>
      <c r="D20" s="81">
        <f>COUNTIFS(TestCase!$A:$A,A20,TestCase!$G:$G,$D$5)</f>
        <v>0</v>
      </c>
      <c r="E20" s="81">
        <f>COUNTIFS(TestCase!$A:$A,A20,TestCase!$G:$G,$E$5)</f>
        <v>0</v>
      </c>
      <c r="F20" s="81">
        <f>COUNTIFS(TestCase!$A:$A,A20,TestCase!$G:$G,$F$5)</f>
        <v>0</v>
      </c>
      <c r="G20" s="81">
        <f>COUNTIFS(TestCase!$A:$A,A20,TestCase!$G:$G,$G$5)</f>
        <v>0</v>
      </c>
      <c r="H20" s="81">
        <f>COUNTIFS(TestCase!$A:$A,A20,TestCase!$G:$G,$H$5)</f>
        <v>0</v>
      </c>
      <c r="I20" s="81">
        <f>COUNTIFS(TestCase!$A:$A,A20,TestCase!$G:$G,$I$5)</f>
        <v>0</v>
      </c>
      <c r="J20" s="81">
        <f t="shared" ref="J20:J21" si="28">SUM(C20:H20)</f>
        <v>4</v>
      </c>
      <c r="K20" s="33">
        <f t="shared" ref="K20:K21" si="29">IFERROR(ROUND(C20/J20,4),0)</f>
        <v>1</v>
      </c>
      <c r="L20" s="33">
        <f t="shared" ref="L20:L21" si="30">IFERROR(ROUND(D20/J20,4),0)</f>
        <v>0</v>
      </c>
      <c r="M20" s="33">
        <f t="shared" ref="M20:M21" si="31">IFERROR(ROUND(E20/J20,4),0)</f>
        <v>0</v>
      </c>
      <c r="N20" s="33">
        <f t="shared" ref="N20:N21" si="32">IFERROR(ROUND(F20/J20,4),0)</f>
        <v>0</v>
      </c>
      <c r="O20" s="33">
        <f t="shared" ref="O20:O21" si="33">IFERROR(ROUND(G20/J20,4),0)</f>
        <v>0</v>
      </c>
      <c r="P20" s="33">
        <f t="shared" ref="P20:P21" si="34">IFERROR(ROUND(H20/J20,4),0)</f>
        <v>0</v>
      </c>
      <c r="Q20" s="14"/>
      <c r="T20" s="32"/>
    </row>
    <row r="21" spans="1:20" x14ac:dyDescent="0.2">
      <c r="A21" s="20" t="s">
        <v>134</v>
      </c>
      <c r="B21" s="14" t="s">
        <v>147</v>
      </c>
      <c r="C21" s="81">
        <f>COUNTIFS(TestCase!$A:$A,A21,TestCase!$G:$G,$C$5)</f>
        <v>3</v>
      </c>
      <c r="D21" s="81">
        <f>COUNTIFS(TestCase!$A:$A,A21,TestCase!$G:$G,$D$5)</f>
        <v>0</v>
      </c>
      <c r="E21" s="81">
        <f>COUNTIFS(TestCase!$A:$A,A21,TestCase!$G:$G,$E$5)</f>
        <v>0</v>
      </c>
      <c r="F21" s="81">
        <f>COUNTIFS(TestCase!$A:$A,A21,TestCase!$G:$G,$F$5)</f>
        <v>0</v>
      </c>
      <c r="G21" s="81">
        <f>COUNTIFS(TestCase!$A:$A,A21,TestCase!$G:$G,$G$5)</f>
        <v>0</v>
      </c>
      <c r="H21" s="81">
        <f>COUNTIFS(TestCase!$A:$A,A21,TestCase!$G:$G,$H$5)</f>
        <v>0</v>
      </c>
      <c r="I21" s="81">
        <f>COUNTIFS(TestCase!$A:$A,A21,TestCase!$G:$G,$I$5)</f>
        <v>0</v>
      </c>
      <c r="J21" s="81">
        <f t="shared" si="28"/>
        <v>3</v>
      </c>
      <c r="K21" s="33">
        <f t="shared" si="29"/>
        <v>1</v>
      </c>
      <c r="L21" s="33">
        <f t="shared" si="30"/>
        <v>0</v>
      </c>
      <c r="M21" s="33">
        <f t="shared" si="31"/>
        <v>0</v>
      </c>
      <c r="N21" s="33">
        <f t="shared" si="32"/>
        <v>0</v>
      </c>
      <c r="O21" s="33">
        <f t="shared" si="33"/>
        <v>0</v>
      </c>
      <c r="P21" s="33">
        <f t="shared" si="34"/>
        <v>0</v>
      </c>
      <c r="Q21" s="14"/>
      <c r="T21" s="32"/>
    </row>
    <row r="22" spans="1:20" x14ac:dyDescent="0.2">
      <c r="A22" s="20" t="s">
        <v>135</v>
      </c>
      <c r="B22" s="14" t="s">
        <v>148</v>
      </c>
      <c r="C22" s="81">
        <f>COUNTIFS(TestCase!$A:$A,A22,TestCase!$G:$G,$C$5)</f>
        <v>4</v>
      </c>
      <c r="D22" s="81">
        <f>COUNTIFS(TestCase!$A:$A,A22,TestCase!$G:$G,$D$5)</f>
        <v>0</v>
      </c>
      <c r="E22" s="81">
        <f>COUNTIFS(TestCase!$A:$A,A22,TestCase!$G:$G,$E$5)</f>
        <v>0</v>
      </c>
      <c r="F22" s="81">
        <f>COUNTIFS(TestCase!$A:$A,A22,TestCase!$G:$G,$F$5)</f>
        <v>0</v>
      </c>
      <c r="G22" s="81">
        <f>COUNTIFS(TestCase!$A:$A,A22,TestCase!$G:$G,$G$5)</f>
        <v>0</v>
      </c>
      <c r="H22" s="81">
        <f>COUNTIFS(TestCase!$A:$A,A22,TestCase!$G:$G,$H$5)</f>
        <v>0</v>
      </c>
      <c r="I22" s="81">
        <f>COUNTIFS(TestCase!$A:$A,A22,TestCase!$G:$G,$I$5)</f>
        <v>0</v>
      </c>
      <c r="J22" s="81">
        <f t="shared" si="21"/>
        <v>4</v>
      </c>
      <c r="K22" s="33">
        <f t="shared" si="22"/>
        <v>1</v>
      </c>
      <c r="L22" s="33">
        <f t="shared" si="23"/>
        <v>0</v>
      </c>
      <c r="M22" s="33">
        <f t="shared" si="24"/>
        <v>0</v>
      </c>
      <c r="N22" s="33">
        <f t="shared" si="25"/>
        <v>0</v>
      </c>
      <c r="O22" s="33">
        <f t="shared" si="26"/>
        <v>0</v>
      </c>
      <c r="P22" s="33">
        <f t="shared" si="27"/>
        <v>0</v>
      </c>
      <c r="Q22" s="14"/>
      <c r="T22" s="32"/>
    </row>
    <row r="23" spans="1:20" x14ac:dyDescent="0.2">
      <c r="A23" s="20" t="s">
        <v>136</v>
      </c>
      <c r="B23" s="14" t="s">
        <v>149</v>
      </c>
      <c r="C23" s="81">
        <f>COUNTIFS(TestCase!$A:$A,A23,TestCase!$G:$G,$C$5)</f>
        <v>7</v>
      </c>
      <c r="D23" s="81">
        <f>COUNTIFS(TestCase!$A:$A,A23,TestCase!$G:$G,$D$5)</f>
        <v>0</v>
      </c>
      <c r="E23" s="81">
        <f>COUNTIFS(TestCase!$A:$A,A23,TestCase!$G:$G,$E$5)</f>
        <v>0</v>
      </c>
      <c r="F23" s="81">
        <f>COUNTIFS(TestCase!$A:$A,A23,TestCase!$G:$G,$F$5)</f>
        <v>0</v>
      </c>
      <c r="G23" s="81">
        <f>COUNTIFS(TestCase!$A:$A,A23,TestCase!$G:$G,$G$5)</f>
        <v>0</v>
      </c>
      <c r="H23" s="81">
        <f>COUNTIFS(TestCase!$A:$A,A23,TestCase!$G:$G,$H$5)</f>
        <v>0</v>
      </c>
      <c r="I23" s="81">
        <f>COUNTIFS(TestCase!$A:$A,A23,TestCase!$G:$G,$I$5)</f>
        <v>0</v>
      </c>
      <c r="J23" s="81">
        <f t="shared" si="21"/>
        <v>7</v>
      </c>
      <c r="K23" s="33">
        <f t="shared" si="22"/>
        <v>1</v>
      </c>
      <c r="L23" s="33">
        <f t="shared" si="23"/>
        <v>0</v>
      </c>
      <c r="M23" s="33">
        <f t="shared" si="24"/>
        <v>0</v>
      </c>
      <c r="N23" s="33">
        <f t="shared" si="25"/>
        <v>0</v>
      </c>
      <c r="O23" s="33">
        <f t="shared" si="26"/>
        <v>0</v>
      </c>
      <c r="P23" s="33">
        <f t="shared" si="27"/>
        <v>0</v>
      </c>
      <c r="Q23" s="14"/>
      <c r="T23" s="32"/>
    </row>
    <row r="24" spans="1:20" x14ac:dyDescent="0.2">
      <c r="A24" s="20" t="s">
        <v>137</v>
      </c>
      <c r="B24" s="14" t="s">
        <v>150</v>
      </c>
      <c r="C24" s="81">
        <f>COUNTIFS(TestCase!$A:$A,A24,TestCase!$G:$G,$C$5)</f>
        <v>6</v>
      </c>
      <c r="D24" s="81">
        <f>COUNTIFS(TestCase!$A:$A,A24,TestCase!$G:$G,$D$5)</f>
        <v>0</v>
      </c>
      <c r="E24" s="81">
        <f>COUNTIFS(TestCase!$A:$A,A24,TestCase!$G:$G,$E$5)</f>
        <v>3</v>
      </c>
      <c r="F24" s="81">
        <f>COUNTIFS(TestCase!$A:$A,A24,TestCase!$G:$G,$F$5)</f>
        <v>0</v>
      </c>
      <c r="G24" s="81">
        <f>COUNTIFS(TestCase!$A:$A,A24,TestCase!$G:$G,$G$5)</f>
        <v>0</v>
      </c>
      <c r="H24" s="81">
        <f>COUNTIFS(TestCase!$A:$A,A24,TestCase!$G:$G,$H$5)</f>
        <v>0</v>
      </c>
      <c r="I24" s="81">
        <f>COUNTIFS(TestCase!$A:$A,A24,TestCase!$G:$G,$I$5)</f>
        <v>0</v>
      </c>
      <c r="J24" s="81">
        <f t="shared" si="21"/>
        <v>9</v>
      </c>
      <c r="K24" s="33">
        <f t="shared" si="22"/>
        <v>0.66669999999999996</v>
      </c>
      <c r="L24" s="33">
        <f t="shared" si="23"/>
        <v>0</v>
      </c>
      <c r="M24" s="33">
        <f t="shared" si="24"/>
        <v>0.33329999999999999</v>
      </c>
      <c r="N24" s="33">
        <f t="shared" si="25"/>
        <v>0</v>
      </c>
      <c r="O24" s="33">
        <f t="shared" si="26"/>
        <v>0</v>
      </c>
      <c r="P24" s="33">
        <f t="shared" si="27"/>
        <v>0</v>
      </c>
      <c r="Q24" s="14"/>
      <c r="T24" s="32"/>
    </row>
    <row r="25" spans="1:20" x14ac:dyDescent="0.2">
      <c r="A25" s="20" t="s">
        <v>138</v>
      </c>
      <c r="B25" s="14" t="s">
        <v>151</v>
      </c>
      <c r="C25" s="81">
        <f>COUNTIFS(TestCase!$A:$A,A25,TestCase!$G:$G,$C$5)</f>
        <v>6</v>
      </c>
      <c r="D25" s="81">
        <f>COUNTIFS(TestCase!$A:$A,A25,TestCase!$G:$G,$D$5)</f>
        <v>0</v>
      </c>
      <c r="E25" s="81">
        <f>COUNTIFS(TestCase!$A:$A,A25,TestCase!$G:$G,$E$5)</f>
        <v>3</v>
      </c>
      <c r="F25" s="81">
        <f>COUNTIFS(TestCase!$A:$A,A25,TestCase!$G:$G,$F$5)</f>
        <v>0</v>
      </c>
      <c r="G25" s="81">
        <f>COUNTIFS(TestCase!$A:$A,A25,TestCase!$G:$G,$G$5)</f>
        <v>0</v>
      </c>
      <c r="H25" s="81">
        <f>COUNTIFS(TestCase!$A:$A,A25,TestCase!$G:$G,$H$5)</f>
        <v>0</v>
      </c>
      <c r="I25" s="81">
        <f>COUNTIFS(TestCase!$A:$A,A25,TestCase!$G:$G,$I$5)</f>
        <v>0</v>
      </c>
      <c r="J25" s="81">
        <f t="shared" si="14"/>
        <v>9</v>
      </c>
      <c r="K25" s="33">
        <f t="shared" si="15"/>
        <v>0.66669999999999996</v>
      </c>
      <c r="L25" s="33">
        <f t="shared" si="16"/>
        <v>0</v>
      </c>
      <c r="M25" s="33">
        <f t="shared" si="17"/>
        <v>0.33329999999999999</v>
      </c>
      <c r="N25" s="33">
        <f t="shared" si="18"/>
        <v>0</v>
      </c>
      <c r="O25" s="33">
        <f t="shared" si="19"/>
        <v>0</v>
      </c>
      <c r="P25" s="33">
        <f t="shared" si="20"/>
        <v>0</v>
      </c>
      <c r="Q25" s="14"/>
      <c r="T25" s="32"/>
    </row>
    <row r="26" spans="1:20" x14ac:dyDescent="0.2">
      <c r="A26" s="137" t="s">
        <v>114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9"/>
    </row>
    <row r="27" spans="1:20" x14ac:dyDescent="0.2">
      <c r="A27" s="20" t="s">
        <v>129</v>
      </c>
      <c r="B27" s="14" t="s">
        <v>152</v>
      </c>
      <c r="C27" s="81">
        <f>COUNTIFS(TestCase!$A:$A,A27,TestCase!$G:$G,$C$5)</f>
        <v>5</v>
      </c>
      <c r="D27" s="81">
        <f>COUNTIFS(TestCase!$A:$A,A27,TestCase!$G:$G,$D$5)</f>
        <v>0</v>
      </c>
      <c r="E27" s="81">
        <f>COUNTIFS(TestCase!$A:$A,A27,TestCase!$G:$G,$E$5)</f>
        <v>0</v>
      </c>
      <c r="F27" s="81">
        <f>COUNTIFS(TestCase!$A:$A,A27,TestCase!$G:$G,$F$5)</f>
        <v>0</v>
      </c>
      <c r="G27" s="81">
        <f>COUNTIFS(TestCase!$A:$A,A27,TestCase!$G:$G,$G$5)</f>
        <v>0</v>
      </c>
      <c r="H27" s="81">
        <f>COUNTIFS(TestCase!$A:$A,A27,TestCase!$G:$G,$H$5)</f>
        <v>0</v>
      </c>
      <c r="I27" s="81">
        <f>COUNTIFS(TestCase!$A:$A,A27,TestCase!$G:$G,$I$5)</f>
        <v>0</v>
      </c>
      <c r="J27" s="81">
        <f t="shared" ref="J27" si="35">SUM(C27:H27)</f>
        <v>5</v>
      </c>
      <c r="K27" s="33">
        <f>IFERROR(ROUND(C27/J27,4),0)</f>
        <v>1</v>
      </c>
      <c r="L27" s="33">
        <f>IFERROR(ROUND(D27/J27,4),0)</f>
        <v>0</v>
      </c>
      <c r="M27" s="33">
        <f>IFERROR(ROUND(E27/J27,4),0)</f>
        <v>0</v>
      </c>
      <c r="N27" s="33">
        <f>IFERROR(ROUND(F27/J27,4),0)</f>
        <v>0</v>
      </c>
      <c r="O27" s="33">
        <f>IFERROR(ROUND(G27/J27,4),0)</f>
        <v>0</v>
      </c>
      <c r="P27" s="33">
        <f>IFERROR(ROUND(H27/J27,4),0)</f>
        <v>0</v>
      </c>
      <c r="Q27" s="14"/>
      <c r="T27" s="32"/>
    </row>
    <row r="28" spans="1:20" x14ac:dyDescent="0.2">
      <c r="A28" s="137" t="s">
        <v>118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9"/>
    </row>
    <row r="29" spans="1:20" x14ac:dyDescent="0.2">
      <c r="A29" s="20" t="s">
        <v>127</v>
      </c>
      <c r="B29" s="14" t="s">
        <v>153</v>
      </c>
      <c r="C29" s="81">
        <f>COUNTIFS(TestCase!$A:$A,A29,TestCase!$G:$G,$C$5)</f>
        <v>5</v>
      </c>
      <c r="D29" s="81">
        <f>COUNTIFS(TestCase!$A:$A,A29,TestCase!$G:$G,$D$5)</f>
        <v>0</v>
      </c>
      <c r="E29" s="81">
        <f>COUNTIFS(TestCase!$A:$A,A29,TestCase!$G:$G,$E$5)</f>
        <v>0</v>
      </c>
      <c r="F29" s="81">
        <f>COUNTIFS(TestCase!$A:$A,A29,TestCase!$G:$G,$F$5)</f>
        <v>0</v>
      </c>
      <c r="G29" s="81">
        <f>COUNTIFS(TestCase!$A:$A,A29,TestCase!$G:$G,$G$5)</f>
        <v>0</v>
      </c>
      <c r="H29" s="81">
        <f>COUNTIFS(TestCase!$A:$A,A29,TestCase!$G:$G,$H$5)</f>
        <v>0</v>
      </c>
      <c r="I29" s="81">
        <f>COUNTIFS(TestCase!$A:$A,A29,TestCase!$G:$G,$I$5)</f>
        <v>0</v>
      </c>
      <c r="J29" s="81">
        <f t="shared" ref="J29:J30" si="36">SUM(C29:H29)</f>
        <v>5</v>
      </c>
      <c r="K29" s="33">
        <f>IFERROR(ROUND(C29/J29,4),0)</f>
        <v>1</v>
      </c>
      <c r="L29" s="33">
        <f>IFERROR(ROUND(D29/J29,4),0)</f>
        <v>0</v>
      </c>
      <c r="M29" s="33">
        <f>IFERROR(ROUND(E29/J29,4),0)</f>
        <v>0</v>
      </c>
      <c r="N29" s="33">
        <f>IFERROR(ROUND(F29/J29,4),0)</f>
        <v>0</v>
      </c>
      <c r="O29" s="33">
        <f>IFERROR(ROUND(G29/J29,4),0)</f>
        <v>0</v>
      </c>
      <c r="P29" s="33">
        <f>IFERROR(ROUND(H29/J29,4),0)</f>
        <v>0</v>
      </c>
      <c r="Q29" s="14"/>
      <c r="T29" s="32"/>
    </row>
    <row r="30" spans="1:20" x14ac:dyDescent="0.2">
      <c r="A30" s="20" t="s">
        <v>128</v>
      </c>
      <c r="B30" s="14" t="s">
        <v>155</v>
      </c>
      <c r="C30" s="81">
        <f>COUNTIFS(TestCase!$A:$A,A30,TestCase!$G:$G,$C$5)</f>
        <v>11</v>
      </c>
      <c r="D30" s="81">
        <f>COUNTIFS(TestCase!$A:$A,A30,TestCase!$G:$G,$D$5)</f>
        <v>0</v>
      </c>
      <c r="E30" s="81">
        <f>COUNTIFS(TestCase!$A:$A,A30,TestCase!$G:$G,$E$5)</f>
        <v>0</v>
      </c>
      <c r="F30" s="81">
        <f>COUNTIFS(TestCase!$A:$A,A30,TestCase!$G:$G,$F$5)</f>
        <v>0</v>
      </c>
      <c r="G30" s="81">
        <f>COUNTIFS(TestCase!$A:$A,A30,TestCase!$G:$G,$G$5)</f>
        <v>0</v>
      </c>
      <c r="H30" s="81">
        <f>COUNTIFS(TestCase!$A:$A,A30,TestCase!$G:$G,$H$5)</f>
        <v>0</v>
      </c>
      <c r="I30" s="81">
        <f>COUNTIFS(TestCase!$A:$A,A30,TestCase!$G:$G,$I$5)</f>
        <v>0</v>
      </c>
      <c r="J30" s="81">
        <f t="shared" si="36"/>
        <v>11</v>
      </c>
      <c r="K30" s="33">
        <f t="shared" ref="K30" si="37">IFERROR(ROUND(C30/J30,4),0)</f>
        <v>1</v>
      </c>
      <c r="L30" s="33">
        <f t="shared" ref="L30" si="38">IFERROR(ROUND(D30/J30,4),0)</f>
        <v>0</v>
      </c>
      <c r="M30" s="33">
        <f t="shared" ref="M30" si="39">IFERROR(ROUND(E30/J30,4),0)</f>
        <v>0</v>
      </c>
      <c r="N30" s="33">
        <f t="shared" ref="N30" si="40">IFERROR(ROUND(F30/J30,4),0)</f>
        <v>0</v>
      </c>
      <c r="O30" s="33">
        <f t="shared" ref="O30" si="41">IFERROR(ROUND(G30/J30,4),0)</f>
        <v>0</v>
      </c>
      <c r="P30" s="33">
        <f t="shared" ref="P30" si="42">IFERROR(ROUND(H30/J30,4),0)</f>
        <v>0</v>
      </c>
      <c r="Q30" s="14"/>
      <c r="T30" s="32"/>
    </row>
    <row r="31" spans="1:20" x14ac:dyDescent="0.2">
      <c r="A31" s="137" t="s">
        <v>115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9"/>
    </row>
    <row r="32" spans="1:20" x14ac:dyDescent="0.2">
      <c r="A32" s="20" t="s">
        <v>125</v>
      </c>
      <c r="B32" s="14" t="s">
        <v>156</v>
      </c>
      <c r="C32" s="81">
        <f>COUNTIFS(TestCase!$A:$A,A32,TestCase!$G:$G,$C$5)</f>
        <v>5</v>
      </c>
      <c r="D32" s="81">
        <f>COUNTIFS(TestCase!$A:$A,A32,TestCase!$G:$G,$D$5)</f>
        <v>0</v>
      </c>
      <c r="E32" s="81">
        <f>COUNTIFS(TestCase!$A:$A,A32,TestCase!$G:$G,$E$5)</f>
        <v>0</v>
      </c>
      <c r="F32" s="81">
        <f>COUNTIFS(TestCase!$A:$A,A32,TestCase!$G:$G,$F$5)</f>
        <v>0</v>
      </c>
      <c r="G32" s="81">
        <f>COUNTIFS(TestCase!$A:$A,A32,TestCase!$G:$G,$G$5)</f>
        <v>0</v>
      </c>
      <c r="H32" s="81">
        <f>COUNTIFS(TestCase!$A:$A,A32,TestCase!$G:$G,$H$5)</f>
        <v>0</v>
      </c>
      <c r="I32" s="81">
        <f>COUNTIFS(TestCase!$A:$A,A32,TestCase!$G:$G,$I$5)</f>
        <v>0</v>
      </c>
      <c r="J32" s="81">
        <f t="shared" ref="J32:J33" si="43">SUM(C32:H32)</f>
        <v>5</v>
      </c>
      <c r="K32" s="33">
        <f>IFERROR(ROUND(C32/J32,4),0)</f>
        <v>1</v>
      </c>
      <c r="L32" s="33">
        <f>IFERROR(ROUND(D32/J32,4),0)</f>
        <v>0</v>
      </c>
      <c r="M32" s="33">
        <f>IFERROR(ROUND(E32/J32,4),0)</f>
        <v>0</v>
      </c>
      <c r="N32" s="33">
        <f>IFERROR(ROUND(F32/J32,4),0)</f>
        <v>0</v>
      </c>
      <c r="O32" s="33">
        <f>IFERROR(ROUND(G32/J32,4),0)</f>
        <v>0</v>
      </c>
      <c r="P32" s="33">
        <f>IFERROR(ROUND(H32/J32,4),0)</f>
        <v>0</v>
      </c>
      <c r="Q32" s="14"/>
      <c r="T32" s="32"/>
    </row>
    <row r="33" spans="1:20" x14ac:dyDescent="0.2">
      <c r="A33" s="20" t="s">
        <v>126</v>
      </c>
      <c r="B33" s="14" t="s">
        <v>157</v>
      </c>
      <c r="C33" s="81">
        <f>COUNTIFS(TestCase!$A:$A,A33,TestCase!$G:$G,$C$5)</f>
        <v>2</v>
      </c>
      <c r="D33" s="81">
        <f>COUNTIFS(TestCase!$A:$A,A33,TestCase!$G:$G,$D$5)</f>
        <v>0</v>
      </c>
      <c r="E33" s="81">
        <f>COUNTIFS(TestCase!$A:$A,A33,TestCase!$G:$G,$E$5)</f>
        <v>0</v>
      </c>
      <c r="F33" s="81">
        <f>COUNTIFS(TestCase!$A:$A,A33,TestCase!$G:$G,$F$5)</f>
        <v>0</v>
      </c>
      <c r="G33" s="81">
        <f>COUNTIFS(TestCase!$A:$A,A33,TestCase!$G:$G,$G$5)</f>
        <v>0</v>
      </c>
      <c r="H33" s="81">
        <f>COUNTIFS(TestCase!$A:$A,A33,TestCase!$G:$G,$H$5)</f>
        <v>0</v>
      </c>
      <c r="I33" s="81">
        <f>COUNTIFS(TestCase!$A:$A,A33,TestCase!$G:$G,$I$5)</f>
        <v>0</v>
      </c>
      <c r="J33" s="81">
        <f t="shared" si="43"/>
        <v>2</v>
      </c>
      <c r="K33" s="33">
        <f t="shared" ref="K33" si="44">IFERROR(ROUND(C33/J33,4),0)</f>
        <v>1</v>
      </c>
      <c r="L33" s="33">
        <f t="shared" ref="L33" si="45">IFERROR(ROUND(D33/J33,4),0)</f>
        <v>0</v>
      </c>
      <c r="M33" s="33">
        <f t="shared" ref="M33" si="46">IFERROR(ROUND(E33/J33,4),0)</f>
        <v>0</v>
      </c>
      <c r="N33" s="33">
        <f t="shared" ref="N33" si="47">IFERROR(ROUND(F33/J33,4),0)</f>
        <v>0</v>
      </c>
      <c r="O33" s="33">
        <f t="shared" ref="O33" si="48">IFERROR(ROUND(G33/J33,4),0)</f>
        <v>0</v>
      </c>
      <c r="P33" s="33">
        <f t="shared" ref="P33" si="49">IFERROR(ROUND(H33/J33,4),0)</f>
        <v>0</v>
      </c>
      <c r="Q33" s="14"/>
      <c r="T33" s="32"/>
    </row>
    <row r="34" spans="1:20" x14ac:dyDescent="0.2">
      <c r="A34" s="137" t="s">
        <v>116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9"/>
    </row>
    <row r="35" spans="1:20" x14ac:dyDescent="0.2">
      <c r="A35" s="20" t="s">
        <v>122</v>
      </c>
      <c r="B35" s="14" t="s">
        <v>158</v>
      </c>
      <c r="C35" s="81">
        <f>COUNTIFS(TestCase!$A:$A,A35,TestCase!$G:$G,$C$5)</f>
        <v>0</v>
      </c>
      <c r="D35" s="81">
        <f>COUNTIFS(TestCase!$A:$A,A35,TestCase!$G:$G,$D$5)</f>
        <v>0</v>
      </c>
      <c r="E35" s="81">
        <f>COUNTIFS(TestCase!$A:$A,A35,TestCase!$G:$G,$E$5)</f>
        <v>0</v>
      </c>
      <c r="F35" s="81">
        <f>COUNTIFS(TestCase!$A:$A,A35,TestCase!$G:$G,$F$5)</f>
        <v>0</v>
      </c>
      <c r="G35" s="81">
        <f>COUNTIFS(TestCase!$A:$A,A35,TestCase!$G:$G,$G$5)</f>
        <v>0</v>
      </c>
      <c r="H35" s="81">
        <f>COUNTIFS(TestCase!$A:$A,A35,TestCase!$G:$G,$H$5)</f>
        <v>0</v>
      </c>
      <c r="I35" s="81">
        <f>COUNTIFS(TestCase!$A:$A,A35,TestCase!$G:$G,$I$5)</f>
        <v>0</v>
      </c>
      <c r="J35" s="81">
        <f t="shared" ref="J35:J36" si="50">SUM(C35:H35)</f>
        <v>0</v>
      </c>
      <c r="K35" s="33">
        <f>IFERROR(ROUND(C35/J35,4),0)</f>
        <v>0</v>
      </c>
      <c r="L35" s="33">
        <f>IFERROR(ROUND(D35/J35,4),0)</f>
        <v>0</v>
      </c>
      <c r="M35" s="33">
        <f>IFERROR(ROUND(E35/J35,4),0)</f>
        <v>0</v>
      </c>
      <c r="N35" s="33">
        <f>IFERROR(ROUND(F35/J35,4),0)</f>
        <v>0</v>
      </c>
      <c r="O35" s="33">
        <f>IFERROR(ROUND(G35/J35,4),0)</f>
        <v>0</v>
      </c>
      <c r="P35" s="33">
        <f>IFERROR(ROUND(H35/J35,4),0)</f>
        <v>0</v>
      </c>
      <c r="Q35" s="14"/>
      <c r="T35" s="32"/>
    </row>
    <row r="36" spans="1:20" x14ac:dyDescent="0.2">
      <c r="A36" s="20" t="s">
        <v>123</v>
      </c>
      <c r="B36" s="14" t="s">
        <v>159</v>
      </c>
      <c r="C36" s="81">
        <f>COUNTIFS(TestCase!$A:$A,A36,TestCase!$G:$G,$C$5)</f>
        <v>0</v>
      </c>
      <c r="D36" s="81">
        <f>COUNTIFS(TestCase!$A:$A,A36,TestCase!$G:$G,$D$5)</f>
        <v>0</v>
      </c>
      <c r="E36" s="81">
        <f>COUNTIFS(TestCase!$A:$A,A36,TestCase!$G:$G,$E$5)</f>
        <v>0</v>
      </c>
      <c r="F36" s="81">
        <f>COUNTIFS(TestCase!$A:$A,A36,TestCase!$G:$G,$F$5)</f>
        <v>0</v>
      </c>
      <c r="G36" s="81">
        <f>COUNTIFS(TestCase!$A:$A,A36,TestCase!$G:$G,$G$5)</f>
        <v>0</v>
      </c>
      <c r="H36" s="81">
        <f>COUNTIFS(TestCase!$A:$A,A36,TestCase!$G:$G,$H$5)</f>
        <v>0</v>
      </c>
      <c r="I36" s="81">
        <f>COUNTIFS(TestCase!$A:$A,A36,TestCase!$G:$G,$I$5)</f>
        <v>0</v>
      </c>
      <c r="J36" s="81">
        <f t="shared" si="50"/>
        <v>0</v>
      </c>
      <c r="K36" s="33">
        <f t="shared" ref="K36" si="51">IFERROR(ROUND(C36/J36,4),0)</f>
        <v>0</v>
      </c>
      <c r="L36" s="33">
        <f t="shared" ref="L36" si="52">IFERROR(ROUND(D36/J36,4),0)</f>
        <v>0</v>
      </c>
      <c r="M36" s="33">
        <f t="shared" ref="M36" si="53">IFERROR(ROUND(E36/J36,4),0)</f>
        <v>0</v>
      </c>
      <c r="N36" s="33">
        <f t="shared" ref="N36" si="54">IFERROR(ROUND(F36/J36,4),0)</f>
        <v>0</v>
      </c>
      <c r="O36" s="33">
        <f t="shared" ref="O36" si="55">IFERROR(ROUND(G36/J36,4),0)</f>
        <v>0</v>
      </c>
      <c r="P36" s="33">
        <f t="shared" ref="P36" si="56">IFERROR(ROUND(H36/J36,4),0)</f>
        <v>0</v>
      </c>
      <c r="Q36" s="14"/>
      <c r="T36" s="32"/>
    </row>
    <row r="37" spans="1:20" x14ac:dyDescent="0.2">
      <c r="A37" s="137" t="s">
        <v>121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9"/>
    </row>
    <row r="38" spans="1:20" x14ac:dyDescent="0.2">
      <c r="A38" s="20" t="s">
        <v>124</v>
      </c>
      <c r="B38" s="14" t="s">
        <v>160</v>
      </c>
      <c r="C38" s="81">
        <f>COUNTIFS(TestCase!$A:$A,A38,TestCase!$G:$G,$C$5)</f>
        <v>2</v>
      </c>
      <c r="D38" s="81">
        <f>COUNTIFS(TestCase!$A:$A,A38,TestCase!$G:$G,$D$5)</f>
        <v>0</v>
      </c>
      <c r="E38" s="81">
        <f>COUNTIFS(TestCase!$A:$A,A38,TestCase!$G:$G,$E$5)</f>
        <v>0</v>
      </c>
      <c r="F38" s="81">
        <f>COUNTIFS(TestCase!$A:$A,A38,TestCase!$G:$G,$F$5)</f>
        <v>0</v>
      </c>
      <c r="G38" s="81">
        <f>COUNTIFS(TestCase!$A:$A,A38,TestCase!$G:$G,$G$5)</f>
        <v>0</v>
      </c>
      <c r="H38" s="81">
        <f>COUNTIFS(TestCase!$A:$A,A38,TestCase!$G:$G,$H$5)</f>
        <v>0</v>
      </c>
      <c r="I38" s="81">
        <f>COUNTIFS(TestCase!$A:$A,A38,TestCase!$G:$G,$I$5)</f>
        <v>0</v>
      </c>
      <c r="J38" s="81">
        <f t="shared" ref="J38" si="57">SUM(C38:H38)</f>
        <v>2</v>
      </c>
      <c r="K38" s="33">
        <f>IFERROR(ROUND(C38/J38,4),0)</f>
        <v>1</v>
      </c>
      <c r="L38" s="33">
        <f>IFERROR(ROUND(D38/J38,4),0)</f>
        <v>0</v>
      </c>
      <c r="M38" s="33">
        <f>IFERROR(ROUND(E38/J38,4),0)</f>
        <v>0</v>
      </c>
      <c r="N38" s="33">
        <f>IFERROR(ROUND(F38/J38,4),0)</f>
        <v>0</v>
      </c>
      <c r="O38" s="33">
        <f>IFERROR(ROUND(G38/J38,4),0)</f>
        <v>0</v>
      </c>
      <c r="P38" s="33">
        <f>IFERROR(ROUND(H38/J38,4),0)</f>
        <v>0</v>
      </c>
      <c r="Q38" s="14"/>
      <c r="T38" s="32"/>
    </row>
    <row r="39" spans="1:20" x14ac:dyDescent="0.2">
      <c r="A39" s="135" t="s">
        <v>12</v>
      </c>
      <c r="B39" s="136"/>
      <c r="C39" s="82">
        <f t="shared" ref="C39:J39" si="58">SUM(C7:C38)</f>
        <v>204</v>
      </c>
      <c r="D39" s="82">
        <f t="shared" si="58"/>
        <v>0</v>
      </c>
      <c r="E39" s="82">
        <f t="shared" si="58"/>
        <v>6</v>
      </c>
      <c r="F39" s="82">
        <f t="shared" si="58"/>
        <v>0</v>
      </c>
      <c r="G39" s="82">
        <f t="shared" si="58"/>
        <v>0</v>
      </c>
      <c r="H39" s="82">
        <f t="shared" si="58"/>
        <v>0</v>
      </c>
      <c r="I39" s="82">
        <f t="shared" si="58"/>
        <v>0</v>
      </c>
      <c r="J39" s="82">
        <f t="shared" si="58"/>
        <v>210</v>
      </c>
      <c r="K39" s="58">
        <f>IFERROR(100%-SUM(L39:P39),0)</f>
        <v>0.97140000000000004</v>
      </c>
      <c r="L39" s="58">
        <f t="shared" ref="L39:O39" si="59">IFERROR(ROUND(D39/$J$39,4),0)</f>
        <v>0</v>
      </c>
      <c r="M39" s="58">
        <f>IFERROR(ROUND(E39/$J$39,4),0)</f>
        <v>2.86E-2</v>
      </c>
      <c r="N39" s="58">
        <f>IFERROR(ROUND(F39/$J$39,4),0)</f>
        <v>0</v>
      </c>
      <c r="O39" s="58">
        <f t="shared" si="59"/>
        <v>0</v>
      </c>
      <c r="P39" s="58">
        <f>IFERROR(ROUND(H39/$J$39,4),0)</f>
        <v>0</v>
      </c>
      <c r="Q39" s="54"/>
      <c r="T39" s="32"/>
    </row>
    <row r="40" spans="1:20" x14ac:dyDescent="0.2">
      <c r="T40" s="32"/>
    </row>
    <row r="41" spans="1:20" x14ac:dyDescent="0.2">
      <c r="A41" s="60" t="s">
        <v>46</v>
      </c>
      <c r="T41" s="32"/>
    </row>
    <row r="42" spans="1:20" x14ac:dyDescent="0.2">
      <c r="A42" s="61" t="s">
        <v>47</v>
      </c>
    </row>
    <row r="43" spans="1:20" x14ac:dyDescent="0.2">
      <c r="A43" s="61" t="s">
        <v>48</v>
      </c>
    </row>
    <row r="44" spans="1:20" x14ac:dyDescent="0.2">
      <c r="A44" s="61" t="s">
        <v>49</v>
      </c>
    </row>
    <row r="45" spans="1:20" x14ac:dyDescent="0.2">
      <c r="A45" s="59" t="s">
        <v>50</v>
      </c>
    </row>
    <row r="46" spans="1:20" x14ac:dyDescent="0.2">
      <c r="A46" s="61" t="s">
        <v>51</v>
      </c>
    </row>
    <row r="47" spans="1:20" x14ac:dyDescent="0.2">
      <c r="A47" s="61" t="s">
        <v>52</v>
      </c>
    </row>
    <row r="48" spans="1:20" x14ac:dyDescent="0.2">
      <c r="A48" s="61" t="s">
        <v>53</v>
      </c>
    </row>
  </sheetData>
  <mergeCells count="10">
    <mergeCell ref="A3:Q3"/>
    <mergeCell ref="A39:B39"/>
    <mergeCell ref="A34:Q34"/>
    <mergeCell ref="A6:Q6"/>
    <mergeCell ref="A11:Q11"/>
    <mergeCell ref="A16:Q16"/>
    <mergeCell ref="A26:Q26"/>
    <mergeCell ref="A31:Q31"/>
    <mergeCell ref="A28:Q28"/>
    <mergeCell ref="A37:Q37"/>
  </mergeCells>
  <phoneticPr fontId="2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8"/>
  <sheetViews>
    <sheetView topLeftCell="B1" zoomScale="85" zoomScaleNormal="85" workbookViewId="0">
      <pane ySplit="5" topLeftCell="A67" activePane="bottomLeft" state="frozen"/>
      <selection pane="bottomLeft" activeCell="F69" sqref="F69"/>
    </sheetView>
  </sheetViews>
  <sheetFormatPr defaultColWidth="9" defaultRowHeight="12.75" x14ac:dyDescent="0.2"/>
  <cols>
    <col min="1" max="1" width="10.125" style="8" bestFit="1" customWidth="1"/>
    <col min="2" max="2" width="40.625" style="8" customWidth="1"/>
    <col min="3" max="3" width="11.5" style="8" bestFit="1" customWidth="1"/>
    <col min="4" max="4" width="15.125" style="8" bestFit="1" customWidth="1"/>
    <col min="5" max="5" width="67.5" style="8" bestFit="1" customWidth="1"/>
    <col min="6" max="6" width="45.5" style="8" customWidth="1"/>
    <col min="7" max="7" width="10.875" style="8" bestFit="1" customWidth="1"/>
    <col min="8" max="8" width="22.625" style="8" customWidth="1"/>
    <col min="9" max="9" width="15.125" style="88" bestFit="1" customWidth="1"/>
    <col min="10" max="11" width="13.5" style="88" bestFit="1" customWidth="1"/>
    <col min="12" max="12" width="13.5" style="8" customWidth="1"/>
    <col min="13" max="14" width="21.625" style="8" customWidth="1"/>
    <col min="15" max="16384" width="9" style="8"/>
  </cols>
  <sheetData>
    <row r="1" spans="1:14" x14ac:dyDescent="0.2">
      <c r="A1" s="12"/>
      <c r="B1" s="11"/>
      <c r="C1" s="15"/>
      <c r="D1" s="15"/>
      <c r="E1" s="16"/>
      <c r="F1" s="16"/>
      <c r="G1" s="17"/>
      <c r="H1" s="13"/>
      <c r="I1" s="17"/>
      <c r="J1" s="17"/>
      <c r="K1" s="17"/>
      <c r="L1" s="17"/>
      <c r="M1" s="13"/>
      <c r="N1" s="13"/>
    </row>
    <row r="2" spans="1:14" ht="19.5" x14ac:dyDescent="0.2">
      <c r="A2" s="31" t="s">
        <v>13</v>
      </c>
      <c r="B2" s="31"/>
      <c r="C2" s="31"/>
      <c r="D2" s="31"/>
      <c r="E2" s="31"/>
      <c r="F2" s="31"/>
      <c r="G2" s="31"/>
      <c r="H2" s="31"/>
      <c r="I2" s="86"/>
      <c r="J2" s="86"/>
      <c r="K2" s="86"/>
      <c r="L2" s="31"/>
      <c r="M2" s="31"/>
      <c r="N2" s="31"/>
    </row>
    <row r="3" spans="1:14" ht="19.5" x14ac:dyDescent="0.2">
      <c r="A3" s="39" t="s">
        <v>35</v>
      </c>
      <c r="B3" s="31"/>
      <c r="C3" s="31"/>
      <c r="D3" s="31"/>
      <c r="E3" s="31"/>
      <c r="F3" s="31"/>
      <c r="G3" s="31"/>
      <c r="H3" s="31"/>
      <c r="I3" s="86"/>
      <c r="J3" s="86"/>
      <c r="K3" s="86"/>
      <c r="L3" s="31"/>
      <c r="M3" s="31"/>
      <c r="N3" s="31"/>
    </row>
    <row r="4" spans="1:14" x14ac:dyDescent="0.2">
      <c r="A4" s="18"/>
      <c r="B4" s="18"/>
      <c r="C4" s="19"/>
      <c r="D4" s="19"/>
      <c r="E4" s="19"/>
      <c r="F4" s="19"/>
      <c r="G4" s="17"/>
      <c r="H4" s="13"/>
      <c r="I4" s="17"/>
      <c r="J4" s="17"/>
      <c r="K4" s="17"/>
      <c r="L4" s="17"/>
      <c r="M4" s="13"/>
      <c r="N4" s="13"/>
    </row>
    <row r="5" spans="1:14" s="17" customFormat="1" ht="25.5" x14ac:dyDescent="0.2">
      <c r="A5" s="78" t="s">
        <v>7</v>
      </c>
      <c r="B5" s="78" t="s">
        <v>9</v>
      </c>
      <c r="C5" s="79" t="s">
        <v>36</v>
      </c>
      <c r="D5" s="79" t="s">
        <v>23</v>
      </c>
      <c r="E5" s="34" t="s">
        <v>0</v>
      </c>
      <c r="F5" s="34" t="s">
        <v>1</v>
      </c>
      <c r="G5" s="38" t="s">
        <v>2</v>
      </c>
      <c r="H5" s="38" t="s">
        <v>3</v>
      </c>
      <c r="I5" s="38" t="s">
        <v>15</v>
      </c>
      <c r="J5" s="38" t="s">
        <v>24</v>
      </c>
      <c r="K5" s="38" t="s">
        <v>25</v>
      </c>
      <c r="L5" s="38" t="s">
        <v>60</v>
      </c>
      <c r="M5" s="38" t="s">
        <v>4</v>
      </c>
      <c r="N5" s="38" t="s">
        <v>43</v>
      </c>
    </row>
    <row r="6" spans="1:14" x14ac:dyDescent="0.2">
      <c r="A6" s="53" t="s">
        <v>110</v>
      </c>
      <c r="B6" s="54" t="str">
        <f>VLOOKUP(TestCase!A6,'Scenario Test'!$A$5:$B$135,2,0)</f>
        <v>SQL_INSERT_CTM: Add customer profile</v>
      </c>
      <c r="C6" s="53"/>
      <c r="D6" s="53"/>
      <c r="E6" s="53"/>
      <c r="F6" s="53"/>
      <c r="G6" s="55"/>
      <c r="H6" s="54"/>
      <c r="I6" s="55"/>
      <c r="J6" s="55"/>
      <c r="K6" s="55"/>
      <c r="L6" s="54"/>
      <c r="M6" s="54"/>
      <c r="N6" s="54"/>
    </row>
    <row r="7" spans="1:14" s="24" customFormat="1" ht="153" x14ac:dyDescent="0.2">
      <c r="A7" s="80" t="s">
        <v>110</v>
      </c>
      <c r="B7" s="21" t="str">
        <f>VLOOKUP(TestCase!A7,'Scenario Test'!$A$5:$B$135,2,0)</f>
        <v>SQL_INSERT_CTM: Add customer profile</v>
      </c>
      <c r="C7" s="20" t="s">
        <v>161</v>
      </c>
      <c r="D7" s="20"/>
      <c r="E7" s="84" t="s">
        <v>512</v>
      </c>
      <c r="F7" s="85" t="s">
        <v>545</v>
      </c>
      <c r="G7" s="22" t="s">
        <v>10</v>
      </c>
      <c r="H7" s="23"/>
      <c r="I7" s="87">
        <v>45659</v>
      </c>
      <c r="J7" s="87">
        <v>45660</v>
      </c>
      <c r="K7" s="87">
        <v>45665</v>
      </c>
      <c r="L7" s="25" t="s">
        <v>104</v>
      </c>
      <c r="M7" s="23"/>
      <c r="N7" s="25"/>
    </row>
    <row r="8" spans="1:14" s="24" customFormat="1" ht="153" x14ac:dyDescent="0.2">
      <c r="A8" s="80" t="s">
        <v>110</v>
      </c>
      <c r="B8" s="21" t="str">
        <f>VLOOKUP(TestCase!A8,'Scenario Test'!$A$5:$B$135,2,0)</f>
        <v>SQL_INSERT_CTM: Add customer profile</v>
      </c>
      <c r="C8" s="20" t="s">
        <v>162</v>
      </c>
      <c r="D8" s="20"/>
      <c r="E8" s="84" t="s">
        <v>513</v>
      </c>
      <c r="F8" s="85" t="s">
        <v>544</v>
      </c>
      <c r="G8" s="22" t="s">
        <v>10</v>
      </c>
      <c r="H8" s="23"/>
      <c r="I8" s="87">
        <v>45659</v>
      </c>
      <c r="J8" s="87">
        <v>45660</v>
      </c>
      <c r="K8" s="87">
        <v>45665</v>
      </c>
      <c r="L8" s="25" t="s">
        <v>104</v>
      </c>
      <c r="M8" s="23"/>
      <c r="N8" s="25"/>
    </row>
    <row r="9" spans="1:14" s="24" customFormat="1" ht="153" x14ac:dyDescent="0.2">
      <c r="A9" s="80" t="s">
        <v>110</v>
      </c>
      <c r="B9" s="21" t="str">
        <f>VLOOKUP(TestCase!A9,'Scenario Test'!$A$5:$B$135,2,0)</f>
        <v>SQL_INSERT_CTM: Add customer profile</v>
      </c>
      <c r="C9" s="20" t="s">
        <v>163</v>
      </c>
      <c r="D9" s="20"/>
      <c r="E9" s="84" t="s">
        <v>514</v>
      </c>
      <c r="F9" s="85" t="s">
        <v>544</v>
      </c>
      <c r="G9" s="22" t="s">
        <v>10</v>
      </c>
      <c r="H9" s="23"/>
      <c r="I9" s="87">
        <v>45659</v>
      </c>
      <c r="J9" s="87">
        <v>45660</v>
      </c>
      <c r="K9" s="87">
        <v>45665</v>
      </c>
      <c r="L9" s="25" t="s">
        <v>104</v>
      </c>
      <c r="M9" s="23"/>
      <c r="N9" s="25"/>
    </row>
    <row r="10" spans="1:14" s="24" customFormat="1" ht="153" x14ac:dyDescent="0.2">
      <c r="A10" s="80" t="s">
        <v>110</v>
      </c>
      <c r="B10" s="21" t="str">
        <f>VLOOKUP(TestCase!A10,'Scenario Test'!$A$5:$B$135,2,0)</f>
        <v>SQL_INSERT_CTM: Add customer profile</v>
      </c>
      <c r="C10" s="20" t="s">
        <v>164</v>
      </c>
      <c r="D10" s="20"/>
      <c r="E10" s="84" t="s">
        <v>515</v>
      </c>
      <c r="F10" s="85" t="s">
        <v>544</v>
      </c>
      <c r="G10" s="22" t="s">
        <v>10</v>
      </c>
      <c r="H10" s="23"/>
      <c r="I10" s="87">
        <v>45659</v>
      </c>
      <c r="J10" s="87">
        <v>45660</v>
      </c>
      <c r="K10" s="87">
        <v>45665</v>
      </c>
      <c r="L10" s="25" t="s">
        <v>104</v>
      </c>
      <c r="M10" s="23"/>
      <c r="N10" s="25"/>
    </row>
    <row r="11" spans="1:14" s="24" customFormat="1" ht="178.5" x14ac:dyDescent="0.2">
      <c r="A11" s="80" t="s">
        <v>110</v>
      </c>
      <c r="B11" s="21" t="str">
        <f>VLOOKUP(TestCase!A11,'Scenario Test'!$A$5:$B$135,2,0)</f>
        <v>SQL_INSERT_CTM: Add customer profile</v>
      </c>
      <c r="C11" s="20" t="s">
        <v>165</v>
      </c>
      <c r="D11" s="20"/>
      <c r="E11" s="84" t="s">
        <v>523</v>
      </c>
      <c r="F11" s="84" t="s">
        <v>524</v>
      </c>
      <c r="G11" s="22" t="s">
        <v>10</v>
      </c>
      <c r="H11" s="23"/>
      <c r="I11" s="87">
        <v>45659</v>
      </c>
      <c r="J11" s="87">
        <v>45660</v>
      </c>
      <c r="K11" s="87">
        <v>45665</v>
      </c>
      <c r="L11" s="25" t="s">
        <v>104</v>
      </c>
      <c r="M11" s="23"/>
      <c r="N11" s="25"/>
    </row>
    <row r="12" spans="1:14" s="24" customFormat="1" ht="51" x14ac:dyDescent="0.2">
      <c r="A12" s="80" t="s">
        <v>110</v>
      </c>
      <c r="B12" s="21" t="str">
        <f>VLOOKUP(TestCase!A12,'Scenario Test'!$A$5:$B$135,2,0)</f>
        <v>SQL_INSERT_CTM: Add customer profile</v>
      </c>
      <c r="C12" s="20" t="s">
        <v>166</v>
      </c>
      <c r="D12" s="20"/>
      <c r="E12" s="84" t="s">
        <v>533</v>
      </c>
      <c r="F12" s="85" t="s">
        <v>547</v>
      </c>
      <c r="G12" s="22" t="s">
        <v>10</v>
      </c>
      <c r="H12" s="23"/>
      <c r="I12" s="87">
        <v>45659</v>
      </c>
      <c r="J12" s="87">
        <v>45665</v>
      </c>
      <c r="K12" s="87"/>
      <c r="L12" s="25" t="s">
        <v>104</v>
      </c>
      <c r="M12" s="23"/>
      <c r="N12" s="25"/>
    </row>
    <row r="13" spans="1:14" s="24" customFormat="1" ht="38.25" x14ac:dyDescent="0.2">
      <c r="A13" s="80" t="s">
        <v>110</v>
      </c>
      <c r="B13" s="21" t="str">
        <f>VLOOKUP(TestCase!A13,'Scenario Test'!$A$5:$B$135,2,0)</f>
        <v>SQL_INSERT_CTM: Add customer profile</v>
      </c>
      <c r="C13" s="20" t="s">
        <v>526</v>
      </c>
      <c r="D13" s="20"/>
      <c r="E13" s="84" t="s">
        <v>527</v>
      </c>
      <c r="F13" s="96" t="s">
        <v>548</v>
      </c>
      <c r="G13" s="22" t="s">
        <v>10</v>
      </c>
      <c r="H13" s="23"/>
      <c r="I13" s="87">
        <v>45659</v>
      </c>
      <c r="J13" s="87"/>
      <c r="K13" s="87"/>
      <c r="L13" s="25" t="s">
        <v>104</v>
      </c>
      <c r="M13" s="23"/>
      <c r="N13" s="25"/>
    </row>
    <row r="14" spans="1:14" x14ac:dyDescent="0.2">
      <c r="A14" s="53" t="s">
        <v>111</v>
      </c>
      <c r="B14" s="54" t="str">
        <f>VLOOKUP(TestCase!A14,'Scenario Test'!$A$5:$B$135,2,0)</f>
        <v>SQL_UPDATE_CTM: Update customer profile</v>
      </c>
      <c r="C14" s="53"/>
      <c r="D14" s="53"/>
      <c r="E14" s="53"/>
      <c r="F14" s="53"/>
      <c r="G14" s="55"/>
      <c r="H14" s="54"/>
      <c r="I14" s="55"/>
      <c r="J14" s="55"/>
      <c r="K14" s="55"/>
      <c r="L14" s="54"/>
      <c r="M14" s="54"/>
      <c r="N14" s="54"/>
    </row>
    <row r="15" spans="1:14" s="24" customFormat="1" ht="76.5" x14ac:dyDescent="0.2">
      <c r="A15" s="80" t="s">
        <v>111</v>
      </c>
      <c r="B15" s="21" t="str">
        <f>VLOOKUP(TestCase!A15,'Scenario Test'!$A$5:$B$135,2,0)</f>
        <v>SQL_UPDATE_CTM: Update customer profile</v>
      </c>
      <c r="C15" s="20" t="s">
        <v>167</v>
      </c>
      <c r="D15" s="20"/>
      <c r="E15" s="84" t="s">
        <v>516</v>
      </c>
      <c r="F15" s="85" t="s">
        <v>551</v>
      </c>
      <c r="G15" s="22" t="s">
        <v>10</v>
      </c>
      <c r="H15" s="23"/>
      <c r="I15" s="87">
        <v>45659</v>
      </c>
      <c r="J15" s="87">
        <v>45663</v>
      </c>
      <c r="K15" s="87">
        <v>45665</v>
      </c>
      <c r="L15" s="25" t="s">
        <v>104</v>
      </c>
      <c r="M15" s="23"/>
      <c r="N15" s="25"/>
    </row>
    <row r="16" spans="1:14" s="24" customFormat="1" ht="89.25" x14ac:dyDescent="0.2">
      <c r="A16" s="80" t="s">
        <v>111</v>
      </c>
      <c r="B16" s="21" t="str">
        <f>VLOOKUP(TestCase!A16,'Scenario Test'!$A$5:$B$135,2,0)</f>
        <v>SQL_UPDATE_CTM: Update customer profile</v>
      </c>
      <c r="C16" s="20" t="s">
        <v>168</v>
      </c>
      <c r="D16" s="20"/>
      <c r="E16" s="84" t="s">
        <v>511</v>
      </c>
      <c r="F16" s="85" t="s">
        <v>556</v>
      </c>
      <c r="G16" s="22" t="s">
        <v>10</v>
      </c>
      <c r="H16" s="23"/>
      <c r="I16" s="87">
        <v>45659</v>
      </c>
      <c r="J16" s="87">
        <v>45663</v>
      </c>
      <c r="K16" s="87">
        <v>45665</v>
      </c>
      <c r="L16" s="25" t="s">
        <v>104</v>
      </c>
      <c r="M16" s="23"/>
      <c r="N16" s="25"/>
    </row>
    <row r="17" spans="1:14" s="24" customFormat="1" ht="89.25" x14ac:dyDescent="0.2">
      <c r="A17" s="80" t="s">
        <v>111</v>
      </c>
      <c r="B17" s="21" t="str">
        <f>VLOOKUP(TestCase!A17,'Scenario Test'!$A$5:$B$135,2,0)</f>
        <v>SQL_UPDATE_CTM: Update customer profile</v>
      </c>
      <c r="C17" s="20" t="s">
        <v>169</v>
      </c>
      <c r="D17" s="20"/>
      <c r="E17" s="84" t="s">
        <v>517</v>
      </c>
      <c r="F17" s="85" t="s">
        <v>549</v>
      </c>
      <c r="G17" s="22" t="s">
        <v>10</v>
      </c>
      <c r="H17" s="23"/>
      <c r="I17" s="87">
        <v>45659</v>
      </c>
      <c r="J17" s="87">
        <v>45663</v>
      </c>
      <c r="K17" s="87">
        <v>45665</v>
      </c>
      <c r="L17" s="25" t="s">
        <v>104</v>
      </c>
      <c r="M17" s="23"/>
      <c r="N17" s="25"/>
    </row>
    <row r="18" spans="1:14" s="24" customFormat="1" ht="89.25" x14ac:dyDescent="0.2">
      <c r="A18" s="80" t="s">
        <v>111</v>
      </c>
      <c r="B18" s="21" t="str">
        <f>VLOOKUP(TestCase!A18,'Scenario Test'!$A$5:$B$135,2,0)</f>
        <v>SQL_UPDATE_CTM: Update customer profile</v>
      </c>
      <c r="C18" s="20" t="s">
        <v>170</v>
      </c>
      <c r="D18" s="20"/>
      <c r="E18" s="84" t="s">
        <v>518</v>
      </c>
      <c r="F18" s="85" t="s">
        <v>550</v>
      </c>
      <c r="G18" s="22" t="s">
        <v>10</v>
      </c>
      <c r="H18" s="23"/>
      <c r="I18" s="87">
        <v>45659</v>
      </c>
      <c r="J18" s="87">
        <v>45663</v>
      </c>
      <c r="K18" s="87">
        <v>45665</v>
      </c>
      <c r="L18" s="25" t="s">
        <v>104</v>
      </c>
      <c r="M18" s="23"/>
      <c r="N18" s="25"/>
    </row>
    <row r="19" spans="1:14" s="24" customFormat="1" ht="89.25" x14ac:dyDescent="0.2">
      <c r="A19" s="80" t="s">
        <v>111</v>
      </c>
      <c r="B19" s="21" t="str">
        <f>VLOOKUP(TestCase!A19,'Scenario Test'!$A$5:$B$135,2,0)</f>
        <v>SQL_UPDATE_CTM: Update customer profile</v>
      </c>
      <c r="C19" s="20" t="s">
        <v>171</v>
      </c>
      <c r="D19" s="20"/>
      <c r="E19" s="84" t="s">
        <v>519</v>
      </c>
      <c r="F19" s="85" t="s">
        <v>549</v>
      </c>
      <c r="G19" s="22" t="s">
        <v>10</v>
      </c>
      <c r="H19" s="23"/>
      <c r="I19" s="87">
        <v>45659</v>
      </c>
      <c r="J19" s="87">
        <v>45663</v>
      </c>
      <c r="K19" s="87">
        <v>45665</v>
      </c>
      <c r="L19" s="25" t="s">
        <v>104</v>
      </c>
      <c r="M19" s="23"/>
      <c r="N19" s="25"/>
    </row>
    <row r="20" spans="1:14" s="24" customFormat="1" ht="89.25" x14ac:dyDescent="0.2">
      <c r="A20" s="80" t="s">
        <v>111</v>
      </c>
      <c r="B20" s="21" t="str">
        <f>VLOOKUP(TestCase!A20,'Scenario Test'!$A$5:$B$135,2,0)</f>
        <v>SQL_UPDATE_CTM: Update customer profile</v>
      </c>
      <c r="C20" s="20" t="s">
        <v>172</v>
      </c>
      <c r="D20" s="20"/>
      <c r="E20" s="84" t="s">
        <v>520</v>
      </c>
      <c r="F20" s="85" t="s">
        <v>550</v>
      </c>
      <c r="G20" s="22" t="s">
        <v>10</v>
      </c>
      <c r="H20" s="23"/>
      <c r="I20" s="87">
        <v>45659</v>
      </c>
      <c r="J20" s="87">
        <v>45663</v>
      </c>
      <c r="K20" s="87">
        <v>45665</v>
      </c>
      <c r="L20" s="25" t="s">
        <v>104</v>
      </c>
      <c r="M20" s="23"/>
      <c r="N20" s="25"/>
    </row>
    <row r="21" spans="1:14" s="24" customFormat="1" ht="89.25" x14ac:dyDescent="0.2">
      <c r="A21" s="80" t="s">
        <v>111</v>
      </c>
      <c r="B21" s="21" t="str">
        <f>VLOOKUP(TestCase!A21,'Scenario Test'!$A$5:$B$135,2,0)</f>
        <v>SQL_UPDATE_CTM: Update customer profile</v>
      </c>
      <c r="C21" s="20" t="s">
        <v>173</v>
      </c>
      <c r="D21" s="20"/>
      <c r="E21" s="84" t="s">
        <v>521</v>
      </c>
      <c r="F21" s="85" t="s">
        <v>549</v>
      </c>
      <c r="G21" s="22" t="s">
        <v>10</v>
      </c>
      <c r="H21" s="23"/>
      <c r="I21" s="87">
        <v>45659</v>
      </c>
      <c r="J21" s="87">
        <v>45663</v>
      </c>
      <c r="K21" s="87">
        <v>45665</v>
      </c>
      <c r="L21" s="25" t="s">
        <v>104</v>
      </c>
      <c r="M21" s="23"/>
      <c r="N21" s="25"/>
    </row>
    <row r="22" spans="1:14" s="24" customFormat="1" ht="89.25" x14ac:dyDescent="0.2">
      <c r="A22" s="80" t="s">
        <v>111</v>
      </c>
      <c r="B22" s="21" t="str">
        <f>VLOOKUP(TestCase!A22,'Scenario Test'!$A$5:$B$135,2,0)</f>
        <v>SQL_UPDATE_CTM: Update customer profile</v>
      </c>
      <c r="C22" s="20" t="s">
        <v>174</v>
      </c>
      <c r="D22" s="20"/>
      <c r="E22" s="84" t="s">
        <v>522</v>
      </c>
      <c r="F22" s="85" t="s">
        <v>550</v>
      </c>
      <c r="G22" s="22" t="s">
        <v>10</v>
      </c>
      <c r="H22" s="23"/>
      <c r="I22" s="87">
        <v>45659</v>
      </c>
      <c r="J22" s="87">
        <v>45663</v>
      </c>
      <c r="K22" s="87">
        <v>45665</v>
      </c>
      <c r="L22" s="25" t="s">
        <v>104</v>
      </c>
      <c r="M22" s="23"/>
      <c r="N22" s="25"/>
    </row>
    <row r="23" spans="1:14" s="24" customFormat="1" ht="178.5" x14ac:dyDescent="0.2">
      <c r="A23" s="80" t="s">
        <v>111</v>
      </c>
      <c r="B23" s="21" t="str">
        <f>VLOOKUP(TestCase!A23,'Scenario Test'!$A$5:$B$135,2,0)</f>
        <v>SQL_UPDATE_CTM: Update customer profile</v>
      </c>
      <c r="C23" s="20" t="s">
        <v>175</v>
      </c>
      <c r="D23" s="20"/>
      <c r="E23" s="84" t="s">
        <v>537</v>
      </c>
      <c r="F23" s="84" t="s">
        <v>528</v>
      </c>
      <c r="G23" s="22" t="s">
        <v>10</v>
      </c>
      <c r="H23" s="23"/>
      <c r="I23" s="87">
        <v>45659</v>
      </c>
      <c r="J23" s="87">
        <v>45665</v>
      </c>
      <c r="K23" s="87">
        <v>45665</v>
      </c>
      <c r="L23" s="25" t="s">
        <v>104</v>
      </c>
      <c r="M23" s="23"/>
      <c r="N23" s="25"/>
    </row>
    <row r="24" spans="1:14" s="24" customFormat="1" x14ac:dyDescent="0.2">
      <c r="A24" s="80" t="s">
        <v>111</v>
      </c>
      <c r="B24" s="21" t="str">
        <f>VLOOKUP(TestCase!A24,'Scenario Test'!$A$5:$B$135,2,0)</f>
        <v>SQL_UPDATE_CTM: Update customer profile</v>
      </c>
      <c r="C24" s="20" t="s">
        <v>176</v>
      </c>
      <c r="D24" s="20"/>
      <c r="E24" s="84" t="s">
        <v>529</v>
      </c>
      <c r="F24" s="127" t="s">
        <v>386</v>
      </c>
      <c r="G24" s="22" t="s">
        <v>10</v>
      </c>
      <c r="H24" s="23"/>
      <c r="I24" s="87">
        <v>45659</v>
      </c>
      <c r="J24" s="87">
        <v>45665</v>
      </c>
      <c r="K24" s="87"/>
      <c r="L24" s="25" t="s">
        <v>104</v>
      </c>
      <c r="M24" s="23"/>
      <c r="N24" s="25"/>
    </row>
    <row r="25" spans="1:14" s="24" customFormat="1" ht="38.25" x14ac:dyDescent="0.2">
      <c r="A25" s="80" t="s">
        <v>111</v>
      </c>
      <c r="B25" s="21" t="str">
        <f>VLOOKUP(TestCase!A25,'Scenario Test'!$A$5:$B$135,2,0)</f>
        <v>SQL_UPDATE_CTM: Update customer profile</v>
      </c>
      <c r="C25" s="20" t="s">
        <v>177</v>
      </c>
      <c r="D25" s="20"/>
      <c r="E25" s="84" t="s">
        <v>530</v>
      </c>
      <c r="F25" s="85" t="s">
        <v>531</v>
      </c>
      <c r="G25" s="22" t="s">
        <v>10</v>
      </c>
      <c r="H25" s="23"/>
      <c r="I25" s="87">
        <v>45659</v>
      </c>
      <c r="J25" s="87">
        <v>45665</v>
      </c>
      <c r="K25" s="87"/>
      <c r="L25" s="25" t="s">
        <v>104</v>
      </c>
      <c r="M25" s="23"/>
      <c r="N25" s="25"/>
    </row>
    <row r="26" spans="1:14" s="24" customFormat="1" ht="76.5" x14ac:dyDescent="0.2">
      <c r="A26" s="80" t="s">
        <v>111</v>
      </c>
      <c r="B26" s="21" t="str">
        <f>VLOOKUP(TestCase!A26,'Scenario Test'!$A$5:$B$135,2,0)</f>
        <v>SQL_UPDATE_CTM: Update customer profile</v>
      </c>
      <c r="C26" s="20" t="s">
        <v>178</v>
      </c>
      <c r="D26" s="20"/>
      <c r="E26" s="84" t="s">
        <v>532</v>
      </c>
      <c r="F26" s="127" t="s">
        <v>535</v>
      </c>
      <c r="G26" s="22" t="s">
        <v>10</v>
      </c>
      <c r="H26" s="23"/>
      <c r="I26" s="87">
        <v>45659</v>
      </c>
      <c r="J26" s="87">
        <v>45665</v>
      </c>
      <c r="K26" s="87"/>
      <c r="L26" s="25" t="s">
        <v>104</v>
      </c>
      <c r="M26" s="23"/>
      <c r="N26" s="25"/>
    </row>
    <row r="27" spans="1:14" s="24" customFormat="1" x14ac:dyDescent="0.2">
      <c r="A27" s="80" t="s">
        <v>111</v>
      </c>
      <c r="B27" s="21" t="str">
        <f>VLOOKUP(TestCase!A27,'Scenario Test'!$A$5:$B$135,2,0)</f>
        <v>SQL_UPDATE_CTM: Update customer profile</v>
      </c>
      <c r="C27" s="20" t="s">
        <v>179</v>
      </c>
      <c r="D27" s="20"/>
      <c r="E27" s="84" t="s">
        <v>534</v>
      </c>
      <c r="F27" s="127" t="s">
        <v>386</v>
      </c>
      <c r="G27" s="22" t="s">
        <v>10</v>
      </c>
      <c r="H27" s="23"/>
      <c r="I27" s="87">
        <v>45659</v>
      </c>
      <c r="J27" s="87">
        <v>45665</v>
      </c>
      <c r="K27" s="87"/>
      <c r="L27" s="25" t="s">
        <v>104</v>
      </c>
      <c r="M27" s="23"/>
      <c r="N27" s="25"/>
    </row>
    <row r="28" spans="1:14" s="24" customFormat="1" ht="25.5" x14ac:dyDescent="0.2">
      <c r="A28" s="80" t="s">
        <v>111</v>
      </c>
      <c r="B28" s="21" t="str">
        <f>VLOOKUP(TestCase!A28,'Scenario Test'!$A$5:$B$135,2,0)</f>
        <v>SQL_UPDATE_CTM: Update customer profile</v>
      </c>
      <c r="C28" s="20" t="s">
        <v>180</v>
      </c>
      <c r="D28" s="20"/>
      <c r="E28" s="84" t="s">
        <v>536</v>
      </c>
      <c r="F28" s="127" t="s">
        <v>386</v>
      </c>
      <c r="G28" s="22" t="s">
        <v>10</v>
      </c>
      <c r="H28" s="23"/>
      <c r="I28" s="87">
        <v>45659</v>
      </c>
      <c r="J28" s="87">
        <v>45665</v>
      </c>
      <c r="K28" s="87"/>
      <c r="L28" s="25" t="s">
        <v>104</v>
      </c>
      <c r="M28" s="23"/>
      <c r="N28" s="25"/>
    </row>
    <row r="29" spans="1:14" s="24" customFormat="1" ht="191.25" x14ac:dyDescent="0.2">
      <c r="A29" s="80" t="s">
        <v>111</v>
      </c>
      <c r="B29" s="21" t="str">
        <f>VLOOKUP(TestCase!A29,'Scenario Test'!$A$5:$B$135,2,0)</f>
        <v>SQL_UPDATE_CTM: Update customer profile</v>
      </c>
      <c r="C29" s="20" t="s">
        <v>181</v>
      </c>
      <c r="D29" s="20"/>
      <c r="E29" s="84" t="s">
        <v>538</v>
      </c>
      <c r="F29" s="127" t="s">
        <v>386</v>
      </c>
      <c r="G29" s="22" t="s">
        <v>10</v>
      </c>
      <c r="H29" s="23"/>
      <c r="I29" s="87">
        <v>45659</v>
      </c>
      <c r="J29" s="87">
        <v>45665</v>
      </c>
      <c r="K29" s="87"/>
      <c r="L29" s="25" t="s">
        <v>104</v>
      </c>
      <c r="M29" s="23"/>
      <c r="N29" s="25"/>
    </row>
    <row r="30" spans="1:14" s="24" customFormat="1" ht="25.5" x14ac:dyDescent="0.2">
      <c r="A30" s="80" t="s">
        <v>111</v>
      </c>
      <c r="B30" s="21" t="str">
        <f>VLOOKUP(TestCase!A30,'Scenario Test'!$A$5:$B$135,2,0)</f>
        <v>SQL_UPDATE_CTM: Update customer profile</v>
      </c>
      <c r="C30" s="20" t="s">
        <v>182</v>
      </c>
      <c r="D30" s="20"/>
      <c r="E30" s="84" t="s">
        <v>539</v>
      </c>
      <c r="F30" s="127" t="s">
        <v>386</v>
      </c>
      <c r="G30" s="22" t="s">
        <v>10</v>
      </c>
      <c r="H30" s="23"/>
      <c r="I30" s="87">
        <v>45659</v>
      </c>
      <c r="J30" s="87">
        <v>45665</v>
      </c>
      <c r="K30" s="87"/>
      <c r="L30" s="25" t="s">
        <v>104</v>
      </c>
      <c r="M30" s="23"/>
      <c r="N30" s="25"/>
    </row>
    <row r="31" spans="1:14" x14ac:dyDescent="0.2">
      <c r="A31" s="53" t="s">
        <v>112</v>
      </c>
      <c r="B31" s="54" t="str">
        <f>VLOOKUP(TestCase!A31,'Scenario Test'!$A$5:$B$135,2,0)</f>
        <v>SQL_INSERT_MEDIA: Import media file</v>
      </c>
      <c r="C31" s="53"/>
      <c r="D31" s="53"/>
      <c r="E31" s="53"/>
      <c r="F31" s="53"/>
      <c r="G31" s="55"/>
      <c r="H31" s="54"/>
      <c r="I31" s="55"/>
      <c r="J31" s="55"/>
      <c r="K31" s="55"/>
      <c r="L31" s="54"/>
      <c r="M31" s="54"/>
      <c r="N31" s="54"/>
    </row>
    <row r="32" spans="1:14" s="24" customFormat="1" ht="63.75" x14ac:dyDescent="0.2">
      <c r="A32" s="80" t="s">
        <v>112</v>
      </c>
      <c r="B32" s="21" t="str">
        <f>VLOOKUP(TestCase!A32,'Scenario Test'!$A$5:$B$135,2,0)</f>
        <v>SQL_INSERT_MEDIA: Import media file</v>
      </c>
      <c r="C32" s="20" t="s">
        <v>187</v>
      </c>
      <c r="D32" s="20"/>
      <c r="E32" s="84" t="s">
        <v>541</v>
      </c>
      <c r="F32" s="85" t="s">
        <v>540</v>
      </c>
      <c r="G32" s="22" t="s">
        <v>10</v>
      </c>
      <c r="H32" s="23"/>
      <c r="I32" s="87">
        <v>45659</v>
      </c>
      <c r="J32" s="87">
        <v>45664</v>
      </c>
      <c r="K32" s="87"/>
      <c r="L32" s="25" t="s">
        <v>104</v>
      </c>
      <c r="M32" s="23"/>
      <c r="N32" s="25"/>
    </row>
    <row r="33" spans="1:14" s="24" customFormat="1" ht="63.75" x14ac:dyDescent="0.2">
      <c r="A33" s="80" t="s">
        <v>112</v>
      </c>
      <c r="B33" s="21" t="str">
        <f>VLOOKUP(TestCase!A33,'Scenario Test'!$A$5:$B$135,2,0)</f>
        <v>SQL_INSERT_MEDIA: Import media file</v>
      </c>
      <c r="C33" s="20" t="s">
        <v>188</v>
      </c>
      <c r="D33" s="20"/>
      <c r="E33" s="84" t="s">
        <v>542</v>
      </c>
      <c r="F33" s="85" t="s">
        <v>540</v>
      </c>
      <c r="G33" s="22" t="s">
        <v>10</v>
      </c>
      <c r="H33" s="23"/>
      <c r="I33" s="87">
        <v>45659</v>
      </c>
      <c r="J33" s="87">
        <v>45664</v>
      </c>
      <c r="K33" s="87"/>
      <c r="L33" s="25" t="s">
        <v>104</v>
      </c>
      <c r="M33" s="23"/>
      <c r="N33" s="25"/>
    </row>
    <row r="34" spans="1:14" s="24" customFormat="1" ht="51" x14ac:dyDescent="0.2">
      <c r="A34" s="80" t="s">
        <v>112</v>
      </c>
      <c r="B34" s="21" t="str">
        <f>VLOOKUP(TestCase!A34,'Scenario Test'!$A$5:$B$135,2,0)</f>
        <v>SQL_INSERT_MEDIA: Import media file</v>
      </c>
      <c r="C34" s="20" t="s">
        <v>189</v>
      </c>
      <c r="D34" s="20"/>
      <c r="E34" s="84" t="s">
        <v>510</v>
      </c>
      <c r="F34" s="95" t="s">
        <v>509</v>
      </c>
      <c r="G34" s="22" t="s">
        <v>10</v>
      </c>
      <c r="H34" s="23"/>
      <c r="I34" s="87">
        <v>45659</v>
      </c>
      <c r="J34" s="87">
        <v>45664</v>
      </c>
      <c r="K34" s="87"/>
      <c r="L34" s="25" t="s">
        <v>104</v>
      </c>
      <c r="M34" s="23"/>
      <c r="N34" s="25"/>
    </row>
    <row r="35" spans="1:14" x14ac:dyDescent="0.2">
      <c r="A35" s="53" t="s">
        <v>552</v>
      </c>
      <c r="B35" s="54" t="str">
        <f>VLOOKUP(TestCase!A35,'Scenario Test'!$A$5:$B$135,2,0)</f>
        <v>CTM_INSERT_CTM_API: OpenAPI add customer profile</v>
      </c>
      <c r="C35" s="53"/>
      <c r="D35" s="53"/>
      <c r="E35" s="53"/>
      <c r="F35" s="53"/>
      <c r="G35" s="55"/>
      <c r="H35" s="54"/>
      <c r="I35" s="55"/>
      <c r="J35" s="55"/>
      <c r="K35" s="55"/>
      <c r="L35" s="54"/>
      <c r="M35" s="54"/>
      <c r="N35" s="54"/>
    </row>
    <row r="36" spans="1:14" s="24" customFormat="1" ht="63.75" x14ac:dyDescent="0.2">
      <c r="A36" s="80" t="s">
        <v>552</v>
      </c>
      <c r="B36" s="21" t="str">
        <f>VLOOKUP(TestCase!A36,'Scenario Test'!$A$5:$B$135,2,0)</f>
        <v>CTM_INSERT_CTM_API: OpenAPI add customer profile</v>
      </c>
      <c r="C36" s="20" t="s">
        <v>555</v>
      </c>
      <c r="D36" s="20"/>
      <c r="E36" s="84" t="s">
        <v>525</v>
      </c>
      <c r="F36" s="84" t="s">
        <v>546</v>
      </c>
      <c r="G36" s="22" t="s">
        <v>10</v>
      </c>
      <c r="H36" s="23"/>
      <c r="I36" s="87">
        <v>45659</v>
      </c>
      <c r="J36" s="87">
        <v>45665</v>
      </c>
      <c r="K36" s="87">
        <v>45665</v>
      </c>
      <c r="L36" s="25" t="s">
        <v>104</v>
      </c>
      <c r="M36" s="23"/>
      <c r="N36" s="25"/>
    </row>
    <row r="37" spans="1:14" x14ac:dyDescent="0.2">
      <c r="A37" s="53" t="s">
        <v>139</v>
      </c>
      <c r="B37" s="54" t="str">
        <f>VLOOKUP(TestCase!A37,'Scenario Test'!$A$5:$B$135,2,0)</f>
        <v>DPT_UPDATE_DEPOSIT: Modify deposit account</v>
      </c>
      <c r="C37" s="53"/>
      <c r="D37" s="53"/>
      <c r="E37" s="53"/>
      <c r="F37" s="53"/>
      <c r="G37" s="55"/>
      <c r="H37" s="54"/>
      <c r="I37" s="55"/>
      <c r="J37" s="55"/>
      <c r="K37" s="55"/>
      <c r="L37" s="54"/>
      <c r="M37" s="54"/>
      <c r="N37" s="54"/>
    </row>
    <row r="38" spans="1:14" s="24" customFormat="1" ht="25.5" x14ac:dyDescent="0.2">
      <c r="A38" s="80" t="s">
        <v>139</v>
      </c>
      <c r="B38" s="21" t="str">
        <f>VLOOKUP(TestCase!A38,'Scenario Test'!$A$5:$B$135,2,0)</f>
        <v>DPT_UPDATE_DEPOSIT: Modify deposit account</v>
      </c>
      <c r="C38" s="20" t="s">
        <v>183</v>
      </c>
      <c r="D38" s="20"/>
      <c r="E38" s="84" t="s">
        <v>391</v>
      </c>
      <c r="F38" s="85" t="s">
        <v>390</v>
      </c>
      <c r="G38" s="22" t="s">
        <v>10</v>
      </c>
      <c r="H38" s="23"/>
      <c r="I38" s="87">
        <v>45659</v>
      </c>
      <c r="J38" s="87">
        <v>45660</v>
      </c>
      <c r="K38" s="87">
        <v>45665</v>
      </c>
      <c r="L38" s="25" t="s">
        <v>104</v>
      </c>
      <c r="M38" s="23"/>
      <c r="N38" s="25"/>
    </row>
    <row r="39" spans="1:14" s="24" customFormat="1" ht="25.5" x14ac:dyDescent="0.2">
      <c r="A39" s="80" t="s">
        <v>139</v>
      </c>
      <c r="B39" s="21" t="str">
        <f>VLOOKUP(TestCase!A39,'Scenario Test'!$A$5:$B$135,2,0)</f>
        <v>DPT_UPDATE_DEPOSIT: Modify deposit account</v>
      </c>
      <c r="C39" s="20" t="s">
        <v>184</v>
      </c>
      <c r="D39" s="20"/>
      <c r="E39" s="84" t="s">
        <v>392</v>
      </c>
      <c r="F39" s="95" t="s">
        <v>389</v>
      </c>
      <c r="G39" s="22" t="s">
        <v>10</v>
      </c>
      <c r="H39" s="23"/>
      <c r="I39" s="87">
        <v>45659</v>
      </c>
      <c r="J39" s="87">
        <v>45660</v>
      </c>
      <c r="K39" s="87">
        <v>45665</v>
      </c>
      <c r="L39" s="25" t="s">
        <v>104</v>
      </c>
      <c r="M39" s="23"/>
      <c r="N39" s="25"/>
    </row>
    <row r="40" spans="1:14" s="24" customFormat="1" ht="25.5" x14ac:dyDescent="0.2">
      <c r="A40" s="80" t="s">
        <v>139</v>
      </c>
      <c r="B40" s="21" t="str">
        <f>VLOOKUP(TestCase!A40,'Scenario Test'!$A$5:$B$135,2,0)</f>
        <v>DPT_UPDATE_DEPOSIT: Modify deposit account</v>
      </c>
      <c r="C40" s="20" t="s">
        <v>185</v>
      </c>
      <c r="D40" s="20"/>
      <c r="E40" s="84" t="s">
        <v>393</v>
      </c>
      <c r="F40" s="85" t="s">
        <v>389</v>
      </c>
      <c r="G40" s="22" t="s">
        <v>10</v>
      </c>
      <c r="H40" s="23"/>
      <c r="I40" s="87">
        <v>45659</v>
      </c>
      <c r="J40" s="87">
        <v>45660</v>
      </c>
      <c r="K40" s="87">
        <v>45665</v>
      </c>
      <c r="L40" s="25" t="s">
        <v>104</v>
      </c>
      <c r="M40" s="23"/>
      <c r="N40" s="25"/>
    </row>
    <row r="41" spans="1:14" s="24" customFormat="1" ht="25.5" x14ac:dyDescent="0.2">
      <c r="A41" s="80" t="s">
        <v>139</v>
      </c>
      <c r="B41" s="21" t="str">
        <f>VLOOKUP(TestCase!A41,'Scenario Test'!$A$5:$B$135,2,0)</f>
        <v>DPT_UPDATE_DEPOSIT: Modify deposit account</v>
      </c>
      <c r="C41" s="20" t="s">
        <v>186</v>
      </c>
      <c r="D41" s="20"/>
      <c r="E41" s="84" t="s">
        <v>394</v>
      </c>
      <c r="F41" s="85" t="s">
        <v>390</v>
      </c>
      <c r="G41" s="22" t="s">
        <v>10</v>
      </c>
      <c r="H41" s="23"/>
      <c r="I41" s="87">
        <v>45659</v>
      </c>
      <c r="J41" s="87">
        <v>45660</v>
      </c>
      <c r="K41" s="87">
        <v>45665</v>
      </c>
      <c r="L41" s="25" t="s">
        <v>104</v>
      </c>
      <c r="M41" s="23"/>
      <c r="N41" s="25"/>
    </row>
    <row r="42" spans="1:14" s="24" customFormat="1" ht="25.5" x14ac:dyDescent="0.2">
      <c r="A42" s="80" t="s">
        <v>139</v>
      </c>
      <c r="B42" s="21" t="str">
        <f>VLOOKUP(TestCase!A42,'Scenario Test'!$A$5:$B$135,2,0)</f>
        <v>DPT_UPDATE_DEPOSIT: Modify deposit account</v>
      </c>
      <c r="C42" s="20" t="s">
        <v>370</v>
      </c>
      <c r="D42" s="20"/>
      <c r="E42" s="84" t="s">
        <v>395</v>
      </c>
      <c r="F42" s="85" t="s">
        <v>389</v>
      </c>
      <c r="G42" s="22" t="s">
        <v>10</v>
      </c>
      <c r="H42" s="23"/>
      <c r="I42" s="87">
        <v>45659</v>
      </c>
      <c r="J42" s="87">
        <v>45660</v>
      </c>
      <c r="K42" s="87">
        <v>45665</v>
      </c>
      <c r="L42" s="25" t="s">
        <v>104</v>
      </c>
      <c r="M42" s="23"/>
      <c r="N42" s="25"/>
    </row>
    <row r="43" spans="1:14" s="24" customFormat="1" ht="25.5" x14ac:dyDescent="0.2">
      <c r="A43" s="80" t="s">
        <v>139</v>
      </c>
      <c r="B43" s="21" t="str">
        <f>VLOOKUP(TestCase!A43,'Scenario Test'!$A$5:$B$135,2,0)</f>
        <v>DPT_UPDATE_DEPOSIT: Modify deposit account</v>
      </c>
      <c r="C43" s="20" t="s">
        <v>371</v>
      </c>
      <c r="D43" s="20"/>
      <c r="E43" s="84" t="s">
        <v>396</v>
      </c>
      <c r="F43" s="85" t="s">
        <v>389</v>
      </c>
      <c r="G43" s="22" t="s">
        <v>10</v>
      </c>
      <c r="H43" s="23"/>
      <c r="I43" s="87">
        <v>45659</v>
      </c>
      <c r="J43" s="87">
        <v>45660</v>
      </c>
      <c r="K43" s="87">
        <v>45665</v>
      </c>
      <c r="L43" s="25" t="s">
        <v>104</v>
      </c>
      <c r="M43" s="23"/>
      <c r="N43" s="25"/>
    </row>
    <row r="44" spans="1:14" s="24" customFormat="1" ht="25.5" x14ac:dyDescent="0.2">
      <c r="A44" s="80" t="s">
        <v>139</v>
      </c>
      <c r="B44" s="21" t="str">
        <f>VLOOKUP(TestCase!A44,'Scenario Test'!$A$5:$B$135,2,0)</f>
        <v>DPT_UPDATE_DEPOSIT: Modify deposit account</v>
      </c>
      <c r="C44" s="20" t="s">
        <v>372</v>
      </c>
      <c r="D44" s="20"/>
      <c r="E44" s="84" t="s">
        <v>397</v>
      </c>
      <c r="F44" s="85" t="s">
        <v>390</v>
      </c>
      <c r="G44" s="22" t="s">
        <v>10</v>
      </c>
      <c r="H44" s="23"/>
      <c r="I44" s="87">
        <v>45659</v>
      </c>
      <c r="J44" s="87">
        <v>45660</v>
      </c>
      <c r="K44" s="87">
        <v>45665</v>
      </c>
      <c r="L44" s="25" t="s">
        <v>104</v>
      </c>
      <c r="M44" s="23"/>
      <c r="N44" s="25"/>
    </row>
    <row r="45" spans="1:14" s="24" customFormat="1" ht="25.5" x14ac:dyDescent="0.2">
      <c r="A45" s="80" t="s">
        <v>139</v>
      </c>
      <c r="B45" s="21" t="str">
        <f>VLOOKUP(TestCase!A45,'Scenario Test'!$A$5:$B$135,2,0)</f>
        <v>DPT_UPDATE_DEPOSIT: Modify deposit account</v>
      </c>
      <c r="C45" s="20" t="s">
        <v>373</v>
      </c>
      <c r="D45" s="20"/>
      <c r="E45" s="84" t="s">
        <v>398</v>
      </c>
      <c r="F45" s="85" t="s">
        <v>389</v>
      </c>
      <c r="G45" s="22" t="s">
        <v>10</v>
      </c>
      <c r="H45" s="23"/>
      <c r="I45" s="87">
        <v>45659</v>
      </c>
      <c r="J45" s="87">
        <v>45660</v>
      </c>
      <c r="K45" s="87">
        <v>45665</v>
      </c>
      <c r="L45" s="25" t="s">
        <v>104</v>
      </c>
      <c r="M45" s="23"/>
      <c r="N45" s="25"/>
    </row>
    <row r="46" spans="1:14" s="24" customFormat="1" ht="25.5" x14ac:dyDescent="0.2">
      <c r="A46" s="80" t="s">
        <v>139</v>
      </c>
      <c r="B46" s="21" t="str">
        <f>VLOOKUP(TestCase!A46,'Scenario Test'!$A$5:$B$135,2,0)</f>
        <v>DPT_UPDATE_DEPOSIT: Modify deposit account</v>
      </c>
      <c r="C46" s="20" t="s">
        <v>374</v>
      </c>
      <c r="D46" s="20"/>
      <c r="E46" s="84" t="s">
        <v>399</v>
      </c>
      <c r="F46" s="85" t="s">
        <v>389</v>
      </c>
      <c r="G46" s="22" t="s">
        <v>10</v>
      </c>
      <c r="H46" s="23"/>
      <c r="I46" s="87">
        <v>45659</v>
      </c>
      <c r="J46" s="87">
        <v>45660</v>
      </c>
      <c r="K46" s="87">
        <v>45665</v>
      </c>
      <c r="L46" s="25" t="s">
        <v>104</v>
      </c>
      <c r="M46" s="23"/>
      <c r="N46" s="25"/>
    </row>
    <row r="47" spans="1:14" s="24" customFormat="1" ht="25.5" x14ac:dyDescent="0.2">
      <c r="A47" s="80" t="s">
        <v>139</v>
      </c>
      <c r="B47" s="21" t="str">
        <f>VLOOKUP(TestCase!A47,'Scenario Test'!$A$5:$B$135,2,0)</f>
        <v>DPT_UPDATE_DEPOSIT: Modify deposit account</v>
      </c>
      <c r="C47" s="20" t="s">
        <v>375</v>
      </c>
      <c r="D47" s="20"/>
      <c r="E47" s="84" t="s">
        <v>400</v>
      </c>
      <c r="F47" s="85" t="s">
        <v>390</v>
      </c>
      <c r="G47" s="22" t="s">
        <v>10</v>
      </c>
      <c r="H47" s="23"/>
      <c r="I47" s="87">
        <v>45659</v>
      </c>
      <c r="J47" s="87">
        <v>45660</v>
      </c>
      <c r="K47" s="87">
        <v>45665</v>
      </c>
      <c r="L47" s="25" t="s">
        <v>104</v>
      </c>
      <c r="M47" s="23"/>
      <c r="N47" s="25"/>
    </row>
    <row r="48" spans="1:14" s="24" customFormat="1" ht="25.5" x14ac:dyDescent="0.2">
      <c r="A48" s="80" t="s">
        <v>139</v>
      </c>
      <c r="B48" s="21" t="str">
        <f>VLOOKUP(TestCase!A48,'Scenario Test'!$A$5:$B$135,2,0)</f>
        <v>DPT_UPDATE_DEPOSIT: Modify deposit account</v>
      </c>
      <c r="C48" s="20" t="s">
        <v>376</v>
      </c>
      <c r="D48" s="20"/>
      <c r="E48" s="84" t="s">
        <v>401</v>
      </c>
      <c r="F48" s="85" t="s">
        <v>389</v>
      </c>
      <c r="G48" s="22" t="s">
        <v>10</v>
      </c>
      <c r="H48" s="23"/>
      <c r="I48" s="87">
        <v>45659</v>
      </c>
      <c r="J48" s="87">
        <v>45660</v>
      </c>
      <c r="K48" s="87">
        <v>45665</v>
      </c>
      <c r="L48" s="25" t="s">
        <v>104</v>
      </c>
      <c r="M48" s="23"/>
      <c r="N48" s="25"/>
    </row>
    <row r="49" spans="1:14" s="24" customFormat="1" ht="25.5" x14ac:dyDescent="0.2">
      <c r="A49" s="80" t="s">
        <v>139</v>
      </c>
      <c r="B49" s="21" t="str">
        <f>VLOOKUP(TestCase!A49,'Scenario Test'!$A$5:$B$135,2,0)</f>
        <v>DPT_UPDATE_DEPOSIT: Modify deposit account</v>
      </c>
      <c r="C49" s="20" t="s">
        <v>377</v>
      </c>
      <c r="D49" s="20"/>
      <c r="E49" s="84" t="s">
        <v>402</v>
      </c>
      <c r="F49" s="85" t="s">
        <v>389</v>
      </c>
      <c r="G49" s="22" t="s">
        <v>10</v>
      </c>
      <c r="H49" s="23"/>
      <c r="I49" s="87">
        <v>45659</v>
      </c>
      <c r="J49" s="87">
        <v>45660</v>
      </c>
      <c r="K49" s="87">
        <v>45665</v>
      </c>
      <c r="L49" s="25" t="s">
        <v>104</v>
      </c>
      <c r="M49" s="23"/>
      <c r="N49" s="25"/>
    </row>
    <row r="50" spans="1:14" s="24" customFormat="1" ht="76.5" x14ac:dyDescent="0.2">
      <c r="A50" s="80" t="s">
        <v>139</v>
      </c>
      <c r="B50" s="21" t="str">
        <f>VLOOKUP(TestCase!A50,'Scenario Test'!$A$5:$B$135,2,0)</f>
        <v>DPT_UPDATE_DEPOSIT: Modify deposit account</v>
      </c>
      <c r="C50" s="20" t="s">
        <v>378</v>
      </c>
      <c r="D50" s="20"/>
      <c r="E50" s="84" t="s">
        <v>574</v>
      </c>
      <c r="F50" s="85" t="s">
        <v>561</v>
      </c>
      <c r="G50" s="22" t="s">
        <v>10</v>
      </c>
      <c r="H50" s="23"/>
      <c r="I50" s="87">
        <v>45659</v>
      </c>
      <c r="J50" s="87">
        <v>45660</v>
      </c>
      <c r="K50" s="87">
        <v>45666</v>
      </c>
      <c r="L50" s="25" t="s">
        <v>104</v>
      </c>
      <c r="M50" s="23"/>
      <c r="N50" s="25"/>
    </row>
    <row r="51" spans="1:14" s="24" customFormat="1" ht="89.25" x14ac:dyDescent="0.2">
      <c r="A51" s="80" t="s">
        <v>139</v>
      </c>
      <c r="B51" s="21" t="str">
        <f>VLOOKUP(TestCase!A51,'Scenario Test'!$A$5:$B$135,2,0)</f>
        <v>DPT_UPDATE_DEPOSIT: Modify deposit account</v>
      </c>
      <c r="C51" s="20" t="s">
        <v>379</v>
      </c>
      <c r="D51" s="20"/>
      <c r="E51" s="84" t="s">
        <v>562</v>
      </c>
      <c r="F51" s="85" t="s">
        <v>565</v>
      </c>
      <c r="G51" s="22" t="s">
        <v>10</v>
      </c>
      <c r="H51" s="23"/>
      <c r="I51" s="87">
        <v>45659</v>
      </c>
      <c r="J51" s="87">
        <v>45660</v>
      </c>
      <c r="K51" s="87">
        <v>45666</v>
      </c>
      <c r="L51" s="25" t="s">
        <v>104</v>
      </c>
      <c r="M51" s="23"/>
      <c r="N51" s="25"/>
    </row>
    <row r="52" spans="1:14" s="24" customFormat="1" ht="89.25" x14ac:dyDescent="0.2">
      <c r="A52" s="80" t="s">
        <v>139</v>
      </c>
      <c r="B52" s="21" t="str">
        <f>VLOOKUP(TestCase!A52,'Scenario Test'!$A$5:$B$135,2,0)</f>
        <v>DPT_UPDATE_DEPOSIT: Modify deposit account</v>
      </c>
      <c r="C52" s="20" t="s">
        <v>380</v>
      </c>
      <c r="D52" s="20"/>
      <c r="E52" s="84" t="s">
        <v>563</v>
      </c>
      <c r="F52" s="85" t="s">
        <v>566</v>
      </c>
      <c r="G52" s="22" t="s">
        <v>10</v>
      </c>
      <c r="H52" s="23"/>
      <c r="I52" s="87">
        <v>45659</v>
      </c>
      <c r="J52" s="87">
        <v>45660</v>
      </c>
      <c r="K52" s="87">
        <v>45666</v>
      </c>
      <c r="L52" s="25" t="s">
        <v>104</v>
      </c>
      <c r="M52" s="23"/>
      <c r="N52" s="25"/>
    </row>
    <row r="53" spans="1:14" s="24" customFormat="1" ht="89.25" x14ac:dyDescent="0.2">
      <c r="A53" s="80" t="s">
        <v>139</v>
      </c>
      <c r="B53" s="21" t="str">
        <f>VLOOKUP(TestCase!A53,'Scenario Test'!$A$5:$B$135,2,0)</f>
        <v>DPT_UPDATE_DEPOSIT: Modify deposit account</v>
      </c>
      <c r="C53" s="20" t="s">
        <v>428</v>
      </c>
      <c r="D53" s="20"/>
      <c r="E53" s="84" t="s">
        <v>564</v>
      </c>
      <c r="F53" s="85" t="s">
        <v>567</v>
      </c>
      <c r="G53" s="22" t="s">
        <v>10</v>
      </c>
      <c r="H53" s="23"/>
      <c r="I53" s="87">
        <v>45659</v>
      </c>
      <c r="J53" s="87">
        <v>45660</v>
      </c>
      <c r="K53" s="87">
        <v>45666</v>
      </c>
      <c r="L53" s="25" t="s">
        <v>104</v>
      </c>
      <c r="M53" s="23"/>
      <c r="N53" s="25"/>
    </row>
    <row r="54" spans="1:14" s="24" customFormat="1" ht="63.75" x14ac:dyDescent="0.2">
      <c r="A54" s="80" t="s">
        <v>139</v>
      </c>
      <c r="B54" s="21" t="str">
        <f>VLOOKUP(TestCase!A54,'Scenario Test'!$A$5:$B$135,2,0)</f>
        <v>DPT_UPDATE_DEPOSIT: Modify deposit account</v>
      </c>
      <c r="C54" s="20" t="s">
        <v>429</v>
      </c>
      <c r="D54" s="20"/>
      <c r="E54" s="84" t="s">
        <v>575</v>
      </c>
      <c r="F54" s="85" t="s">
        <v>576</v>
      </c>
      <c r="G54" s="22" t="s">
        <v>10</v>
      </c>
      <c r="H54" s="23"/>
      <c r="I54" s="87">
        <v>45659</v>
      </c>
      <c r="J54" s="87">
        <v>45660</v>
      </c>
      <c r="K54" s="87">
        <v>45666</v>
      </c>
      <c r="L54" s="25" t="s">
        <v>104</v>
      </c>
      <c r="M54" s="23"/>
      <c r="N54" s="25"/>
    </row>
    <row r="55" spans="1:14" s="24" customFormat="1" ht="76.5" x14ac:dyDescent="0.2">
      <c r="A55" s="80" t="s">
        <v>139</v>
      </c>
      <c r="B55" s="21" t="str">
        <f>VLOOKUP(TestCase!A55,'Scenario Test'!$A$5:$B$135,2,0)</f>
        <v>DPT_UPDATE_DEPOSIT: Modify deposit account</v>
      </c>
      <c r="C55" s="20" t="s">
        <v>430</v>
      </c>
      <c r="D55" s="20"/>
      <c r="E55" s="84" t="s">
        <v>570</v>
      </c>
      <c r="F55" s="85" t="s">
        <v>568</v>
      </c>
      <c r="G55" s="22" t="s">
        <v>10</v>
      </c>
      <c r="H55" s="23"/>
      <c r="I55" s="87">
        <v>45659</v>
      </c>
      <c r="J55" s="87">
        <v>45660</v>
      </c>
      <c r="K55" s="87">
        <v>45666</v>
      </c>
      <c r="L55" s="25" t="s">
        <v>104</v>
      </c>
      <c r="M55" s="23"/>
      <c r="N55" s="25"/>
    </row>
    <row r="56" spans="1:14" s="24" customFormat="1" ht="76.5" x14ac:dyDescent="0.2">
      <c r="A56" s="80" t="s">
        <v>139</v>
      </c>
      <c r="B56" s="21" t="str">
        <f>VLOOKUP(TestCase!A56,'Scenario Test'!$A$5:$B$135,2,0)</f>
        <v>DPT_UPDATE_DEPOSIT: Modify deposit account</v>
      </c>
      <c r="C56" s="20" t="s">
        <v>431</v>
      </c>
      <c r="D56" s="20"/>
      <c r="E56" s="84" t="s">
        <v>572</v>
      </c>
      <c r="F56" s="85" t="s">
        <v>573</v>
      </c>
      <c r="G56" s="22" t="s">
        <v>10</v>
      </c>
      <c r="H56" s="23"/>
      <c r="I56" s="87">
        <v>45659</v>
      </c>
      <c r="J56" s="87">
        <v>45660</v>
      </c>
      <c r="K56" s="87">
        <v>45666</v>
      </c>
      <c r="L56" s="25" t="s">
        <v>104</v>
      </c>
      <c r="M56" s="23"/>
      <c r="N56" s="25"/>
    </row>
    <row r="57" spans="1:14" s="24" customFormat="1" ht="76.5" x14ac:dyDescent="0.2">
      <c r="A57" s="80" t="s">
        <v>139</v>
      </c>
      <c r="B57" s="21" t="str">
        <f>VLOOKUP(TestCase!A57,'Scenario Test'!$A$5:$B$135,2,0)</f>
        <v>DPT_UPDATE_DEPOSIT: Modify deposit account</v>
      </c>
      <c r="C57" s="20" t="s">
        <v>432</v>
      </c>
      <c r="D57" s="20"/>
      <c r="E57" s="84" t="s">
        <v>571</v>
      </c>
      <c r="F57" s="85" t="s">
        <v>573</v>
      </c>
      <c r="G57" s="22" t="s">
        <v>10</v>
      </c>
      <c r="H57" s="23"/>
      <c r="I57" s="87">
        <v>45659</v>
      </c>
      <c r="J57" s="87">
        <v>45660</v>
      </c>
      <c r="K57" s="87">
        <v>45666</v>
      </c>
      <c r="L57" s="25" t="s">
        <v>104</v>
      </c>
      <c r="M57" s="23"/>
      <c r="N57" s="25"/>
    </row>
    <row r="58" spans="1:14" s="24" customFormat="1" ht="89.25" x14ac:dyDescent="0.2">
      <c r="A58" s="80" t="s">
        <v>139</v>
      </c>
      <c r="B58" s="21" t="str">
        <f>VLOOKUP(TestCase!A58,'Scenario Test'!$A$5:$B$135,2,0)</f>
        <v>DPT_UPDATE_DEPOSIT: Modify deposit account</v>
      </c>
      <c r="C58" s="20" t="s">
        <v>433</v>
      </c>
      <c r="D58" s="20"/>
      <c r="E58" s="84" t="s">
        <v>558</v>
      </c>
      <c r="F58" s="85" t="s">
        <v>569</v>
      </c>
      <c r="G58" s="22" t="s">
        <v>10</v>
      </c>
      <c r="H58" s="23"/>
      <c r="I58" s="87">
        <v>45659</v>
      </c>
      <c r="J58" s="87">
        <v>45660</v>
      </c>
      <c r="K58" s="87">
        <v>45666</v>
      </c>
      <c r="L58" s="25" t="s">
        <v>104</v>
      </c>
      <c r="M58" s="23"/>
      <c r="N58" s="25"/>
    </row>
    <row r="59" spans="1:14" s="24" customFormat="1" ht="89.25" x14ac:dyDescent="0.2">
      <c r="A59" s="80" t="s">
        <v>139</v>
      </c>
      <c r="B59" s="21" t="str">
        <f>VLOOKUP(TestCase!A59,'Scenario Test'!$A$5:$B$135,2,0)</f>
        <v>DPT_UPDATE_DEPOSIT: Modify deposit account</v>
      </c>
      <c r="C59" s="20" t="s">
        <v>434</v>
      </c>
      <c r="D59" s="20"/>
      <c r="E59" s="84" t="s">
        <v>406</v>
      </c>
      <c r="F59" s="125" t="s">
        <v>559</v>
      </c>
      <c r="G59" s="22" t="s">
        <v>10</v>
      </c>
      <c r="H59" s="23"/>
      <c r="I59" s="87">
        <v>45659</v>
      </c>
      <c r="J59" s="87">
        <v>45660</v>
      </c>
      <c r="K59" s="87">
        <v>45666</v>
      </c>
      <c r="L59" s="25" t="s">
        <v>104</v>
      </c>
      <c r="M59" s="23"/>
      <c r="N59" s="25"/>
    </row>
    <row r="60" spans="1:14" s="24" customFormat="1" ht="89.25" x14ac:dyDescent="0.2">
      <c r="A60" s="80" t="s">
        <v>139</v>
      </c>
      <c r="B60" s="21" t="str">
        <f>VLOOKUP(TestCase!A60,'Scenario Test'!$A$5:$B$135,2,0)</f>
        <v>DPT_UPDATE_DEPOSIT: Modify deposit account</v>
      </c>
      <c r="C60" s="20" t="s">
        <v>435</v>
      </c>
      <c r="D60" s="20"/>
      <c r="E60" s="84" t="s">
        <v>407</v>
      </c>
      <c r="F60" s="125" t="s">
        <v>559</v>
      </c>
      <c r="G60" s="22" t="s">
        <v>10</v>
      </c>
      <c r="H60" s="23"/>
      <c r="I60" s="87">
        <v>45659</v>
      </c>
      <c r="J60" s="87">
        <v>45660</v>
      </c>
      <c r="K60" s="87">
        <v>45666</v>
      </c>
      <c r="L60" s="25" t="s">
        <v>104</v>
      </c>
      <c r="M60" s="23"/>
      <c r="N60" s="25"/>
    </row>
    <row r="61" spans="1:14" s="24" customFormat="1" ht="89.25" x14ac:dyDescent="0.2">
      <c r="A61" s="80" t="s">
        <v>139</v>
      </c>
      <c r="B61" s="21" t="str">
        <f>VLOOKUP(TestCase!A61,'Scenario Test'!$A$5:$B$135,2,0)</f>
        <v>DPT_UPDATE_DEPOSIT: Modify deposit account</v>
      </c>
      <c r="C61" s="20" t="s">
        <v>436</v>
      </c>
      <c r="D61" s="20"/>
      <c r="E61" s="84" t="s">
        <v>557</v>
      </c>
      <c r="F61" s="85" t="s">
        <v>569</v>
      </c>
      <c r="G61" s="22" t="s">
        <v>10</v>
      </c>
      <c r="H61" s="23"/>
      <c r="I61" s="87">
        <v>45659</v>
      </c>
      <c r="J61" s="87">
        <v>45660</v>
      </c>
      <c r="K61" s="87">
        <v>45666</v>
      </c>
      <c r="L61" s="25" t="s">
        <v>104</v>
      </c>
      <c r="M61" s="23"/>
      <c r="N61" s="25"/>
    </row>
    <row r="62" spans="1:14" s="24" customFormat="1" ht="89.25" x14ac:dyDescent="0.2">
      <c r="A62" s="80" t="s">
        <v>139</v>
      </c>
      <c r="B62" s="21" t="str">
        <f>VLOOKUP(TestCase!A62,'Scenario Test'!$A$5:$B$135,2,0)</f>
        <v>DPT_UPDATE_DEPOSIT: Modify deposit account</v>
      </c>
      <c r="C62" s="20" t="s">
        <v>437</v>
      </c>
      <c r="D62" s="20"/>
      <c r="E62" s="84" t="s">
        <v>411</v>
      </c>
      <c r="F62" s="125" t="s">
        <v>559</v>
      </c>
      <c r="G62" s="22" t="s">
        <v>10</v>
      </c>
      <c r="H62" s="23"/>
      <c r="I62" s="87">
        <v>45659</v>
      </c>
      <c r="J62" s="87">
        <v>45660</v>
      </c>
      <c r="K62" s="87">
        <v>45666</v>
      </c>
      <c r="L62" s="25" t="s">
        <v>104</v>
      </c>
      <c r="M62" s="23"/>
      <c r="N62" s="25"/>
    </row>
    <row r="63" spans="1:14" s="24" customFormat="1" ht="89.25" x14ac:dyDescent="0.2">
      <c r="A63" s="80" t="s">
        <v>139</v>
      </c>
      <c r="B63" s="21" t="str">
        <f>VLOOKUP(TestCase!A63,'Scenario Test'!$A$5:$B$135,2,0)</f>
        <v>DPT_UPDATE_DEPOSIT: Modify deposit account</v>
      </c>
      <c r="C63" s="20" t="s">
        <v>438</v>
      </c>
      <c r="D63" s="20"/>
      <c r="E63" s="84" t="s">
        <v>412</v>
      </c>
      <c r="F63" s="125" t="s">
        <v>559</v>
      </c>
      <c r="G63" s="22" t="s">
        <v>10</v>
      </c>
      <c r="H63" s="23"/>
      <c r="I63" s="87">
        <v>45659</v>
      </c>
      <c r="J63" s="87">
        <v>45660</v>
      </c>
      <c r="K63" s="87">
        <v>45666</v>
      </c>
      <c r="L63" s="25" t="s">
        <v>104</v>
      </c>
      <c r="M63" s="23"/>
      <c r="N63" s="25"/>
    </row>
    <row r="64" spans="1:14" s="24" customFormat="1" ht="89.25" x14ac:dyDescent="0.2">
      <c r="A64" s="80" t="s">
        <v>139</v>
      </c>
      <c r="B64" s="21" t="str">
        <f>VLOOKUP(TestCase!A64,'Scenario Test'!$A$5:$B$135,2,0)</f>
        <v>DPT_UPDATE_DEPOSIT: Modify deposit account</v>
      </c>
      <c r="C64" s="20" t="s">
        <v>439</v>
      </c>
      <c r="D64" s="20"/>
      <c r="E64" s="84" t="s">
        <v>560</v>
      </c>
      <c r="F64" s="85" t="s">
        <v>579</v>
      </c>
      <c r="G64" s="22" t="s">
        <v>10</v>
      </c>
      <c r="H64" s="23"/>
      <c r="I64" s="87">
        <v>45659</v>
      </c>
      <c r="J64" s="87">
        <v>45660</v>
      </c>
      <c r="K64" s="87">
        <v>45666</v>
      </c>
      <c r="L64" s="25" t="s">
        <v>104</v>
      </c>
      <c r="M64" s="23"/>
      <c r="N64" s="25"/>
    </row>
    <row r="65" spans="1:14" s="24" customFormat="1" ht="89.25" x14ac:dyDescent="0.2">
      <c r="A65" s="80" t="s">
        <v>139</v>
      </c>
      <c r="B65" s="21" t="str">
        <f>VLOOKUP(TestCase!A65,'Scenario Test'!$A$5:$B$135,2,0)</f>
        <v>DPT_UPDATE_DEPOSIT: Modify deposit account</v>
      </c>
      <c r="C65" s="20" t="s">
        <v>440</v>
      </c>
      <c r="D65" s="20"/>
      <c r="E65" s="84" t="s">
        <v>413</v>
      </c>
      <c r="F65" s="85" t="s">
        <v>579</v>
      </c>
      <c r="G65" s="22" t="s">
        <v>10</v>
      </c>
      <c r="H65" s="23"/>
      <c r="I65" s="87">
        <v>45659</v>
      </c>
      <c r="J65" s="87">
        <v>45660</v>
      </c>
      <c r="K65" s="87">
        <v>45666</v>
      </c>
      <c r="L65" s="25" t="s">
        <v>104</v>
      </c>
      <c r="M65" s="23"/>
      <c r="N65" s="25"/>
    </row>
    <row r="66" spans="1:14" s="24" customFormat="1" ht="89.25" x14ac:dyDescent="0.2">
      <c r="A66" s="80" t="s">
        <v>139</v>
      </c>
      <c r="B66" s="21" t="str">
        <f>VLOOKUP(TestCase!A66,'Scenario Test'!$A$5:$B$135,2,0)</f>
        <v>DPT_UPDATE_DEPOSIT: Modify deposit account</v>
      </c>
      <c r="C66" s="20" t="s">
        <v>441</v>
      </c>
      <c r="D66" s="20"/>
      <c r="E66" s="84" t="s">
        <v>414</v>
      </c>
      <c r="F66" s="85" t="s">
        <v>579</v>
      </c>
      <c r="G66" s="22" t="s">
        <v>10</v>
      </c>
      <c r="H66" s="23"/>
      <c r="I66" s="87">
        <v>45659</v>
      </c>
      <c r="J66" s="87">
        <v>45660</v>
      </c>
      <c r="K66" s="87">
        <v>45666</v>
      </c>
      <c r="L66" s="25" t="s">
        <v>104</v>
      </c>
      <c r="M66" s="23"/>
      <c r="N66" s="25"/>
    </row>
    <row r="67" spans="1:14" s="24" customFormat="1" ht="51" x14ac:dyDescent="0.2">
      <c r="A67" s="80" t="s">
        <v>139</v>
      </c>
      <c r="B67" s="21" t="str">
        <f>VLOOKUP(TestCase!A67,'Scenario Test'!$A$5:$B$135,2,0)</f>
        <v>DPT_UPDATE_DEPOSIT: Modify deposit account</v>
      </c>
      <c r="C67" s="20" t="s">
        <v>442</v>
      </c>
      <c r="D67" s="20"/>
      <c r="E67" s="84" t="s">
        <v>408</v>
      </c>
      <c r="F67" s="85" t="s">
        <v>580</v>
      </c>
      <c r="G67" s="22" t="s">
        <v>10</v>
      </c>
      <c r="H67" s="23"/>
      <c r="I67" s="87">
        <v>45659</v>
      </c>
      <c r="J67" s="87">
        <v>45666</v>
      </c>
      <c r="K67" s="87"/>
      <c r="L67" s="25" t="s">
        <v>104</v>
      </c>
      <c r="M67" s="23"/>
      <c r="N67" s="25"/>
    </row>
    <row r="68" spans="1:14" s="24" customFormat="1" ht="38.25" x14ac:dyDescent="0.2">
      <c r="A68" s="80" t="s">
        <v>139</v>
      </c>
      <c r="B68" s="21" t="str">
        <f>VLOOKUP(TestCase!A68,'Scenario Test'!$A$5:$B$135,2,0)</f>
        <v>DPT_UPDATE_DEPOSIT: Modify deposit account</v>
      </c>
      <c r="C68" s="20" t="s">
        <v>443</v>
      </c>
      <c r="D68" s="20"/>
      <c r="E68" s="84" t="s">
        <v>415</v>
      </c>
      <c r="F68" s="85" t="s">
        <v>581</v>
      </c>
      <c r="G68" s="22" t="s">
        <v>10</v>
      </c>
      <c r="H68" s="23"/>
      <c r="I68" s="87">
        <v>45659</v>
      </c>
      <c r="J68" s="87">
        <v>45660</v>
      </c>
      <c r="K68" s="87">
        <v>45666</v>
      </c>
      <c r="L68" s="25" t="s">
        <v>104</v>
      </c>
      <c r="M68" s="23"/>
      <c r="N68" s="25"/>
    </row>
    <row r="69" spans="1:14" s="24" customFormat="1" ht="38.25" x14ac:dyDescent="0.2">
      <c r="A69" s="80" t="s">
        <v>139</v>
      </c>
      <c r="B69" s="21" t="str">
        <f>VLOOKUP(TestCase!A69,'Scenario Test'!$A$5:$B$135,2,0)</f>
        <v>DPT_UPDATE_DEPOSIT: Modify deposit account</v>
      </c>
      <c r="C69" s="20" t="s">
        <v>444</v>
      </c>
      <c r="D69" s="20"/>
      <c r="E69" s="84" t="s">
        <v>409</v>
      </c>
      <c r="F69" s="85" t="s">
        <v>581</v>
      </c>
      <c r="G69" s="22" t="s">
        <v>10</v>
      </c>
      <c r="H69" s="23"/>
      <c r="I69" s="87">
        <v>45659</v>
      </c>
      <c r="J69" s="87">
        <v>45660</v>
      </c>
      <c r="K69" s="87">
        <v>45666</v>
      </c>
      <c r="L69" s="25" t="s">
        <v>104</v>
      </c>
      <c r="M69" s="23"/>
      <c r="N69" s="25"/>
    </row>
    <row r="70" spans="1:14" s="24" customFormat="1" ht="38.25" x14ac:dyDescent="0.2">
      <c r="A70" s="80" t="s">
        <v>139</v>
      </c>
      <c r="B70" s="21" t="str">
        <f>VLOOKUP(TestCase!A70,'Scenario Test'!$A$5:$B$135,2,0)</f>
        <v>DPT_UPDATE_DEPOSIT: Modify deposit account</v>
      </c>
      <c r="C70" s="20" t="s">
        <v>445</v>
      </c>
      <c r="D70" s="20"/>
      <c r="E70" s="84" t="s">
        <v>410</v>
      </c>
      <c r="F70" s="85" t="s">
        <v>581</v>
      </c>
      <c r="G70" s="22" t="s">
        <v>10</v>
      </c>
      <c r="H70" s="23"/>
      <c r="I70" s="87">
        <v>45659</v>
      </c>
      <c r="J70" s="87">
        <v>45660</v>
      </c>
      <c r="K70" s="87">
        <v>45665</v>
      </c>
      <c r="L70" s="25" t="s">
        <v>104</v>
      </c>
      <c r="M70" s="23"/>
      <c r="N70" s="25"/>
    </row>
    <row r="71" spans="1:14" s="24" customFormat="1" ht="38.25" x14ac:dyDescent="0.2">
      <c r="A71" s="80" t="s">
        <v>139</v>
      </c>
      <c r="B71" s="21" t="str">
        <f>VLOOKUP(TestCase!A71,'Scenario Test'!$A$5:$B$135,2,0)</f>
        <v>DPT_UPDATE_DEPOSIT: Modify deposit account</v>
      </c>
      <c r="C71" s="20" t="s">
        <v>446</v>
      </c>
      <c r="D71" s="20"/>
      <c r="E71" s="84" t="s">
        <v>403</v>
      </c>
      <c r="F71" s="85" t="s">
        <v>582</v>
      </c>
      <c r="G71" s="22" t="s">
        <v>10</v>
      </c>
      <c r="H71" s="23"/>
      <c r="I71" s="87">
        <v>45659</v>
      </c>
      <c r="J71" s="87">
        <v>45660</v>
      </c>
      <c r="K71" s="87">
        <v>45666</v>
      </c>
      <c r="L71" s="25" t="s">
        <v>104</v>
      </c>
      <c r="M71" s="23"/>
      <c r="N71" s="25"/>
    </row>
    <row r="72" spans="1:14" s="24" customFormat="1" ht="38.25" x14ac:dyDescent="0.2">
      <c r="A72" s="80" t="s">
        <v>139</v>
      </c>
      <c r="B72" s="21" t="str">
        <f>VLOOKUP(TestCase!A72,'Scenario Test'!$A$5:$B$135,2,0)</f>
        <v>DPT_UPDATE_DEPOSIT: Modify deposit account</v>
      </c>
      <c r="C72" s="20" t="s">
        <v>447</v>
      </c>
      <c r="D72" s="20"/>
      <c r="E72" s="84" t="s">
        <v>404</v>
      </c>
      <c r="F72" s="85" t="s">
        <v>582</v>
      </c>
      <c r="G72" s="22" t="s">
        <v>10</v>
      </c>
      <c r="H72" s="23"/>
      <c r="I72" s="87">
        <v>45659</v>
      </c>
      <c r="J72" s="87">
        <v>45660</v>
      </c>
      <c r="K72" s="87">
        <v>45666</v>
      </c>
      <c r="L72" s="25" t="s">
        <v>104</v>
      </c>
      <c r="M72" s="23"/>
      <c r="N72" s="25"/>
    </row>
    <row r="73" spans="1:14" s="24" customFormat="1" ht="38.25" x14ac:dyDescent="0.2">
      <c r="A73" s="80" t="s">
        <v>139</v>
      </c>
      <c r="B73" s="21" t="str">
        <f>VLOOKUP(TestCase!A73,'Scenario Test'!$A$5:$B$135,2,0)</f>
        <v>DPT_UPDATE_DEPOSIT: Modify deposit account</v>
      </c>
      <c r="C73" s="20" t="s">
        <v>448</v>
      </c>
      <c r="D73" s="20"/>
      <c r="E73" s="84" t="s">
        <v>405</v>
      </c>
      <c r="F73" s="85" t="s">
        <v>582</v>
      </c>
      <c r="G73" s="22" t="s">
        <v>10</v>
      </c>
      <c r="H73" s="23"/>
      <c r="I73" s="87">
        <v>45659</v>
      </c>
      <c r="J73" s="87">
        <v>45660</v>
      </c>
      <c r="K73" s="87">
        <v>45666</v>
      </c>
      <c r="L73" s="25" t="s">
        <v>104</v>
      </c>
      <c r="M73" s="23"/>
      <c r="N73" s="25"/>
    </row>
    <row r="74" spans="1:14" s="24" customFormat="1" ht="38.25" x14ac:dyDescent="0.2">
      <c r="A74" s="80" t="s">
        <v>139</v>
      </c>
      <c r="B74" s="21" t="str">
        <f>VLOOKUP(TestCase!A74,'Scenario Test'!$A$5:$B$135,2,0)</f>
        <v>DPT_UPDATE_DEPOSIT: Modify deposit account</v>
      </c>
      <c r="C74" s="20" t="s">
        <v>449</v>
      </c>
      <c r="D74" s="20"/>
      <c r="E74" s="84" t="s">
        <v>383</v>
      </c>
      <c r="F74" s="85" t="s">
        <v>389</v>
      </c>
      <c r="G74" s="22" t="s">
        <v>10</v>
      </c>
      <c r="H74" s="23"/>
      <c r="I74" s="87">
        <v>45659</v>
      </c>
      <c r="J74" s="87">
        <v>45660</v>
      </c>
      <c r="K74" s="87">
        <v>45666</v>
      </c>
      <c r="L74" s="25" t="s">
        <v>104</v>
      </c>
      <c r="M74" s="23"/>
      <c r="N74" s="25"/>
    </row>
    <row r="75" spans="1:14" s="24" customFormat="1" ht="38.25" x14ac:dyDescent="0.2">
      <c r="A75" s="80" t="s">
        <v>139</v>
      </c>
      <c r="B75" s="21" t="str">
        <f>VLOOKUP(TestCase!A75,'Scenario Test'!$A$5:$B$135,2,0)</f>
        <v>DPT_UPDATE_DEPOSIT: Modify deposit account</v>
      </c>
      <c r="C75" s="20" t="s">
        <v>450</v>
      </c>
      <c r="D75" s="20"/>
      <c r="E75" s="84" t="s">
        <v>388</v>
      </c>
      <c r="F75" s="85" t="s">
        <v>389</v>
      </c>
      <c r="G75" s="22" t="s">
        <v>10</v>
      </c>
      <c r="H75" s="23"/>
      <c r="I75" s="87">
        <v>45659</v>
      </c>
      <c r="J75" s="87">
        <v>45660</v>
      </c>
      <c r="K75" s="87">
        <v>45666</v>
      </c>
      <c r="L75" s="25" t="s">
        <v>104</v>
      </c>
      <c r="M75" s="23"/>
      <c r="N75" s="25"/>
    </row>
    <row r="76" spans="1:14" s="24" customFormat="1" ht="25.5" x14ac:dyDescent="0.2">
      <c r="A76" s="80" t="s">
        <v>139</v>
      </c>
      <c r="B76" s="21" t="str">
        <f>VLOOKUP(TestCase!A76,'Scenario Test'!$A$5:$B$135,2,0)</f>
        <v>DPT_UPDATE_DEPOSIT: Modify deposit account</v>
      </c>
      <c r="C76" s="20" t="s">
        <v>451</v>
      </c>
      <c r="D76" s="20"/>
      <c r="E76" s="84" t="s">
        <v>382</v>
      </c>
      <c r="F76" s="85" t="s">
        <v>389</v>
      </c>
      <c r="G76" s="22" t="s">
        <v>10</v>
      </c>
      <c r="H76" s="23"/>
      <c r="I76" s="87">
        <v>45659</v>
      </c>
      <c r="J76" s="87">
        <v>45660</v>
      </c>
      <c r="K76" s="87">
        <v>45666</v>
      </c>
      <c r="L76" s="25" t="s">
        <v>104</v>
      </c>
      <c r="M76" s="23"/>
      <c r="N76" s="25"/>
    </row>
    <row r="77" spans="1:14" s="24" customFormat="1" ht="25.5" x14ac:dyDescent="0.2">
      <c r="A77" s="80" t="s">
        <v>139</v>
      </c>
      <c r="B77" s="21" t="str">
        <f>VLOOKUP(TestCase!A77,'Scenario Test'!$A$5:$B$135,2,0)</f>
        <v>DPT_UPDATE_DEPOSIT: Modify deposit account</v>
      </c>
      <c r="C77" s="20" t="s">
        <v>452</v>
      </c>
      <c r="D77" s="20"/>
      <c r="E77" s="84" t="s">
        <v>425</v>
      </c>
      <c r="F77" s="85" t="s">
        <v>389</v>
      </c>
      <c r="G77" s="22" t="s">
        <v>10</v>
      </c>
      <c r="H77" s="23"/>
      <c r="I77" s="87">
        <v>45659</v>
      </c>
      <c r="J77" s="87">
        <v>45660</v>
      </c>
      <c r="K77" s="87">
        <v>45666</v>
      </c>
      <c r="L77" s="25" t="s">
        <v>104</v>
      </c>
      <c r="M77" s="23"/>
      <c r="N77" s="25"/>
    </row>
    <row r="78" spans="1:14" s="24" customFormat="1" ht="25.5" x14ac:dyDescent="0.2">
      <c r="A78" s="80" t="s">
        <v>139</v>
      </c>
      <c r="B78" s="21" t="str">
        <f>VLOOKUP(TestCase!A78,'Scenario Test'!$A$5:$B$135,2,0)</f>
        <v>DPT_UPDATE_DEPOSIT: Modify deposit account</v>
      </c>
      <c r="C78" s="20" t="s">
        <v>453</v>
      </c>
      <c r="D78" s="20"/>
      <c r="E78" s="84" t="s">
        <v>426</v>
      </c>
      <c r="F78" s="85" t="s">
        <v>389</v>
      </c>
      <c r="G78" s="22" t="s">
        <v>10</v>
      </c>
      <c r="H78" s="23"/>
      <c r="I78" s="87">
        <v>45659</v>
      </c>
      <c r="J78" s="87">
        <v>45660</v>
      </c>
      <c r="K78" s="87">
        <v>45666</v>
      </c>
      <c r="L78" s="25" t="s">
        <v>104</v>
      </c>
      <c r="M78" s="23"/>
      <c r="N78" s="25"/>
    </row>
    <row r="79" spans="1:14" s="24" customFormat="1" ht="51" x14ac:dyDescent="0.2">
      <c r="A79" s="80" t="s">
        <v>139</v>
      </c>
      <c r="B79" s="21" t="str">
        <f>VLOOKUP(TestCase!A79,'Scenario Test'!$A$5:$B$135,2,0)</f>
        <v>DPT_UPDATE_DEPOSIT: Modify deposit account</v>
      </c>
      <c r="C79" s="20" t="s">
        <v>454</v>
      </c>
      <c r="D79" s="20"/>
      <c r="E79" s="84" t="s">
        <v>385</v>
      </c>
      <c r="F79" s="85" t="s">
        <v>389</v>
      </c>
      <c r="G79" s="22" t="s">
        <v>10</v>
      </c>
      <c r="H79" s="23"/>
      <c r="I79" s="87">
        <v>45659</v>
      </c>
      <c r="J79" s="87">
        <v>45660</v>
      </c>
      <c r="K79" s="87">
        <v>45666</v>
      </c>
      <c r="L79" s="25" t="s">
        <v>104</v>
      </c>
      <c r="M79" s="23"/>
      <c r="N79" s="25"/>
    </row>
    <row r="80" spans="1:14" s="24" customFormat="1" ht="51" x14ac:dyDescent="0.2">
      <c r="A80" s="80" t="s">
        <v>139</v>
      </c>
      <c r="B80" s="21" t="str">
        <f>VLOOKUP(TestCase!A80,'Scenario Test'!$A$5:$B$135,2,0)</f>
        <v>DPT_UPDATE_DEPOSIT: Modify deposit account</v>
      </c>
      <c r="C80" s="20" t="s">
        <v>455</v>
      </c>
      <c r="D80" s="20"/>
      <c r="E80" s="84" t="s">
        <v>384</v>
      </c>
      <c r="F80" s="85" t="s">
        <v>389</v>
      </c>
      <c r="G80" s="22" t="s">
        <v>10</v>
      </c>
      <c r="H80" s="23"/>
      <c r="I80" s="87">
        <v>45659</v>
      </c>
      <c r="J80" s="87">
        <v>45660</v>
      </c>
      <c r="K80" s="87">
        <v>45666</v>
      </c>
      <c r="L80" s="25" t="s">
        <v>104</v>
      </c>
      <c r="M80" s="23"/>
      <c r="N80" s="25"/>
    </row>
    <row r="81" spans="1:14" s="24" customFormat="1" ht="63.75" x14ac:dyDescent="0.2">
      <c r="A81" s="80" t="s">
        <v>139</v>
      </c>
      <c r="B81" s="21" t="str">
        <f>VLOOKUP(TestCase!A81,'Scenario Test'!$A$5:$B$135,2,0)</f>
        <v>DPT_UPDATE_DEPOSIT: Modify deposit account</v>
      </c>
      <c r="C81" s="20" t="s">
        <v>456</v>
      </c>
      <c r="D81" s="20"/>
      <c r="E81" s="84" t="s">
        <v>387</v>
      </c>
      <c r="F81" s="85" t="s">
        <v>389</v>
      </c>
      <c r="G81" s="22" t="s">
        <v>10</v>
      </c>
      <c r="H81" s="23"/>
      <c r="I81" s="87">
        <v>45659</v>
      </c>
      <c r="J81" s="87">
        <v>45660</v>
      </c>
      <c r="K81" s="87">
        <v>45666</v>
      </c>
      <c r="L81" s="25" t="s">
        <v>104</v>
      </c>
      <c r="M81" s="23"/>
      <c r="N81" s="25"/>
    </row>
    <row r="82" spans="1:14" s="24" customFormat="1" ht="38.25" x14ac:dyDescent="0.2">
      <c r="A82" s="80" t="s">
        <v>139</v>
      </c>
      <c r="B82" s="21" t="str">
        <f>VLOOKUP(TestCase!A82,'Scenario Test'!$A$5:$B$135,2,0)</f>
        <v>DPT_UPDATE_DEPOSIT: Modify deposit account</v>
      </c>
      <c r="C82" s="20" t="s">
        <v>457</v>
      </c>
      <c r="D82" s="20"/>
      <c r="E82" s="84" t="s">
        <v>418</v>
      </c>
      <c r="F82" s="85" t="s">
        <v>389</v>
      </c>
      <c r="G82" s="22" t="s">
        <v>10</v>
      </c>
      <c r="H82" s="23"/>
      <c r="I82" s="87">
        <v>45659</v>
      </c>
      <c r="J82" s="87">
        <v>45666</v>
      </c>
      <c r="K82" s="87"/>
      <c r="L82" s="25" t="s">
        <v>104</v>
      </c>
      <c r="M82" s="23"/>
      <c r="N82" s="25"/>
    </row>
    <row r="83" spans="1:14" s="24" customFormat="1" ht="38.25" x14ac:dyDescent="0.2">
      <c r="A83" s="80" t="s">
        <v>139</v>
      </c>
      <c r="B83" s="21" t="str">
        <f>VLOOKUP(TestCase!A83,'Scenario Test'!$A$5:$B$135,2,0)</f>
        <v>DPT_UPDATE_DEPOSIT: Modify deposit account</v>
      </c>
      <c r="C83" s="20" t="s">
        <v>458</v>
      </c>
      <c r="D83" s="20"/>
      <c r="E83" s="84" t="s">
        <v>419</v>
      </c>
      <c r="F83" s="85" t="s">
        <v>389</v>
      </c>
      <c r="G83" s="22" t="s">
        <v>10</v>
      </c>
      <c r="H83" s="23"/>
      <c r="I83" s="87">
        <v>45659</v>
      </c>
      <c r="J83" s="87">
        <v>45666</v>
      </c>
      <c r="K83" s="87"/>
      <c r="L83" s="25" t="s">
        <v>104</v>
      </c>
      <c r="M83" s="23"/>
      <c r="N83" s="25"/>
    </row>
    <row r="84" spans="1:14" s="24" customFormat="1" ht="38.25" x14ac:dyDescent="0.2">
      <c r="A84" s="80" t="s">
        <v>139</v>
      </c>
      <c r="B84" s="21" t="str">
        <f>VLOOKUP(TestCase!A84,'Scenario Test'!$A$5:$B$135,2,0)</f>
        <v>DPT_UPDATE_DEPOSIT: Modify deposit account</v>
      </c>
      <c r="C84" s="20" t="s">
        <v>459</v>
      </c>
      <c r="D84" s="20"/>
      <c r="E84" s="84" t="s">
        <v>420</v>
      </c>
      <c r="F84" s="85" t="s">
        <v>389</v>
      </c>
      <c r="G84" s="22" t="s">
        <v>10</v>
      </c>
      <c r="H84" s="23"/>
      <c r="I84" s="87">
        <v>45659</v>
      </c>
      <c r="J84" s="87">
        <v>45666</v>
      </c>
      <c r="K84" s="87"/>
      <c r="L84" s="25" t="s">
        <v>104</v>
      </c>
      <c r="M84" s="23"/>
      <c r="N84" s="25"/>
    </row>
    <row r="85" spans="1:14" s="24" customFormat="1" ht="25.5" x14ac:dyDescent="0.2">
      <c r="A85" s="80" t="s">
        <v>139</v>
      </c>
      <c r="B85" s="21" t="str">
        <f>VLOOKUP(TestCase!A85,'Scenario Test'!$A$5:$B$135,2,0)</f>
        <v>DPT_UPDATE_DEPOSIT: Modify deposit account</v>
      </c>
      <c r="C85" s="20" t="s">
        <v>460</v>
      </c>
      <c r="D85" s="20"/>
      <c r="E85" s="84" t="s">
        <v>416</v>
      </c>
      <c r="F85" s="126" t="s">
        <v>578</v>
      </c>
      <c r="G85" s="22" t="s">
        <v>10</v>
      </c>
      <c r="H85" s="23"/>
      <c r="I85" s="87">
        <v>45659</v>
      </c>
      <c r="J85" s="87">
        <v>45666</v>
      </c>
      <c r="K85" s="87"/>
      <c r="L85" s="25" t="s">
        <v>104</v>
      </c>
      <c r="M85" s="23"/>
      <c r="N85" s="25"/>
    </row>
    <row r="86" spans="1:14" s="24" customFormat="1" ht="63.75" x14ac:dyDescent="0.2">
      <c r="A86" s="80" t="s">
        <v>139</v>
      </c>
      <c r="B86" s="21" t="str">
        <f>VLOOKUP(TestCase!A86,'Scenario Test'!$A$5:$B$135,2,0)</f>
        <v>DPT_UPDATE_DEPOSIT: Modify deposit account</v>
      </c>
      <c r="C86" s="20" t="s">
        <v>461</v>
      </c>
      <c r="D86" s="20"/>
      <c r="E86" s="84" t="s">
        <v>422</v>
      </c>
      <c r="F86" s="85" t="s">
        <v>389</v>
      </c>
      <c r="G86" s="22" t="s">
        <v>10</v>
      </c>
      <c r="H86" s="23"/>
      <c r="I86" s="87">
        <v>45659</v>
      </c>
      <c r="J86" s="87">
        <v>45666</v>
      </c>
      <c r="K86" s="87"/>
      <c r="L86" s="25" t="s">
        <v>104</v>
      </c>
      <c r="M86" s="23"/>
      <c r="N86" s="25"/>
    </row>
    <row r="87" spans="1:14" s="24" customFormat="1" ht="51" x14ac:dyDescent="0.2">
      <c r="A87" s="80" t="s">
        <v>139</v>
      </c>
      <c r="B87" s="21" t="str">
        <f>VLOOKUP(TestCase!A87,'Scenario Test'!$A$5:$B$135,2,0)</f>
        <v>DPT_UPDATE_DEPOSIT: Modify deposit account</v>
      </c>
      <c r="C87" s="20" t="s">
        <v>462</v>
      </c>
      <c r="D87" s="20"/>
      <c r="E87" s="84" t="s">
        <v>423</v>
      </c>
      <c r="F87" s="85" t="s">
        <v>389</v>
      </c>
      <c r="G87" s="22" t="s">
        <v>10</v>
      </c>
      <c r="H87" s="23"/>
      <c r="I87" s="87">
        <v>45659</v>
      </c>
      <c r="J87" s="87">
        <v>45666</v>
      </c>
      <c r="K87" s="87"/>
      <c r="L87" s="25" t="s">
        <v>104</v>
      </c>
      <c r="M87" s="23"/>
      <c r="N87" s="25"/>
    </row>
    <row r="88" spans="1:14" s="24" customFormat="1" ht="51" x14ac:dyDescent="0.2">
      <c r="A88" s="80" t="s">
        <v>139</v>
      </c>
      <c r="B88" s="21" t="str">
        <f>VLOOKUP(TestCase!A88,'Scenario Test'!$A$5:$B$135,2,0)</f>
        <v>DPT_UPDATE_DEPOSIT: Modify deposit account</v>
      </c>
      <c r="C88" s="20" t="s">
        <v>463</v>
      </c>
      <c r="D88" s="20"/>
      <c r="E88" s="84" t="s">
        <v>424</v>
      </c>
      <c r="F88" s="85" t="s">
        <v>389</v>
      </c>
      <c r="G88" s="22" t="s">
        <v>10</v>
      </c>
      <c r="H88" s="23"/>
      <c r="I88" s="87">
        <v>45659</v>
      </c>
      <c r="J88" s="87">
        <v>45666</v>
      </c>
      <c r="K88" s="87"/>
      <c r="L88" s="25" t="s">
        <v>104</v>
      </c>
      <c r="M88" s="23"/>
      <c r="N88" s="25"/>
    </row>
    <row r="89" spans="1:14" s="24" customFormat="1" ht="38.25" x14ac:dyDescent="0.2">
      <c r="A89" s="80" t="s">
        <v>139</v>
      </c>
      <c r="B89" s="21" t="str">
        <f>VLOOKUP(TestCase!A89,'Scenario Test'!$A$5:$B$135,2,0)</f>
        <v>DPT_UPDATE_DEPOSIT: Modify deposit account</v>
      </c>
      <c r="C89" s="20" t="s">
        <v>464</v>
      </c>
      <c r="D89" s="20"/>
      <c r="E89" s="84" t="s">
        <v>421</v>
      </c>
      <c r="F89" s="85" t="s">
        <v>389</v>
      </c>
      <c r="G89" s="22" t="s">
        <v>10</v>
      </c>
      <c r="H89" s="23"/>
      <c r="I89" s="87">
        <v>45659</v>
      </c>
      <c r="J89" s="87">
        <v>45666</v>
      </c>
      <c r="K89" s="87"/>
      <c r="L89" s="25" t="s">
        <v>104</v>
      </c>
      <c r="M89" s="23"/>
      <c r="N89" s="25"/>
    </row>
    <row r="90" spans="1:14" s="24" customFormat="1" ht="38.25" x14ac:dyDescent="0.2">
      <c r="A90" s="80" t="s">
        <v>139</v>
      </c>
      <c r="B90" s="21" t="str">
        <f>VLOOKUP(TestCase!A90,'Scenario Test'!$A$5:$B$135,2,0)</f>
        <v>DPT_UPDATE_DEPOSIT: Modify deposit account</v>
      </c>
      <c r="C90" s="20" t="s">
        <v>465</v>
      </c>
      <c r="D90" s="20"/>
      <c r="E90" s="84" t="s">
        <v>427</v>
      </c>
      <c r="F90" s="85" t="s">
        <v>389</v>
      </c>
      <c r="G90" s="22" t="s">
        <v>10</v>
      </c>
      <c r="H90" s="23"/>
      <c r="I90" s="87">
        <v>45659</v>
      </c>
      <c r="J90" s="87">
        <v>45666</v>
      </c>
      <c r="K90" s="87"/>
      <c r="L90" s="25" t="s">
        <v>104</v>
      </c>
      <c r="M90" s="23"/>
      <c r="N90" s="25"/>
    </row>
    <row r="91" spans="1:14" s="24" customFormat="1" x14ac:dyDescent="0.2">
      <c r="A91" s="80" t="s">
        <v>139</v>
      </c>
      <c r="B91" s="21" t="str">
        <f>VLOOKUP(TestCase!A91,'Scenario Test'!$A$5:$B$135,2,0)</f>
        <v>DPT_UPDATE_DEPOSIT: Modify deposit account</v>
      </c>
      <c r="C91" s="20" t="s">
        <v>577</v>
      </c>
      <c r="D91" s="20"/>
      <c r="E91" s="84" t="s">
        <v>417</v>
      </c>
      <c r="F91" s="85" t="s">
        <v>389</v>
      </c>
      <c r="G91" s="22" t="s">
        <v>10</v>
      </c>
      <c r="H91" s="23"/>
      <c r="I91" s="87">
        <v>45659</v>
      </c>
      <c r="J91" s="87">
        <v>45666</v>
      </c>
      <c r="K91" s="87"/>
      <c r="L91" s="25" t="s">
        <v>104</v>
      </c>
      <c r="M91" s="23"/>
      <c r="N91" s="25"/>
    </row>
    <row r="92" spans="1:14" s="24" customFormat="1" ht="38.25" x14ac:dyDescent="0.2">
      <c r="A92" s="80" t="s">
        <v>139</v>
      </c>
      <c r="B92" s="21" t="str">
        <f>VLOOKUP(TestCase!A92,'Scenario Test'!$A$5:$B$135,2,0)</f>
        <v>DPT_UPDATE_DEPOSIT: Modify deposit account</v>
      </c>
      <c r="C92" s="20" t="s">
        <v>583</v>
      </c>
      <c r="D92" s="20"/>
      <c r="E92" s="84" t="s">
        <v>584</v>
      </c>
      <c r="F92" s="126" t="s">
        <v>585</v>
      </c>
      <c r="G92" s="22" t="s">
        <v>10</v>
      </c>
      <c r="H92" s="23"/>
      <c r="I92" s="87">
        <v>45659</v>
      </c>
      <c r="J92" s="87">
        <v>45666</v>
      </c>
      <c r="K92" s="87"/>
      <c r="L92" s="25" t="s">
        <v>104</v>
      </c>
      <c r="M92" s="23"/>
      <c r="N92" s="25"/>
    </row>
    <row r="93" spans="1:14" x14ac:dyDescent="0.2">
      <c r="A93" s="53" t="s">
        <v>140</v>
      </c>
      <c r="B93" s="54" t="str">
        <f>VLOOKUP(TestCase!A93,'Scenario Test'!$A$5:$B$135,2,0)</f>
        <v>DPT_VIEW_MODIFY_EXT_FIELD: View modify extension fields deposit account</v>
      </c>
      <c r="C93" s="53"/>
      <c r="D93" s="53"/>
      <c r="E93" s="53"/>
      <c r="F93" s="53"/>
      <c r="G93" s="55"/>
      <c r="H93" s="54"/>
      <c r="I93" s="55"/>
      <c r="J93" s="55"/>
      <c r="K93" s="55"/>
      <c r="L93" s="54"/>
      <c r="M93" s="54"/>
      <c r="N93" s="54"/>
    </row>
    <row r="94" spans="1:14" s="24" customFormat="1" ht="38.25" x14ac:dyDescent="0.2">
      <c r="A94" s="80" t="s">
        <v>140</v>
      </c>
      <c r="B94" s="21" t="str">
        <f>VLOOKUP(TestCase!A94,'Scenario Test'!$A$5:$B$135,2,0)</f>
        <v>DPT_VIEW_MODIFY_EXT_FIELD: View modify extension fields deposit account</v>
      </c>
      <c r="C94" s="20" t="s">
        <v>190</v>
      </c>
      <c r="D94" s="20"/>
      <c r="E94" s="84" t="s">
        <v>381</v>
      </c>
      <c r="F94" s="85" t="s">
        <v>468</v>
      </c>
      <c r="G94" s="22" t="s">
        <v>10</v>
      </c>
      <c r="H94" s="23"/>
      <c r="I94" s="87">
        <v>45659</v>
      </c>
      <c r="J94" s="87">
        <v>45660</v>
      </c>
      <c r="K94" s="87">
        <v>45666</v>
      </c>
      <c r="L94" s="25" t="s">
        <v>104</v>
      </c>
      <c r="M94" s="23"/>
      <c r="N94" s="25"/>
    </row>
    <row r="95" spans="1:14" s="24" customFormat="1" ht="38.25" x14ac:dyDescent="0.2">
      <c r="A95" s="80" t="s">
        <v>140</v>
      </c>
      <c r="B95" s="21" t="str">
        <f>VLOOKUP(TestCase!A95,'Scenario Test'!$A$5:$B$135,2,0)</f>
        <v>DPT_VIEW_MODIFY_EXT_FIELD: View modify extension fields deposit account</v>
      </c>
      <c r="C95" s="20" t="s">
        <v>191</v>
      </c>
      <c r="D95" s="20"/>
      <c r="E95" s="84" t="s">
        <v>466</v>
      </c>
      <c r="F95" s="85" t="s">
        <v>468</v>
      </c>
      <c r="G95" s="22" t="s">
        <v>10</v>
      </c>
      <c r="H95" s="23"/>
      <c r="I95" s="87">
        <v>45659</v>
      </c>
      <c r="J95" s="87">
        <v>45660</v>
      </c>
      <c r="K95" s="87">
        <v>45666</v>
      </c>
      <c r="L95" s="25" t="s">
        <v>104</v>
      </c>
      <c r="M95" s="23"/>
      <c r="N95" s="25"/>
    </row>
    <row r="96" spans="1:14" s="24" customFormat="1" ht="38.25" x14ac:dyDescent="0.2">
      <c r="A96" s="80" t="s">
        <v>140</v>
      </c>
      <c r="B96" s="21" t="str">
        <f>VLOOKUP(TestCase!A96,'Scenario Test'!$A$5:$B$135,2,0)</f>
        <v>DPT_VIEW_MODIFY_EXT_FIELD: View modify extension fields deposit account</v>
      </c>
      <c r="C96" s="20" t="s">
        <v>192</v>
      </c>
      <c r="D96" s="20"/>
      <c r="E96" s="84" t="s">
        <v>467</v>
      </c>
      <c r="F96" s="85" t="s">
        <v>468</v>
      </c>
      <c r="G96" s="22" t="s">
        <v>10</v>
      </c>
      <c r="H96" s="23"/>
      <c r="I96" s="87">
        <v>45659</v>
      </c>
      <c r="J96" s="87">
        <v>45660</v>
      </c>
      <c r="K96" s="87">
        <v>45666</v>
      </c>
      <c r="L96" s="25" t="s">
        <v>104</v>
      </c>
      <c r="M96" s="23"/>
      <c r="N96" s="25"/>
    </row>
    <row r="97" spans="1:14" s="24" customFormat="1" ht="63.75" x14ac:dyDescent="0.2">
      <c r="A97" s="80" t="s">
        <v>140</v>
      </c>
      <c r="B97" s="21" t="str">
        <f>VLOOKUP(TestCase!A97,'Scenario Test'!$A$5:$B$135,2,0)</f>
        <v>DPT_VIEW_MODIFY_EXT_FIELD: View modify extension fields deposit account</v>
      </c>
      <c r="C97" s="20" t="s">
        <v>193</v>
      </c>
      <c r="D97" s="20"/>
      <c r="E97" s="84" t="s">
        <v>543</v>
      </c>
      <c r="F97" s="85" t="s">
        <v>468</v>
      </c>
      <c r="G97" s="22" t="s">
        <v>10</v>
      </c>
      <c r="H97" s="23"/>
      <c r="I97" s="87">
        <v>45659</v>
      </c>
      <c r="J97" s="87">
        <v>45660</v>
      </c>
      <c r="K97" s="87">
        <v>45666</v>
      </c>
      <c r="L97" s="25" t="s">
        <v>104</v>
      </c>
      <c r="M97" s="23"/>
      <c r="N97" s="25"/>
    </row>
    <row r="98" spans="1:14" x14ac:dyDescent="0.2">
      <c r="A98" s="53" t="s">
        <v>141</v>
      </c>
      <c r="B98" s="54" t="str">
        <f>VLOOKUP(TestCase!A98,'Scenario Test'!$A$5:$B$135,2,0)</f>
        <v>DPT_APPROVE_MODIFY: Approve modify deposit account</v>
      </c>
      <c r="C98" s="53"/>
      <c r="D98" s="53"/>
      <c r="E98" s="53"/>
      <c r="F98" s="53"/>
      <c r="G98" s="55"/>
      <c r="H98" s="54"/>
      <c r="I98" s="55"/>
      <c r="J98" s="55"/>
      <c r="K98" s="55"/>
      <c r="L98" s="54"/>
      <c r="M98" s="54"/>
      <c r="N98" s="54"/>
    </row>
    <row r="99" spans="1:14" s="24" customFormat="1" ht="25.5" x14ac:dyDescent="0.2">
      <c r="A99" s="80" t="s">
        <v>141</v>
      </c>
      <c r="B99" s="21" t="str">
        <f>VLOOKUP(TestCase!A99,'Scenario Test'!$A$5:$B$135,2,0)</f>
        <v>DPT_APPROVE_MODIFY: Approve modify deposit account</v>
      </c>
      <c r="C99" s="20" t="s">
        <v>194</v>
      </c>
      <c r="D99" s="20" t="s">
        <v>184</v>
      </c>
      <c r="E99" s="84" t="s">
        <v>392</v>
      </c>
      <c r="F99" s="95" t="s">
        <v>389</v>
      </c>
      <c r="G99" s="22" t="s">
        <v>10</v>
      </c>
      <c r="H99" s="23"/>
      <c r="I99" s="87">
        <v>45659</v>
      </c>
      <c r="J99" s="87">
        <v>45660</v>
      </c>
      <c r="K99" s="87">
        <v>45665</v>
      </c>
      <c r="L99" s="25" t="s">
        <v>104</v>
      </c>
      <c r="M99" s="23"/>
      <c r="N99" s="25"/>
    </row>
    <row r="100" spans="1:14" s="24" customFormat="1" ht="25.5" x14ac:dyDescent="0.2">
      <c r="A100" s="80" t="s">
        <v>141</v>
      </c>
      <c r="B100" s="21" t="str">
        <f>VLOOKUP(TestCase!A100,'Scenario Test'!$A$5:$B$135,2,0)</f>
        <v>DPT_APPROVE_MODIFY: Approve modify deposit account</v>
      </c>
      <c r="C100" s="20" t="s">
        <v>195</v>
      </c>
      <c r="D100" s="20" t="s">
        <v>185</v>
      </c>
      <c r="E100" s="84" t="s">
        <v>393</v>
      </c>
      <c r="F100" s="85" t="s">
        <v>389</v>
      </c>
      <c r="G100" s="22" t="s">
        <v>10</v>
      </c>
      <c r="H100" s="23"/>
      <c r="I100" s="87">
        <v>45659</v>
      </c>
      <c r="J100" s="87">
        <v>45660</v>
      </c>
      <c r="K100" s="87">
        <v>45665</v>
      </c>
      <c r="L100" s="25" t="s">
        <v>104</v>
      </c>
      <c r="M100" s="23"/>
      <c r="N100" s="25"/>
    </row>
    <row r="101" spans="1:14" s="24" customFormat="1" ht="25.5" x14ac:dyDescent="0.2">
      <c r="A101" s="80" t="s">
        <v>141</v>
      </c>
      <c r="B101" s="21" t="str">
        <f>VLOOKUP(TestCase!A101,'Scenario Test'!$A$5:$B$135,2,0)</f>
        <v>DPT_APPROVE_MODIFY: Approve modify deposit account</v>
      </c>
      <c r="C101" s="20" t="s">
        <v>196</v>
      </c>
      <c r="D101" s="20" t="s">
        <v>370</v>
      </c>
      <c r="E101" s="84" t="s">
        <v>395</v>
      </c>
      <c r="F101" s="85" t="s">
        <v>389</v>
      </c>
      <c r="G101" s="22" t="s">
        <v>10</v>
      </c>
      <c r="H101" s="23"/>
      <c r="I101" s="87">
        <v>45659</v>
      </c>
      <c r="J101" s="87">
        <v>45660</v>
      </c>
      <c r="K101" s="87">
        <v>45665</v>
      </c>
      <c r="L101" s="25" t="s">
        <v>104</v>
      </c>
      <c r="M101" s="23"/>
      <c r="N101" s="25"/>
    </row>
    <row r="102" spans="1:14" s="24" customFormat="1" ht="25.5" x14ac:dyDescent="0.2">
      <c r="A102" s="80" t="s">
        <v>141</v>
      </c>
      <c r="B102" s="21" t="str">
        <f>VLOOKUP(TestCase!A102,'Scenario Test'!$A$5:$B$135,2,0)</f>
        <v>DPT_APPROVE_MODIFY: Approve modify deposit account</v>
      </c>
      <c r="C102" s="20" t="s">
        <v>197</v>
      </c>
      <c r="D102" s="20" t="s">
        <v>371</v>
      </c>
      <c r="E102" s="84" t="s">
        <v>396</v>
      </c>
      <c r="F102" s="85" t="s">
        <v>389</v>
      </c>
      <c r="G102" s="22" t="s">
        <v>10</v>
      </c>
      <c r="H102" s="23"/>
      <c r="I102" s="87">
        <v>45659</v>
      </c>
      <c r="J102" s="87">
        <v>45660</v>
      </c>
      <c r="K102" s="87">
        <v>45665</v>
      </c>
      <c r="L102" s="25" t="s">
        <v>104</v>
      </c>
      <c r="M102" s="23"/>
      <c r="N102" s="25"/>
    </row>
    <row r="103" spans="1:14" s="24" customFormat="1" ht="25.5" x14ac:dyDescent="0.2">
      <c r="A103" s="80" t="s">
        <v>141</v>
      </c>
      <c r="B103" s="21" t="str">
        <f>VLOOKUP(TestCase!A103,'Scenario Test'!$A$5:$B$135,2,0)</f>
        <v>DPT_APPROVE_MODIFY: Approve modify deposit account</v>
      </c>
      <c r="C103" s="20" t="s">
        <v>469</v>
      </c>
      <c r="D103" s="20" t="s">
        <v>373</v>
      </c>
      <c r="E103" s="84" t="s">
        <v>398</v>
      </c>
      <c r="F103" s="85" t="s">
        <v>389</v>
      </c>
      <c r="G103" s="22" t="s">
        <v>10</v>
      </c>
      <c r="H103" s="23"/>
      <c r="I103" s="87">
        <v>45659</v>
      </c>
      <c r="J103" s="87">
        <v>45660</v>
      </c>
      <c r="K103" s="87">
        <v>45665</v>
      </c>
      <c r="L103" s="25" t="s">
        <v>104</v>
      </c>
      <c r="M103" s="23"/>
      <c r="N103" s="25"/>
    </row>
    <row r="104" spans="1:14" s="24" customFormat="1" ht="25.5" x14ac:dyDescent="0.2">
      <c r="A104" s="80" t="s">
        <v>141</v>
      </c>
      <c r="B104" s="21" t="str">
        <f>VLOOKUP(TestCase!A104,'Scenario Test'!$A$5:$B$135,2,0)</f>
        <v>DPT_APPROVE_MODIFY: Approve modify deposit account</v>
      </c>
      <c r="C104" s="20" t="s">
        <v>470</v>
      </c>
      <c r="D104" s="20" t="s">
        <v>374</v>
      </c>
      <c r="E104" s="84" t="s">
        <v>399</v>
      </c>
      <c r="F104" s="85" t="s">
        <v>389</v>
      </c>
      <c r="G104" s="22" t="s">
        <v>10</v>
      </c>
      <c r="H104" s="23"/>
      <c r="I104" s="87">
        <v>45659</v>
      </c>
      <c r="J104" s="87">
        <v>45660</v>
      </c>
      <c r="K104" s="87">
        <v>45665</v>
      </c>
      <c r="L104" s="25" t="s">
        <v>104</v>
      </c>
      <c r="M104" s="23"/>
      <c r="N104" s="25"/>
    </row>
    <row r="105" spans="1:14" s="24" customFormat="1" ht="25.5" x14ac:dyDescent="0.2">
      <c r="A105" s="80" t="s">
        <v>141</v>
      </c>
      <c r="B105" s="21" t="str">
        <f>VLOOKUP(TestCase!A105,'Scenario Test'!$A$5:$B$135,2,0)</f>
        <v>DPT_APPROVE_MODIFY: Approve modify deposit account</v>
      </c>
      <c r="C105" s="20" t="s">
        <v>471</v>
      </c>
      <c r="D105" s="20" t="s">
        <v>376</v>
      </c>
      <c r="E105" s="84" t="s">
        <v>401</v>
      </c>
      <c r="F105" s="85" t="s">
        <v>389</v>
      </c>
      <c r="G105" s="22" t="s">
        <v>10</v>
      </c>
      <c r="H105" s="23"/>
      <c r="I105" s="87">
        <v>45659</v>
      </c>
      <c r="J105" s="87">
        <v>45660</v>
      </c>
      <c r="K105" s="87">
        <v>45665</v>
      </c>
      <c r="L105" s="25" t="s">
        <v>104</v>
      </c>
      <c r="M105" s="23"/>
      <c r="N105" s="25"/>
    </row>
    <row r="106" spans="1:14" s="24" customFormat="1" ht="25.5" x14ac:dyDescent="0.2">
      <c r="A106" s="80" t="s">
        <v>141</v>
      </c>
      <c r="B106" s="21" t="str">
        <f>VLOOKUP(TestCase!A106,'Scenario Test'!$A$5:$B$135,2,0)</f>
        <v>DPT_APPROVE_MODIFY: Approve modify deposit account</v>
      </c>
      <c r="C106" s="20" t="s">
        <v>472</v>
      </c>
      <c r="D106" s="20" t="s">
        <v>377</v>
      </c>
      <c r="E106" s="84" t="s">
        <v>402</v>
      </c>
      <c r="F106" s="85" t="s">
        <v>389</v>
      </c>
      <c r="G106" s="22" t="s">
        <v>10</v>
      </c>
      <c r="H106" s="23"/>
      <c r="I106" s="87">
        <v>45659</v>
      </c>
      <c r="J106" s="87">
        <v>45660</v>
      </c>
      <c r="K106" s="87">
        <v>45665</v>
      </c>
      <c r="L106" s="25" t="s">
        <v>104</v>
      </c>
      <c r="M106" s="23"/>
      <c r="N106" s="25"/>
    </row>
    <row r="107" spans="1:14" s="24" customFormat="1" ht="76.5" x14ac:dyDescent="0.2">
      <c r="A107" s="80" t="s">
        <v>141</v>
      </c>
      <c r="B107" s="21" t="str">
        <f>VLOOKUP(TestCase!A107,'Scenario Test'!$A$5:$B$135,2,0)</f>
        <v>DPT_APPROVE_MODIFY: Approve modify deposit account</v>
      </c>
      <c r="C107" s="20" t="s">
        <v>473</v>
      </c>
      <c r="D107" s="20" t="s">
        <v>378</v>
      </c>
      <c r="E107" s="84" t="s">
        <v>574</v>
      </c>
      <c r="F107" s="85" t="s">
        <v>561</v>
      </c>
      <c r="G107" s="22" t="s">
        <v>10</v>
      </c>
      <c r="H107" s="23"/>
      <c r="I107" s="87">
        <v>45659</v>
      </c>
      <c r="J107" s="87">
        <v>45660</v>
      </c>
      <c r="K107" s="87">
        <v>45666</v>
      </c>
      <c r="L107" s="25" t="s">
        <v>104</v>
      </c>
      <c r="M107" s="23"/>
      <c r="N107" s="25"/>
    </row>
    <row r="108" spans="1:14" s="24" customFormat="1" ht="89.25" x14ac:dyDescent="0.2">
      <c r="A108" s="80" t="s">
        <v>141</v>
      </c>
      <c r="B108" s="21" t="str">
        <f>VLOOKUP(TestCase!A108,'Scenario Test'!$A$5:$B$135,2,0)</f>
        <v>DPT_APPROVE_MODIFY: Approve modify deposit account</v>
      </c>
      <c r="C108" s="20" t="s">
        <v>474</v>
      </c>
      <c r="D108" s="20" t="s">
        <v>379</v>
      </c>
      <c r="E108" s="84" t="s">
        <v>562</v>
      </c>
      <c r="F108" s="85" t="s">
        <v>565</v>
      </c>
      <c r="G108" s="22" t="s">
        <v>10</v>
      </c>
      <c r="H108" s="23"/>
      <c r="I108" s="87">
        <v>45659</v>
      </c>
      <c r="J108" s="87">
        <v>45660</v>
      </c>
      <c r="K108" s="87">
        <v>45666</v>
      </c>
      <c r="L108" s="25" t="s">
        <v>104</v>
      </c>
      <c r="M108" s="23"/>
      <c r="N108" s="25"/>
    </row>
    <row r="109" spans="1:14" s="24" customFormat="1" ht="89.25" x14ac:dyDescent="0.2">
      <c r="A109" s="80" t="s">
        <v>141</v>
      </c>
      <c r="B109" s="21" t="str">
        <f>VLOOKUP(TestCase!A109,'Scenario Test'!$A$5:$B$135,2,0)</f>
        <v>DPT_APPROVE_MODIFY: Approve modify deposit account</v>
      </c>
      <c r="C109" s="20" t="s">
        <v>475</v>
      </c>
      <c r="D109" s="20" t="s">
        <v>380</v>
      </c>
      <c r="E109" s="84" t="s">
        <v>563</v>
      </c>
      <c r="F109" s="85" t="s">
        <v>566</v>
      </c>
      <c r="G109" s="22" t="s">
        <v>10</v>
      </c>
      <c r="H109" s="23"/>
      <c r="I109" s="87">
        <v>45659</v>
      </c>
      <c r="J109" s="87">
        <v>45660</v>
      </c>
      <c r="K109" s="87">
        <v>45666</v>
      </c>
      <c r="L109" s="25" t="s">
        <v>104</v>
      </c>
      <c r="M109" s="23"/>
      <c r="N109" s="25"/>
    </row>
    <row r="110" spans="1:14" s="24" customFormat="1" ht="89.25" x14ac:dyDescent="0.2">
      <c r="A110" s="80" t="s">
        <v>141</v>
      </c>
      <c r="B110" s="21" t="str">
        <f>VLOOKUP(TestCase!A110,'Scenario Test'!$A$5:$B$135,2,0)</f>
        <v>DPT_APPROVE_MODIFY: Approve modify deposit account</v>
      </c>
      <c r="C110" s="20" t="s">
        <v>476</v>
      </c>
      <c r="D110" s="20" t="s">
        <v>428</v>
      </c>
      <c r="E110" s="84" t="s">
        <v>564</v>
      </c>
      <c r="F110" s="85" t="s">
        <v>567</v>
      </c>
      <c r="G110" s="22" t="s">
        <v>10</v>
      </c>
      <c r="H110" s="23"/>
      <c r="I110" s="87">
        <v>45659</v>
      </c>
      <c r="J110" s="87">
        <v>45660</v>
      </c>
      <c r="K110" s="87">
        <v>45666</v>
      </c>
      <c r="L110" s="25" t="s">
        <v>104</v>
      </c>
      <c r="M110" s="23"/>
      <c r="N110" s="25"/>
    </row>
    <row r="111" spans="1:14" s="24" customFormat="1" ht="63.75" x14ac:dyDescent="0.2">
      <c r="A111" s="80" t="s">
        <v>141</v>
      </c>
      <c r="B111" s="21" t="str">
        <f>VLOOKUP(TestCase!A111,'Scenario Test'!$A$5:$B$135,2,0)</f>
        <v>DPT_APPROVE_MODIFY: Approve modify deposit account</v>
      </c>
      <c r="C111" s="20" t="s">
        <v>477</v>
      </c>
      <c r="D111" s="20" t="s">
        <v>429</v>
      </c>
      <c r="E111" s="84" t="s">
        <v>575</v>
      </c>
      <c r="F111" s="85" t="s">
        <v>576</v>
      </c>
      <c r="G111" s="22" t="s">
        <v>10</v>
      </c>
      <c r="H111" s="23"/>
      <c r="I111" s="87">
        <v>45659</v>
      </c>
      <c r="J111" s="87">
        <v>45660</v>
      </c>
      <c r="K111" s="87">
        <v>45666</v>
      </c>
      <c r="L111" s="25" t="s">
        <v>104</v>
      </c>
      <c r="M111" s="23"/>
      <c r="N111" s="25"/>
    </row>
    <row r="112" spans="1:14" s="24" customFormat="1" ht="76.5" x14ac:dyDescent="0.2">
      <c r="A112" s="80" t="s">
        <v>141</v>
      </c>
      <c r="B112" s="21" t="str">
        <f>VLOOKUP(TestCase!A112,'Scenario Test'!$A$5:$B$135,2,0)</f>
        <v>DPT_APPROVE_MODIFY: Approve modify deposit account</v>
      </c>
      <c r="C112" s="20" t="s">
        <v>478</v>
      </c>
      <c r="D112" s="20" t="s">
        <v>430</v>
      </c>
      <c r="E112" s="84" t="s">
        <v>570</v>
      </c>
      <c r="F112" s="85" t="s">
        <v>568</v>
      </c>
      <c r="G112" s="22" t="s">
        <v>10</v>
      </c>
      <c r="H112" s="23"/>
      <c r="I112" s="87">
        <v>45659</v>
      </c>
      <c r="J112" s="87">
        <v>45660</v>
      </c>
      <c r="K112" s="87">
        <v>45666</v>
      </c>
      <c r="L112" s="25" t="s">
        <v>104</v>
      </c>
      <c r="M112" s="23"/>
      <c r="N112" s="25"/>
    </row>
    <row r="113" spans="1:14" s="24" customFormat="1" ht="76.5" x14ac:dyDescent="0.2">
      <c r="A113" s="80" t="s">
        <v>141</v>
      </c>
      <c r="B113" s="21" t="str">
        <f>VLOOKUP(TestCase!A113,'Scenario Test'!$A$5:$B$135,2,0)</f>
        <v>DPT_APPROVE_MODIFY: Approve modify deposit account</v>
      </c>
      <c r="C113" s="20" t="s">
        <v>479</v>
      </c>
      <c r="D113" s="20" t="s">
        <v>431</v>
      </c>
      <c r="E113" s="84" t="s">
        <v>572</v>
      </c>
      <c r="F113" s="85" t="s">
        <v>573</v>
      </c>
      <c r="G113" s="22" t="s">
        <v>10</v>
      </c>
      <c r="H113" s="23"/>
      <c r="I113" s="87">
        <v>45659</v>
      </c>
      <c r="J113" s="87">
        <v>45660</v>
      </c>
      <c r="K113" s="87">
        <v>45666</v>
      </c>
      <c r="L113" s="25" t="s">
        <v>104</v>
      </c>
      <c r="M113" s="23"/>
      <c r="N113" s="25"/>
    </row>
    <row r="114" spans="1:14" s="24" customFormat="1" ht="76.5" x14ac:dyDescent="0.2">
      <c r="A114" s="80" t="s">
        <v>141</v>
      </c>
      <c r="B114" s="21" t="str">
        <f>VLOOKUP(TestCase!A114,'Scenario Test'!$A$5:$B$135,2,0)</f>
        <v>DPT_APPROVE_MODIFY: Approve modify deposit account</v>
      </c>
      <c r="C114" s="20" t="s">
        <v>480</v>
      </c>
      <c r="D114" s="20" t="s">
        <v>432</v>
      </c>
      <c r="E114" s="84" t="s">
        <v>571</v>
      </c>
      <c r="F114" s="85" t="s">
        <v>573</v>
      </c>
      <c r="G114" s="22" t="s">
        <v>10</v>
      </c>
      <c r="H114" s="23"/>
      <c r="I114" s="87">
        <v>45659</v>
      </c>
      <c r="J114" s="87">
        <v>45660</v>
      </c>
      <c r="K114" s="87">
        <v>45666</v>
      </c>
      <c r="L114" s="25" t="s">
        <v>104</v>
      </c>
      <c r="M114" s="23"/>
      <c r="N114" s="25"/>
    </row>
    <row r="115" spans="1:14" s="24" customFormat="1" ht="89.25" x14ac:dyDescent="0.2">
      <c r="A115" s="80" t="s">
        <v>141</v>
      </c>
      <c r="B115" s="21" t="str">
        <f>VLOOKUP(TestCase!A115,'Scenario Test'!$A$5:$B$135,2,0)</f>
        <v>DPT_APPROVE_MODIFY: Approve modify deposit account</v>
      </c>
      <c r="C115" s="20" t="s">
        <v>481</v>
      </c>
      <c r="D115" s="20" t="s">
        <v>433</v>
      </c>
      <c r="E115" s="84" t="s">
        <v>558</v>
      </c>
      <c r="F115" s="85" t="s">
        <v>569</v>
      </c>
      <c r="G115" s="22" t="s">
        <v>10</v>
      </c>
      <c r="H115" s="23"/>
      <c r="I115" s="87">
        <v>45659</v>
      </c>
      <c r="J115" s="87">
        <v>45660</v>
      </c>
      <c r="K115" s="87">
        <v>45666</v>
      </c>
      <c r="L115" s="25" t="s">
        <v>104</v>
      </c>
      <c r="M115" s="23"/>
      <c r="N115" s="25"/>
    </row>
    <row r="116" spans="1:14" s="24" customFormat="1" ht="89.25" x14ac:dyDescent="0.2">
      <c r="A116" s="80" t="s">
        <v>141</v>
      </c>
      <c r="B116" s="21" t="str">
        <f>VLOOKUP(TestCase!A116,'Scenario Test'!$A$5:$B$135,2,0)</f>
        <v>DPT_APPROVE_MODIFY: Approve modify deposit account</v>
      </c>
      <c r="C116" s="20" t="s">
        <v>482</v>
      </c>
      <c r="D116" s="20" t="s">
        <v>436</v>
      </c>
      <c r="E116" s="84" t="s">
        <v>557</v>
      </c>
      <c r="F116" s="85" t="s">
        <v>569</v>
      </c>
      <c r="G116" s="22" t="s">
        <v>10</v>
      </c>
      <c r="H116" s="23"/>
      <c r="I116" s="87">
        <v>45659</v>
      </c>
      <c r="J116" s="87">
        <v>45660</v>
      </c>
      <c r="K116" s="87">
        <v>45666</v>
      </c>
      <c r="L116" s="25" t="s">
        <v>104</v>
      </c>
      <c r="M116" s="23"/>
      <c r="N116" s="25"/>
    </row>
    <row r="117" spans="1:14" s="24" customFormat="1" ht="89.25" x14ac:dyDescent="0.2">
      <c r="A117" s="80" t="s">
        <v>141</v>
      </c>
      <c r="B117" s="21" t="str">
        <f>VLOOKUP(TestCase!A117,'Scenario Test'!$A$5:$B$135,2,0)</f>
        <v>DPT_APPROVE_MODIFY: Approve modify deposit account</v>
      </c>
      <c r="C117" s="20" t="s">
        <v>483</v>
      </c>
      <c r="D117" s="20" t="s">
        <v>439</v>
      </c>
      <c r="E117" s="84" t="s">
        <v>560</v>
      </c>
      <c r="F117" s="85" t="s">
        <v>579</v>
      </c>
      <c r="G117" s="22" t="s">
        <v>10</v>
      </c>
      <c r="H117" s="23"/>
      <c r="I117" s="87">
        <v>45659</v>
      </c>
      <c r="J117" s="87">
        <v>45660</v>
      </c>
      <c r="K117" s="87">
        <v>45666</v>
      </c>
      <c r="L117" s="25" t="s">
        <v>104</v>
      </c>
      <c r="M117" s="23"/>
      <c r="N117" s="25"/>
    </row>
    <row r="118" spans="1:14" s="24" customFormat="1" ht="89.25" x14ac:dyDescent="0.2">
      <c r="A118" s="80" t="s">
        <v>141</v>
      </c>
      <c r="B118" s="21" t="str">
        <f>VLOOKUP(TestCase!A118,'Scenario Test'!$A$5:$B$135,2,0)</f>
        <v>DPT_APPROVE_MODIFY: Approve modify deposit account</v>
      </c>
      <c r="C118" s="20" t="s">
        <v>484</v>
      </c>
      <c r="D118" s="20" t="s">
        <v>440</v>
      </c>
      <c r="E118" s="84" t="s">
        <v>413</v>
      </c>
      <c r="F118" s="85" t="s">
        <v>579</v>
      </c>
      <c r="G118" s="22" t="s">
        <v>10</v>
      </c>
      <c r="H118" s="23"/>
      <c r="I118" s="87">
        <v>45659</v>
      </c>
      <c r="J118" s="87">
        <v>45660</v>
      </c>
      <c r="K118" s="87">
        <v>45666</v>
      </c>
      <c r="L118" s="25" t="s">
        <v>104</v>
      </c>
      <c r="M118" s="23"/>
      <c r="N118" s="25"/>
    </row>
    <row r="119" spans="1:14" s="24" customFormat="1" ht="89.25" x14ac:dyDescent="0.2">
      <c r="A119" s="80" t="s">
        <v>141</v>
      </c>
      <c r="B119" s="21" t="str">
        <f>VLOOKUP(TestCase!A119,'Scenario Test'!$A$5:$B$135,2,0)</f>
        <v>DPT_APPROVE_MODIFY: Approve modify deposit account</v>
      </c>
      <c r="C119" s="20" t="s">
        <v>485</v>
      </c>
      <c r="D119" s="20" t="s">
        <v>441</v>
      </c>
      <c r="E119" s="84" t="s">
        <v>414</v>
      </c>
      <c r="F119" s="85" t="s">
        <v>579</v>
      </c>
      <c r="G119" s="22" t="s">
        <v>10</v>
      </c>
      <c r="H119" s="23"/>
      <c r="I119" s="87">
        <v>45659</v>
      </c>
      <c r="J119" s="87">
        <v>45660</v>
      </c>
      <c r="K119" s="87">
        <v>45666</v>
      </c>
      <c r="L119" s="25" t="s">
        <v>104</v>
      </c>
      <c r="M119" s="23"/>
      <c r="N119" s="25"/>
    </row>
    <row r="120" spans="1:14" s="24" customFormat="1" ht="38.25" x14ac:dyDescent="0.2">
      <c r="A120" s="80" t="s">
        <v>141</v>
      </c>
      <c r="B120" s="21" t="str">
        <f>VLOOKUP(TestCase!A120,'Scenario Test'!$A$5:$B$135,2,0)</f>
        <v>DPT_APPROVE_MODIFY: Approve modify deposit account</v>
      </c>
      <c r="C120" s="20" t="s">
        <v>486</v>
      </c>
      <c r="D120" s="20" t="s">
        <v>443</v>
      </c>
      <c r="E120" s="84" t="s">
        <v>415</v>
      </c>
      <c r="F120" s="85" t="s">
        <v>581</v>
      </c>
      <c r="G120" s="22" t="s">
        <v>10</v>
      </c>
      <c r="H120" s="23"/>
      <c r="I120" s="87">
        <v>45659</v>
      </c>
      <c r="J120" s="87">
        <v>45660</v>
      </c>
      <c r="K120" s="87">
        <v>45666</v>
      </c>
      <c r="L120" s="25" t="s">
        <v>104</v>
      </c>
      <c r="M120" s="23"/>
      <c r="N120" s="25"/>
    </row>
    <row r="121" spans="1:14" s="24" customFormat="1" ht="38.25" x14ac:dyDescent="0.2">
      <c r="A121" s="80" t="s">
        <v>141</v>
      </c>
      <c r="B121" s="21" t="str">
        <f>VLOOKUP(TestCase!A121,'Scenario Test'!$A$5:$B$135,2,0)</f>
        <v>DPT_APPROVE_MODIFY: Approve modify deposit account</v>
      </c>
      <c r="C121" s="20" t="s">
        <v>487</v>
      </c>
      <c r="D121" s="20" t="s">
        <v>444</v>
      </c>
      <c r="E121" s="84" t="s">
        <v>409</v>
      </c>
      <c r="F121" s="85" t="s">
        <v>581</v>
      </c>
      <c r="G121" s="22" t="s">
        <v>10</v>
      </c>
      <c r="H121" s="23"/>
      <c r="I121" s="87">
        <v>45659</v>
      </c>
      <c r="J121" s="87">
        <v>45660</v>
      </c>
      <c r="K121" s="87">
        <v>45666</v>
      </c>
      <c r="L121" s="25" t="s">
        <v>104</v>
      </c>
      <c r="M121" s="23"/>
      <c r="N121" s="25"/>
    </row>
    <row r="122" spans="1:14" s="24" customFormat="1" ht="38.25" x14ac:dyDescent="0.2">
      <c r="A122" s="80" t="s">
        <v>141</v>
      </c>
      <c r="B122" s="21" t="str">
        <f>VLOOKUP(TestCase!A122,'Scenario Test'!$A$5:$B$135,2,0)</f>
        <v>DPT_APPROVE_MODIFY: Approve modify deposit account</v>
      </c>
      <c r="C122" s="20" t="s">
        <v>488</v>
      </c>
      <c r="D122" s="20" t="s">
        <v>445</v>
      </c>
      <c r="E122" s="84" t="s">
        <v>410</v>
      </c>
      <c r="F122" s="85" t="s">
        <v>581</v>
      </c>
      <c r="G122" s="22" t="s">
        <v>10</v>
      </c>
      <c r="H122" s="23"/>
      <c r="I122" s="87">
        <v>45659</v>
      </c>
      <c r="J122" s="87">
        <v>45660</v>
      </c>
      <c r="K122" s="87">
        <v>45666</v>
      </c>
      <c r="L122" s="25" t="s">
        <v>104</v>
      </c>
      <c r="M122" s="23"/>
      <c r="N122" s="25"/>
    </row>
    <row r="123" spans="1:14" s="24" customFormat="1" ht="38.25" x14ac:dyDescent="0.2">
      <c r="A123" s="80" t="s">
        <v>141</v>
      </c>
      <c r="B123" s="21" t="str">
        <f>VLOOKUP(TestCase!A123,'Scenario Test'!$A$5:$B$135,2,0)</f>
        <v>DPT_APPROVE_MODIFY: Approve modify deposit account</v>
      </c>
      <c r="C123" s="20" t="s">
        <v>489</v>
      </c>
      <c r="D123" s="20" t="s">
        <v>446</v>
      </c>
      <c r="E123" s="84" t="s">
        <v>403</v>
      </c>
      <c r="F123" s="85" t="s">
        <v>582</v>
      </c>
      <c r="G123" s="22" t="s">
        <v>10</v>
      </c>
      <c r="H123" s="23"/>
      <c r="I123" s="87">
        <v>45659</v>
      </c>
      <c r="J123" s="87">
        <v>45666</v>
      </c>
      <c r="K123" s="87"/>
      <c r="L123" s="25" t="s">
        <v>104</v>
      </c>
      <c r="M123" s="23"/>
      <c r="N123" s="25"/>
    </row>
    <row r="124" spans="1:14" s="24" customFormat="1" ht="38.25" x14ac:dyDescent="0.2">
      <c r="A124" s="80" t="s">
        <v>141</v>
      </c>
      <c r="B124" s="21" t="str">
        <f>VLOOKUP(TestCase!A124,'Scenario Test'!$A$5:$B$135,2,0)</f>
        <v>DPT_APPROVE_MODIFY: Approve modify deposit account</v>
      </c>
      <c r="C124" s="20" t="s">
        <v>490</v>
      </c>
      <c r="D124" s="20" t="s">
        <v>447</v>
      </c>
      <c r="E124" s="84" t="s">
        <v>404</v>
      </c>
      <c r="F124" s="85" t="s">
        <v>582</v>
      </c>
      <c r="G124" s="22" t="s">
        <v>10</v>
      </c>
      <c r="H124" s="23"/>
      <c r="I124" s="87">
        <v>45659</v>
      </c>
      <c r="J124" s="87">
        <v>45666</v>
      </c>
      <c r="K124" s="87"/>
      <c r="L124" s="25" t="s">
        <v>104</v>
      </c>
      <c r="M124" s="23"/>
      <c r="N124" s="25"/>
    </row>
    <row r="125" spans="1:14" s="24" customFormat="1" ht="38.25" x14ac:dyDescent="0.2">
      <c r="A125" s="80" t="s">
        <v>141</v>
      </c>
      <c r="B125" s="21" t="str">
        <f>VLOOKUP(TestCase!A125,'Scenario Test'!$A$5:$B$135,2,0)</f>
        <v>DPT_APPROVE_MODIFY: Approve modify deposit account</v>
      </c>
      <c r="C125" s="20" t="s">
        <v>491</v>
      </c>
      <c r="D125" s="20" t="s">
        <v>448</v>
      </c>
      <c r="E125" s="84" t="s">
        <v>405</v>
      </c>
      <c r="F125" s="85" t="s">
        <v>582</v>
      </c>
      <c r="G125" s="22" t="s">
        <v>10</v>
      </c>
      <c r="H125" s="23"/>
      <c r="I125" s="87">
        <v>45659</v>
      </c>
      <c r="J125" s="87">
        <v>45666</v>
      </c>
      <c r="K125" s="87"/>
      <c r="L125" s="25" t="s">
        <v>104</v>
      </c>
      <c r="M125" s="23"/>
      <c r="N125" s="25"/>
    </row>
    <row r="126" spans="1:14" s="24" customFormat="1" ht="38.25" x14ac:dyDescent="0.2">
      <c r="A126" s="80" t="s">
        <v>141</v>
      </c>
      <c r="B126" s="21" t="str">
        <f>VLOOKUP(TestCase!A126,'Scenario Test'!$A$5:$B$135,2,0)</f>
        <v>DPT_APPROVE_MODIFY: Approve modify deposit account</v>
      </c>
      <c r="C126" s="20" t="s">
        <v>492</v>
      </c>
      <c r="D126" s="20" t="s">
        <v>449</v>
      </c>
      <c r="E126" s="84" t="s">
        <v>383</v>
      </c>
      <c r="F126" s="85" t="s">
        <v>389</v>
      </c>
      <c r="G126" s="22" t="s">
        <v>10</v>
      </c>
      <c r="H126" s="23"/>
      <c r="I126" s="87">
        <v>45659</v>
      </c>
      <c r="J126" s="87">
        <v>45666</v>
      </c>
      <c r="K126" s="87"/>
      <c r="L126" s="25" t="s">
        <v>104</v>
      </c>
      <c r="M126" s="23"/>
      <c r="N126" s="25"/>
    </row>
    <row r="127" spans="1:14" s="24" customFormat="1" ht="38.25" x14ac:dyDescent="0.2">
      <c r="A127" s="80" t="s">
        <v>141</v>
      </c>
      <c r="B127" s="21" t="str">
        <f>VLOOKUP(TestCase!A127,'Scenario Test'!$A$5:$B$135,2,0)</f>
        <v>DPT_APPROVE_MODIFY: Approve modify deposit account</v>
      </c>
      <c r="C127" s="20" t="s">
        <v>493</v>
      </c>
      <c r="D127" s="20" t="s">
        <v>450</v>
      </c>
      <c r="E127" s="84" t="s">
        <v>388</v>
      </c>
      <c r="F127" s="85" t="s">
        <v>389</v>
      </c>
      <c r="G127" s="22" t="s">
        <v>10</v>
      </c>
      <c r="H127" s="23"/>
      <c r="I127" s="87">
        <v>45659</v>
      </c>
      <c r="J127" s="87">
        <v>45666</v>
      </c>
      <c r="K127" s="87"/>
      <c r="L127" s="25" t="s">
        <v>104</v>
      </c>
      <c r="M127" s="23"/>
      <c r="N127" s="25"/>
    </row>
    <row r="128" spans="1:14" s="24" customFormat="1" ht="25.5" x14ac:dyDescent="0.2">
      <c r="A128" s="80" t="s">
        <v>141</v>
      </c>
      <c r="B128" s="21" t="str">
        <f>VLOOKUP(TestCase!A128,'Scenario Test'!$A$5:$B$135,2,0)</f>
        <v>DPT_APPROVE_MODIFY: Approve modify deposit account</v>
      </c>
      <c r="C128" s="20" t="s">
        <v>494</v>
      </c>
      <c r="D128" s="20" t="s">
        <v>451</v>
      </c>
      <c r="E128" s="84" t="s">
        <v>382</v>
      </c>
      <c r="F128" s="85" t="s">
        <v>389</v>
      </c>
      <c r="G128" s="22" t="s">
        <v>10</v>
      </c>
      <c r="H128" s="23"/>
      <c r="I128" s="87">
        <v>45659</v>
      </c>
      <c r="J128" s="87">
        <v>45666</v>
      </c>
      <c r="K128" s="87"/>
      <c r="L128" s="25" t="s">
        <v>104</v>
      </c>
      <c r="M128" s="23"/>
      <c r="N128" s="25"/>
    </row>
    <row r="129" spans="1:14" s="24" customFormat="1" ht="25.5" x14ac:dyDescent="0.2">
      <c r="A129" s="80" t="s">
        <v>141</v>
      </c>
      <c r="B129" s="21" t="str">
        <f>VLOOKUP(TestCase!A129,'Scenario Test'!$A$5:$B$135,2,0)</f>
        <v>DPT_APPROVE_MODIFY: Approve modify deposit account</v>
      </c>
      <c r="C129" s="20" t="s">
        <v>495</v>
      </c>
      <c r="D129" s="20" t="s">
        <v>452</v>
      </c>
      <c r="E129" s="84" t="s">
        <v>425</v>
      </c>
      <c r="F129" s="85" t="s">
        <v>389</v>
      </c>
      <c r="G129" s="22" t="s">
        <v>10</v>
      </c>
      <c r="H129" s="23"/>
      <c r="I129" s="87">
        <v>45659</v>
      </c>
      <c r="J129" s="87">
        <v>45666</v>
      </c>
      <c r="K129" s="87"/>
      <c r="L129" s="25" t="s">
        <v>104</v>
      </c>
      <c r="M129" s="23"/>
      <c r="N129" s="25"/>
    </row>
    <row r="130" spans="1:14" s="24" customFormat="1" ht="25.5" x14ac:dyDescent="0.2">
      <c r="A130" s="80" t="s">
        <v>141</v>
      </c>
      <c r="B130" s="21" t="str">
        <f>VLOOKUP(TestCase!A130,'Scenario Test'!$A$5:$B$135,2,0)</f>
        <v>DPT_APPROVE_MODIFY: Approve modify deposit account</v>
      </c>
      <c r="C130" s="20" t="s">
        <v>496</v>
      </c>
      <c r="D130" s="20" t="s">
        <v>453</v>
      </c>
      <c r="E130" s="84" t="s">
        <v>426</v>
      </c>
      <c r="F130" s="85" t="s">
        <v>389</v>
      </c>
      <c r="G130" s="22" t="s">
        <v>10</v>
      </c>
      <c r="H130" s="23"/>
      <c r="I130" s="87">
        <v>45659</v>
      </c>
      <c r="J130" s="87">
        <v>45666</v>
      </c>
      <c r="K130" s="87"/>
      <c r="L130" s="25" t="s">
        <v>104</v>
      </c>
      <c r="M130" s="23"/>
      <c r="N130" s="25"/>
    </row>
    <row r="131" spans="1:14" s="24" customFormat="1" ht="51" x14ac:dyDescent="0.2">
      <c r="A131" s="80" t="s">
        <v>141</v>
      </c>
      <c r="B131" s="21" t="str">
        <f>VLOOKUP(TestCase!A131,'Scenario Test'!$A$5:$B$135,2,0)</f>
        <v>DPT_APPROVE_MODIFY: Approve modify deposit account</v>
      </c>
      <c r="C131" s="20" t="s">
        <v>497</v>
      </c>
      <c r="D131" s="20" t="s">
        <v>454</v>
      </c>
      <c r="E131" s="84" t="s">
        <v>385</v>
      </c>
      <c r="F131" s="85" t="s">
        <v>389</v>
      </c>
      <c r="G131" s="22" t="s">
        <v>10</v>
      </c>
      <c r="H131" s="23"/>
      <c r="I131" s="87">
        <v>45659</v>
      </c>
      <c r="J131" s="87">
        <v>45666</v>
      </c>
      <c r="K131" s="87"/>
      <c r="L131" s="25" t="s">
        <v>104</v>
      </c>
      <c r="M131" s="23"/>
      <c r="N131" s="25"/>
    </row>
    <row r="132" spans="1:14" s="24" customFormat="1" ht="51" x14ac:dyDescent="0.2">
      <c r="A132" s="80" t="s">
        <v>141</v>
      </c>
      <c r="B132" s="21" t="str">
        <f>VLOOKUP(TestCase!A132,'Scenario Test'!$A$5:$B$135,2,0)</f>
        <v>DPT_APPROVE_MODIFY: Approve modify deposit account</v>
      </c>
      <c r="C132" s="20" t="s">
        <v>498</v>
      </c>
      <c r="D132" s="20" t="s">
        <v>455</v>
      </c>
      <c r="E132" s="84" t="s">
        <v>384</v>
      </c>
      <c r="F132" s="85" t="s">
        <v>389</v>
      </c>
      <c r="G132" s="22" t="s">
        <v>10</v>
      </c>
      <c r="H132" s="23"/>
      <c r="I132" s="87">
        <v>45659</v>
      </c>
      <c r="J132" s="87">
        <v>45666</v>
      </c>
      <c r="K132" s="87"/>
      <c r="L132" s="25" t="s">
        <v>104</v>
      </c>
      <c r="M132" s="23"/>
      <c r="N132" s="25"/>
    </row>
    <row r="133" spans="1:14" s="24" customFormat="1" ht="63.75" x14ac:dyDescent="0.2">
      <c r="A133" s="80" t="s">
        <v>141</v>
      </c>
      <c r="B133" s="21" t="str">
        <f>VLOOKUP(TestCase!A133,'Scenario Test'!$A$5:$B$135,2,0)</f>
        <v>DPT_APPROVE_MODIFY: Approve modify deposit account</v>
      </c>
      <c r="C133" s="20" t="s">
        <v>499</v>
      </c>
      <c r="D133" s="20" t="s">
        <v>456</v>
      </c>
      <c r="E133" s="84" t="s">
        <v>387</v>
      </c>
      <c r="F133" s="85" t="s">
        <v>389</v>
      </c>
      <c r="G133" s="22" t="s">
        <v>10</v>
      </c>
      <c r="H133" s="23"/>
      <c r="I133" s="87">
        <v>45659</v>
      </c>
      <c r="J133" s="87">
        <v>45660</v>
      </c>
      <c r="K133" s="87"/>
      <c r="L133" s="25" t="s">
        <v>104</v>
      </c>
      <c r="M133" s="23"/>
      <c r="N133" s="25"/>
    </row>
    <row r="134" spans="1:14" s="24" customFormat="1" ht="38.25" x14ac:dyDescent="0.2">
      <c r="A134" s="80" t="s">
        <v>141</v>
      </c>
      <c r="B134" s="21" t="str">
        <f>VLOOKUP(TestCase!A134,'Scenario Test'!$A$5:$B$135,2,0)</f>
        <v>DPT_APPROVE_MODIFY: Approve modify deposit account</v>
      </c>
      <c r="C134" s="20" t="s">
        <v>500</v>
      </c>
      <c r="D134" s="20" t="s">
        <v>457</v>
      </c>
      <c r="E134" s="84" t="s">
        <v>418</v>
      </c>
      <c r="F134" s="85" t="s">
        <v>389</v>
      </c>
      <c r="G134" s="22" t="s">
        <v>10</v>
      </c>
      <c r="H134" s="23"/>
      <c r="I134" s="87">
        <v>45659</v>
      </c>
      <c r="J134" s="87">
        <v>45666</v>
      </c>
      <c r="K134" s="87"/>
      <c r="L134" s="25" t="s">
        <v>104</v>
      </c>
      <c r="M134" s="23"/>
      <c r="N134" s="25"/>
    </row>
    <row r="135" spans="1:14" s="24" customFormat="1" ht="38.25" x14ac:dyDescent="0.2">
      <c r="A135" s="80" t="s">
        <v>141</v>
      </c>
      <c r="B135" s="21" t="str">
        <f>VLOOKUP(TestCase!A135,'Scenario Test'!$A$5:$B$135,2,0)</f>
        <v>DPT_APPROVE_MODIFY: Approve modify deposit account</v>
      </c>
      <c r="C135" s="20" t="s">
        <v>501</v>
      </c>
      <c r="D135" s="20" t="s">
        <v>458</v>
      </c>
      <c r="E135" s="84" t="s">
        <v>419</v>
      </c>
      <c r="F135" s="85" t="s">
        <v>389</v>
      </c>
      <c r="G135" s="22" t="s">
        <v>10</v>
      </c>
      <c r="H135" s="23"/>
      <c r="I135" s="87">
        <v>45659</v>
      </c>
      <c r="J135" s="87">
        <v>45666</v>
      </c>
      <c r="K135" s="87"/>
      <c r="L135" s="25" t="s">
        <v>104</v>
      </c>
      <c r="M135" s="23"/>
      <c r="N135" s="25"/>
    </row>
    <row r="136" spans="1:14" s="24" customFormat="1" ht="38.25" x14ac:dyDescent="0.2">
      <c r="A136" s="80" t="s">
        <v>141</v>
      </c>
      <c r="B136" s="21" t="str">
        <f>VLOOKUP(TestCase!A136,'Scenario Test'!$A$5:$B$135,2,0)</f>
        <v>DPT_APPROVE_MODIFY: Approve modify deposit account</v>
      </c>
      <c r="C136" s="20" t="s">
        <v>502</v>
      </c>
      <c r="D136" s="20" t="s">
        <v>459</v>
      </c>
      <c r="E136" s="84" t="s">
        <v>420</v>
      </c>
      <c r="F136" s="85" t="s">
        <v>389</v>
      </c>
      <c r="G136" s="22" t="s">
        <v>10</v>
      </c>
      <c r="H136" s="23"/>
      <c r="I136" s="87">
        <v>45659</v>
      </c>
      <c r="J136" s="87">
        <v>45666</v>
      </c>
      <c r="K136" s="87"/>
      <c r="L136" s="25" t="s">
        <v>104</v>
      </c>
      <c r="M136" s="23"/>
      <c r="N136" s="25"/>
    </row>
    <row r="137" spans="1:14" s="24" customFormat="1" ht="63.75" x14ac:dyDescent="0.2">
      <c r="A137" s="80" t="s">
        <v>141</v>
      </c>
      <c r="B137" s="21" t="str">
        <f>VLOOKUP(TestCase!A137,'Scenario Test'!$A$5:$B$135,2,0)</f>
        <v>DPT_APPROVE_MODIFY: Approve modify deposit account</v>
      </c>
      <c r="C137" s="20" t="s">
        <v>503</v>
      </c>
      <c r="D137" s="20" t="s">
        <v>461</v>
      </c>
      <c r="E137" s="84" t="s">
        <v>422</v>
      </c>
      <c r="F137" s="85" t="s">
        <v>389</v>
      </c>
      <c r="G137" s="22" t="s">
        <v>10</v>
      </c>
      <c r="H137" s="23"/>
      <c r="I137" s="87">
        <v>45659</v>
      </c>
      <c r="J137" s="87">
        <v>45666</v>
      </c>
      <c r="K137" s="87"/>
      <c r="L137" s="25" t="s">
        <v>104</v>
      </c>
      <c r="M137" s="23"/>
      <c r="N137" s="25"/>
    </row>
    <row r="138" spans="1:14" s="24" customFormat="1" ht="51" x14ac:dyDescent="0.2">
      <c r="A138" s="80" t="s">
        <v>141</v>
      </c>
      <c r="B138" s="21" t="str">
        <f>VLOOKUP(TestCase!A138,'Scenario Test'!$A$5:$B$135,2,0)</f>
        <v>DPT_APPROVE_MODIFY: Approve modify deposit account</v>
      </c>
      <c r="C138" s="20" t="s">
        <v>504</v>
      </c>
      <c r="D138" s="20" t="s">
        <v>462</v>
      </c>
      <c r="E138" s="84" t="s">
        <v>423</v>
      </c>
      <c r="F138" s="85" t="s">
        <v>389</v>
      </c>
      <c r="G138" s="22" t="s">
        <v>10</v>
      </c>
      <c r="H138" s="23"/>
      <c r="I138" s="87">
        <v>45659</v>
      </c>
      <c r="J138" s="87">
        <v>45666</v>
      </c>
      <c r="K138" s="87"/>
      <c r="L138" s="25" t="s">
        <v>104</v>
      </c>
      <c r="M138" s="23"/>
      <c r="N138" s="25"/>
    </row>
    <row r="139" spans="1:14" s="24" customFormat="1" ht="51" x14ac:dyDescent="0.2">
      <c r="A139" s="80" t="s">
        <v>141</v>
      </c>
      <c r="B139" s="21" t="str">
        <f>VLOOKUP(TestCase!A139,'Scenario Test'!$A$5:$B$135,2,0)</f>
        <v>DPT_APPROVE_MODIFY: Approve modify deposit account</v>
      </c>
      <c r="C139" s="20" t="s">
        <v>505</v>
      </c>
      <c r="D139" s="20" t="s">
        <v>463</v>
      </c>
      <c r="E139" s="84" t="s">
        <v>424</v>
      </c>
      <c r="F139" s="85" t="s">
        <v>389</v>
      </c>
      <c r="G139" s="22" t="s">
        <v>10</v>
      </c>
      <c r="H139" s="23"/>
      <c r="I139" s="87">
        <v>45659</v>
      </c>
      <c r="J139" s="87">
        <v>45666</v>
      </c>
      <c r="K139" s="87"/>
      <c r="L139" s="25" t="s">
        <v>104</v>
      </c>
      <c r="M139" s="23"/>
      <c r="N139" s="25"/>
    </row>
    <row r="140" spans="1:14" s="24" customFormat="1" ht="38.25" x14ac:dyDescent="0.2">
      <c r="A140" s="80" t="s">
        <v>141</v>
      </c>
      <c r="B140" s="21" t="str">
        <f>VLOOKUP(TestCase!A140,'Scenario Test'!$A$5:$B$135,2,0)</f>
        <v>DPT_APPROVE_MODIFY: Approve modify deposit account</v>
      </c>
      <c r="C140" s="20" t="s">
        <v>506</v>
      </c>
      <c r="D140" s="20" t="s">
        <v>464</v>
      </c>
      <c r="E140" s="84" t="s">
        <v>421</v>
      </c>
      <c r="F140" s="85" t="s">
        <v>389</v>
      </c>
      <c r="G140" s="22" t="s">
        <v>10</v>
      </c>
      <c r="H140" s="23"/>
      <c r="I140" s="87">
        <v>45659</v>
      </c>
      <c r="J140" s="87">
        <v>45666</v>
      </c>
      <c r="K140" s="87"/>
      <c r="L140" s="25" t="s">
        <v>104</v>
      </c>
      <c r="M140" s="23"/>
      <c r="N140" s="25"/>
    </row>
    <row r="141" spans="1:14" s="24" customFormat="1" ht="38.25" x14ac:dyDescent="0.2">
      <c r="A141" s="80" t="s">
        <v>141</v>
      </c>
      <c r="B141" s="21" t="str">
        <f>VLOOKUP(TestCase!A141,'Scenario Test'!$A$5:$B$135,2,0)</f>
        <v>DPT_APPROVE_MODIFY: Approve modify deposit account</v>
      </c>
      <c r="C141" s="20" t="s">
        <v>507</v>
      </c>
      <c r="D141" s="20" t="s">
        <v>465</v>
      </c>
      <c r="E141" s="84" t="s">
        <v>427</v>
      </c>
      <c r="F141" s="85" t="s">
        <v>389</v>
      </c>
      <c r="G141" s="22" t="s">
        <v>10</v>
      </c>
      <c r="H141" s="23"/>
      <c r="I141" s="87">
        <v>45659</v>
      </c>
      <c r="J141" s="87">
        <v>45666</v>
      </c>
      <c r="K141" s="87"/>
      <c r="L141" s="25" t="s">
        <v>104</v>
      </c>
      <c r="M141" s="23"/>
      <c r="N141" s="25"/>
    </row>
    <row r="142" spans="1:14" s="24" customFormat="1" ht="25.5" x14ac:dyDescent="0.2">
      <c r="A142" s="80" t="s">
        <v>141</v>
      </c>
      <c r="B142" s="21" t="str">
        <f>VLOOKUP(TestCase!A142,'Scenario Test'!$A$5:$B$135,2,0)</f>
        <v>DPT_APPROVE_MODIFY: Approve modify deposit account</v>
      </c>
      <c r="C142" s="20" t="s">
        <v>508</v>
      </c>
      <c r="D142" s="20" t="s">
        <v>577</v>
      </c>
      <c r="E142" s="84" t="s">
        <v>417</v>
      </c>
      <c r="F142" s="85" t="s">
        <v>389</v>
      </c>
      <c r="G142" s="22" t="s">
        <v>10</v>
      </c>
      <c r="H142" s="23"/>
      <c r="I142" s="87">
        <v>45659</v>
      </c>
      <c r="J142" s="87">
        <v>45666</v>
      </c>
      <c r="K142" s="87"/>
      <c r="L142" s="25" t="s">
        <v>104</v>
      </c>
      <c r="M142" s="23"/>
      <c r="N142" s="25"/>
    </row>
    <row r="143" spans="1:14" s="24" customFormat="1" ht="38.25" x14ac:dyDescent="0.2">
      <c r="A143" s="80" t="s">
        <v>141</v>
      </c>
      <c r="B143" s="21" t="str">
        <f>VLOOKUP(TestCase!A143,'Scenario Test'!$A$5:$B$135,2,0)</f>
        <v>DPT_APPROVE_MODIFY: Approve modify deposit account</v>
      </c>
      <c r="C143" s="20" t="s">
        <v>586</v>
      </c>
      <c r="D143" s="20"/>
      <c r="E143" s="84" t="s">
        <v>587</v>
      </c>
      <c r="F143" s="126" t="s">
        <v>588</v>
      </c>
      <c r="G143" s="22" t="s">
        <v>10</v>
      </c>
      <c r="H143" s="23"/>
      <c r="I143" s="87">
        <v>45659</v>
      </c>
      <c r="J143" s="87">
        <v>45666</v>
      </c>
      <c r="K143" s="87"/>
      <c r="L143" s="25" t="s">
        <v>104</v>
      </c>
      <c r="M143" s="23"/>
      <c r="N143" s="25"/>
    </row>
    <row r="144" spans="1:14" x14ac:dyDescent="0.2">
      <c r="A144" s="53" t="s">
        <v>142</v>
      </c>
      <c r="B144" s="54" t="str">
        <f>VLOOKUP(TestCase!A144,'Scenario Test'!$A$5:$B$135,2,0)</f>
        <v>DPT_DELETE_ACCOUNTLINKAGE: Delete account linkage</v>
      </c>
      <c r="C144" s="53"/>
      <c r="D144" s="53"/>
      <c r="E144" s="53"/>
      <c r="F144" s="53"/>
      <c r="G144" s="55"/>
      <c r="H144" s="54"/>
      <c r="I144" s="55"/>
      <c r="J144" s="55"/>
      <c r="K144" s="55"/>
      <c r="L144" s="54"/>
      <c r="M144" s="54"/>
      <c r="N144" s="54"/>
    </row>
    <row r="145" spans="1:14" s="24" customFormat="1" ht="38.25" x14ac:dyDescent="0.2">
      <c r="A145" s="80" t="s">
        <v>142</v>
      </c>
      <c r="B145" s="21" t="str">
        <f>VLOOKUP(TestCase!A145,'Scenario Test'!$A$5:$B$135,2,0)</f>
        <v>DPT_DELETE_ACCOUNTLINKAGE: Delete account linkage</v>
      </c>
      <c r="C145" s="20" t="s">
        <v>198</v>
      </c>
      <c r="D145" s="20"/>
      <c r="E145" s="84" t="s">
        <v>256</v>
      </c>
      <c r="F145" s="85" t="s">
        <v>260</v>
      </c>
      <c r="G145" s="22" t="s">
        <v>10</v>
      </c>
      <c r="H145" s="23"/>
      <c r="I145" s="87">
        <v>45659</v>
      </c>
      <c r="J145" s="87">
        <v>45659</v>
      </c>
      <c r="K145" s="87">
        <v>45663</v>
      </c>
      <c r="L145" s="25" t="s">
        <v>104</v>
      </c>
      <c r="M145" s="23"/>
      <c r="N145" s="25"/>
    </row>
    <row r="146" spans="1:14" s="24" customFormat="1" ht="38.25" x14ac:dyDescent="0.2">
      <c r="A146" s="80" t="s">
        <v>142</v>
      </c>
      <c r="B146" s="21" t="str">
        <f>VLOOKUP(TestCase!A146,'Scenario Test'!$A$5:$B$135,2,0)</f>
        <v>DPT_DELETE_ACCOUNTLINKAGE: Delete account linkage</v>
      </c>
      <c r="C146" s="20" t="s">
        <v>199</v>
      </c>
      <c r="D146" s="20"/>
      <c r="E146" s="84" t="s">
        <v>257</v>
      </c>
      <c r="F146" s="85" t="s">
        <v>261</v>
      </c>
      <c r="G146" s="22" t="s">
        <v>10</v>
      </c>
      <c r="H146" s="23"/>
      <c r="I146" s="87">
        <v>45659</v>
      </c>
      <c r="J146" s="87">
        <v>45659</v>
      </c>
      <c r="K146" s="87">
        <v>45663</v>
      </c>
      <c r="L146" s="25" t="s">
        <v>104</v>
      </c>
      <c r="M146" s="23"/>
      <c r="N146" s="25"/>
    </row>
    <row r="147" spans="1:14" s="24" customFormat="1" ht="38.25" x14ac:dyDescent="0.2">
      <c r="A147" s="80" t="s">
        <v>142</v>
      </c>
      <c r="B147" s="21" t="str">
        <f>VLOOKUP(TestCase!A147,'Scenario Test'!$A$5:$B$135,2,0)</f>
        <v>DPT_DELETE_ACCOUNTLINKAGE: Delete account linkage</v>
      </c>
      <c r="C147" s="20" t="s">
        <v>200</v>
      </c>
      <c r="D147" s="20"/>
      <c r="E147" s="84" t="s">
        <v>259</v>
      </c>
      <c r="F147" s="85" t="s">
        <v>262</v>
      </c>
      <c r="G147" s="22" t="s">
        <v>10</v>
      </c>
      <c r="H147" s="23"/>
      <c r="I147" s="87">
        <v>45659</v>
      </c>
      <c r="J147" s="87">
        <v>45659</v>
      </c>
      <c r="K147" s="87">
        <v>45663</v>
      </c>
      <c r="L147" s="25" t="s">
        <v>104</v>
      </c>
      <c r="M147" s="23"/>
      <c r="N147" s="25"/>
    </row>
    <row r="148" spans="1:14" s="24" customFormat="1" ht="38.25" x14ac:dyDescent="0.2">
      <c r="A148" s="80" t="s">
        <v>142</v>
      </c>
      <c r="B148" s="21" t="str">
        <f>VLOOKUP(TestCase!A148,'Scenario Test'!$A$5:$B$135,2,0)</f>
        <v>DPT_DELETE_ACCOUNTLINKAGE: Delete account linkage</v>
      </c>
      <c r="C148" s="20" t="s">
        <v>201</v>
      </c>
      <c r="D148" s="20"/>
      <c r="E148" s="84" t="s">
        <v>258</v>
      </c>
      <c r="F148" s="85" t="s">
        <v>263</v>
      </c>
      <c r="G148" s="22" t="s">
        <v>10</v>
      </c>
      <c r="H148" s="23"/>
      <c r="I148" s="87">
        <v>45659</v>
      </c>
      <c r="J148" s="87">
        <v>45659</v>
      </c>
      <c r="K148" s="87">
        <v>45663</v>
      </c>
      <c r="L148" s="25" t="s">
        <v>104</v>
      </c>
      <c r="M148" s="23"/>
      <c r="N148" s="25"/>
    </row>
    <row r="149" spans="1:14" s="24" customFormat="1" ht="25.5" x14ac:dyDescent="0.2">
      <c r="A149" s="80" t="s">
        <v>142</v>
      </c>
      <c r="B149" s="21" t="str">
        <f>VLOOKUP(TestCase!A149,'Scenario Test'!$A$5:$B$135,2,0)</f>
        <v>DPT_DELETE_ACCOUNTLINKAGE: Delete account linkage</v>
      </c>
      <c r="C149" s="20" t="s">
        <v>265</v>
      </c>
      <c r="D149" s="20"/>
      <c r="E149" s="84" t="s">
        <v>259</v>
      </c>
      <c r="F149" s="85" t="s">
        <v>264</v>
      </c>
      <c r="G149" s="22" t="s">
        <v>10</v>
      </c>
      <c r="H149" s="23"/>
      <c r="I149" s="87">
        <v>45659</v>
      </c>
      <c r="J149" s="87">
        <v>45659</v>
      </c>
      <c r="K149" s="87">
        <v>45663</v>
      </c>
      <c r="L149" s="25" t="s">
        <v>104</v>
      </c>
      <c r="M149" s="23"/>
      <c r="N149" s="25"/>
    </row>
    <row r="150" spans="1:14" x14ac:dyDescent="0.2">
      <c r="A150" s="53" t="s">
        <v>130</v>
      </c>
      <c r="B150" s="54" t="str">
        <f>VLOOKUP(TestCase!A150,'Scenario Test'!$A$5:$B$135,2,0)</f>
        <v>ADM_REFRESH_BRANCH: Refresh bank</v>
      </c>
      <c r="C150" s="53"/>
      <c r="D150" s="53"/>
      <c r="E150" s="53"/>
      <c r="F150" s="53"/>
      <c r="G150" s="55"/>
      <c r="H150" s="54"/>
      <c r="I150" s="55"/>
      <c r="J150" s="55"/>
      <c r="K150" s="55"/>
      <c r="L150" s="54"/>
      <c r="M150" s="54"/>
      <c r="N150" s="54"/>
    </row>
    <row r="151" spans="1:14" s="24" customFormat="1" ht="89.25" x14ac:dyDescent="0.2">
      <c r="A151" s="80" t="s">
        <v>130</v>
      </c>
      <c r="B151" s="21" t="str">
        <f>VLOOKUP(TestCase!A151,'Scenario Test'!$A$5:$B$135,2,0)</f>
        <v>ADM_REFRESH_BRANCH: Refresh bank</v>
      </c>
      <c r="C151" s="20" t="s">
        <v>202</v>
      </c>
      <c r="D151" s="20"/>
      <c r="E151" s="84" t="s">
        <v>266</v>
      </c>
      <c r="F151" s="85" t="s">
        <v>269</v>
      </c>
      <c r="G151" s="22" t="s">
        <v>10</v>
      </c>
      <c r="H151" s="23"/>
      <c r="I151" s="87">
        <v>45659</v>
      </c>
      <c r="J151" s="87">
        <v>45659</v>
      </c>
      <c r="K151" s="87">
        <v>45663</v>
      </c>
      <c r="L151" s="25" t="s">
        <v>104</v>
      </c>
      <c r="M151" s="23"/>
      <c r="N151" s="25"/>
    </row>
    <row r="152" spans="1:14" x14ac:dyDescent="0.2">
      <c r="A152" s="53" t="s">
        <v>131</v>
      </c>
      <c r="B152" s="54" t="str">
        <f>VLOOKUP(TestCase!A152,'Scenario Test'!$A$5:$B$135,2,0)</f>
        <v>ADM_REFRESH_BRANCH_BY_USER: Refresh branch</v>
      </c>
      <c r="C152" s="53"/>
      <c r="D152" s="53"/>
      <c r="E152" s="53"/>
      <c r="F152" s="53"/>
      <c r="G152" s="55"/>
      <c r="H152" s="54"/>
      <c r="I152" s="55"/>
      <c r="J152" s="55"/>
      <c r="K152" s="55"/>
      <c r="L152" s="54"/>
      <c r="M152" s="54"/>
      <c r="N152" s="54"/>
    </row>
    <row r="153" spans="1:14" s="24" customFormat="1" ht="89.25" x14ac:dyDescent="0.2">
      <c r="A153" s="80" t="s">
        <v>131</v>
      </c>
      <c r="B153" s="21" t="str">
        <f>VLOOKUP(TestCase!A153,'Scenario Test'!$A$5:$B$135,2,0)</f>
        <v>ADM_REFRESH_BRANCH_BY_USER: Refresh branch</v>
      </c>
      <c r="C153" s="20" t="s">
        <v>205</v>
      </c>
      <c r="D153" s="20"/>
      <c r="E153" s="84" t="s">
        <v>267</v>
      </c>
      <c r="F153" s="85" t="s">
        <v>268</v>
      </c>
      <c r="G153" s="22" t="s">
        <v>10</v>
      </c>
      <c r="H153" s="23"/>
      <c r="I153" s="87">
        <v>45659</v>
      </c>
      <c r="J153" s="87">
        <v>45659</v>
      </c>
      <c r="K153" s="87">
        <v>45663</v>
      </c>
      <c r="L153" s="25" t="s">
        <v>104</v>
      </c>
      <c r="M153" s="23"/>
      <c r="N153" s="25"/>
    </row>
    <row r="154" spans="1:14" x14ac:dyDescent="0.2">
      <c r="A154" s="53" t="s">
        <v>132</v>
      </c>
      <c r="B154" s="54" t="str">
        <f>VLOOKUP(TestCase!A154,'Scenario Test'!$A$5:$B$135,2,0)</f>
        <v>ADM_CLOSE_BRANCH: Close branch</v>
      </c>
      <c r="C154" s="53"/>
      <c r="D154" s="53"/>
      <c r="E154" s="53"/>
      <c r="F154" s="53"/>
      <c r="G154" s="55"/>
      <c r="H154" s="54"/>
      <c r="I154" s="55"/>
      <c r="J154" s="55"/>
      <c r="K154" s="55"/>
      <c r="L154" s="54"/>
      <c r="M154" s="54"/>
      <c r="N154" s="54"/>
    </row>
    <row r="155" spans="1:14" s="24" customFormat="1" ht="38.25" x14ac:dyDescent="0.2">
      <c r="A155" s="80" t="s">
        <v>132</v>
      </c>
      <c r="B155" s="21" t="str">
        <f>VLOOKUP(TestCase!A155,'Scenario Test'!$A$5:$B$135,2,0)</f>
        <v>ADM_CLOSE_BRANCH: Close branch</v>
      </c>
      <c r="C155" s="20" t="s">
        <v>206</v>
      </c>
      <c r="D155" s="20"/>
      <c r="E155" s="84" t="s">
        <v>273</v>
      </c>
      <c r="F155" s="85" t="s">
        <v>270</v>
      </c>
      <c r="G155" s="22" t="s">
        <v>10</v>
      </c>
      <c r="H155" s="23"/>
      <c r="I155" s="87">
        <v>45659</v>
      </c>
      <c r="J155" s="87">
        <v>45659</v>
      </c>
      <c r="K155" s="87">
        <v>45663</v>
      </c>
      <c r="L155" s="25" t="s">
        <v>104</v>
      </c>
      <c r="M155" s="23"/>
      <c r="N155" s="25"/>
    </row>
    <row r="156" spans="1:14" s="24" customFormat="1" ht="38.25" x14ac:dyDescent="0.2">
      <c r="A156" s="80" t="s">
        <v>132</v>
      </c>
      <c r="B156" s="21" t="str">
        <f>VLOOKUP(TestCase!A156,'Scenario Test'!$A$5:$B$135,2,0)</f>
        <v>ADM_CLOSE_BRANCH: Close branch</v>
      </c>
      <c r="C156" s="20" t="s">
        <v>207</v>
      </c>
      <c r="D156" s="20"/>
      <c r="E156" s="84" t="s">
        <v>272</v>
      </c>
      <c r="F156" s="85" t="s">
        <v>270</v>
      </c>
      <c r="G156" s="22" t="s">
        <v>10</v>
      </c>
      <c r="H156" s="23"/>
      <c r="I156" s="87">
        <v>45659</v>
      </c>
      <c r="J156" s="87">
        <v>45659</v>
      </c>
      <c r="K156" s="87">
        <v>45663</v>
      </c>
      <c r="L156" s="25" t="s">
        <v>104</v>
      </c>
      <c r="M156" s="23"/>
      <c r="N156" s="25"/>
    </row>
    <row r="157" spans="1:14" s="24" customFormat="1" ht="38.25" x14ac:dyDescent="0.2">
      <c r="A157" s="80" t="s">
        <v>132</v>
      </c>
      <c r="B157" s="21" t="str">
        <f>VLOOKUP(TestCase!A157,'Scenario Test'!$A$5:$B$135,2,0)</f>
        <v>ADM_CLOSE_BRANCH: Close branch</v>
      </c>
      <c r="C157" s="20" t="s">
        <v>206</v>
      </c>
      <c r="D157" s="20"/>
      <c r="E157" s="84" t="s">
        <v>273</v>
      </c>
      <c r="F157" s="85" t="s">
        <v>279</v>
      </c>
      <c r="G157" s="22" t="s">
        <v>10</v>
      </c>
      <c r="H157" s="23"/>
      <c r="I157" s="87">
        <v>45659</v>
      </c>
      <c r="J157" s="87">
        <v>45659</v>
      </c>
      <c r="K157" s="87">
        <v>45663</v>
      </c>
      <c r="L157" s="25" t="s">
        <v>104</v>
      </c>
      <c r="M157" s="23"/>
      <c r="N157" s="25"/>
    </row>
    <row r="158" spans="1:14" s="24" customFormat="1" ht="38.25" x14ac:dyDescent="0.2">
      <c r="A158" s="80" t="s">
        <v>132</v>
      </c>
      <c r="B158" s="21" t="str">
        <f>VLOOKUP(TestCase!A158,'Scenario Test'!$A$5:$B$135,2,0)</f>
        <v>ADM_CLOSE_BRANCH: Close branch</v>
      </c>
      <c r="C158" s="20" t="s">
        <v>207</v>
      </c>
      <c r="D158" s="20"/>
      <c r="E158" s="84" t="s">
        <v>272</v>
      </c>
      <c r="F158" s="85" t="s">
        <v>279</v>
      </c>
      <c r="G158" s="22" t="s">
        <v>10</v>
      </c>
      <c r="H158" s="23"/>
      <c r="I158" s="87">
        <v>45659</v>
      </c>
      <c r="J158" s="87">
        <v>45659</v>
      </c>
      <c r="K158" s="87">
        <v>45663</v>
      </c>
      <c r="L158" s="25" t="s">
        <v>104</v>
      </c>
      <c r="M158" s="23"/>
      <c r="N158" s="25"/>
    </row>
    <row r="159" spans="1:14" s="24" customFormat="1" ht="267.75" x14ac:dyDescent="0.2">
      <c r="A159" s="80" t="s">
        <v>132</v>
      </c>
      <c r="B159" s="21" t="str">
        <f>VLOOKUP(TestCase!A159,'Scenario Test'!$A$5:$B$135,2,0)</f>
        <v>ADM_CLOSE_BRANCH: Close branch</v>
      </c>
      <c r="C159" s="20" t="s">
        <v>203</v>
      </c>
      <c r="D159" s="20"/>
      <c r="E159" s="84" t="s">
        <v>276</v>
      </c>
      <c r="F159" s="85" t="s">
        <v>280</v>
      </c>
      <c r="G159" s="22" t="s">
        <v>10</v>
      </c>
      <c r="H159" s="23"/>
      <c r="I159" s="87">
        <v>45659</v>
      </c>
      <c r="J159" s="87">
        <v>45659</v>
      </c>
      <c r="K159" s="87">
        <v>45663</v>
      </c>
      <c r="L159" s="25" t="s">
        <v>104</v>
      </c>
      <c r="M159" s="23"/>
      <c r="N159" s="25"/>
    </row>
    <row r="160" spans="1:14" s="24" customFormat="1" ht="267.75" x14ac:dyDescent="0.2">
      <c r="A160" s="80" t="s">
        <v>132</v>
      </c>
      <c r="B160" s="21" t="str">
        <f>VLOOKUP(TestCase!A160,'Scenario Test'!$A$5:$B$135,2,0)</f>
        <v>ADM_CLOSE_BRANCH: Close branch</v>
      </c>
      <c r="C160" s="20" t="s">
        <v>208</v>
      </c>
      <c r="D160" s="20"/>
      <c r="E160" s="84" t="s">
        <v>277</v>
      </c>
      <c r="F160" s="85" t="s">
        <v>280</v>
      </c>
      <c r="G160" s="22" t="s">
        <v>10</v>
      </c>
      <c r="H160" s="23"/>
      <c r="I160" s="87">
        <v>45659</v>
      </c>
      <c r="J160" s="87">
        <v>45659</v>
      </c>
      <c r="K160" s="87">
        <v>45663</v>
      </c>
      <c r="L160" s="25" t="s">
        <v>104</v>
      </c>
      <c r="M160" s="23"/>
      <c r="N160" s="25"/>
    </row>
    <row r="161" spans="1:14" x14ac:dyDescent="0.2">
      <c r="A161" s="53" t="s">
        <v>133</v>
      </c>
      <c r="B161" s="54" t="str">
        <f>VLOOKUP(TestCase!A161,'Scenario Test'!$A$5:$B$135,2,0)</f>
        <v>ADM_OPEN_BRANCH: Open branch</v>
      </c>
      <c r="C161" s="53"/>
      <c r="D161" s="53"/>
      <c r="E161" s="53"/>
      <c r="F161" s="53"/>
      <c r="G161" s="55"/>
      <c r="H161" s="54"/>
      <c r="I161" s="55"/>
      <c r="J161" s="55"/>
      <c r="K161" s="55"/>
      <c r="L161" s="54"/>
      <c r="M161" s="54"/>
      <c r="N161" s="54"/>
    </row>
    <row r="162" spans="1:14" s="24" customFormat="1" ht="38.25" x14ac:dyDescent="0.2">
      <c r="A162" s="80" t="s">
        <v>133</v>
      </c>
      <c r="B162" s="21" t="str">
        <f>VLOOKUP(TestCase!A162,'Scenario Test'!$A$5:$B$135,2,0)</f>
        <v>ADM_OPEN_BRANCH: Open branch</v>
      </c>
      <c r="C162" s="20" t="s">
        <v>209</v>
      </c>
      <c r="D162" s="20"/>
      <c r="E162" s="84" t="s">
        <v>271</v>
      </c>
      <c r="F162" s="85" t="s">
        <v>275</v>
      </c>
      <c r="G162" s="22" t="s">
        <v>10</v>
      </c>
      <c r="H162" s="23"/>
      <c r="I162" s="87">
        <v>45659</v>
      </c>
      <c r="J162" s="87">
        <v>45659</v>
      </c>
      <c r="K162" s="87">
        <v>45663</v>
      </c>
      <c r="L162" s="25" t="s">
        <v>104</v>
      </c>
      <c r="M162" s="23"/>
      <c r="N162" s="25"/>
    </row>
    <row r="163" spans="1:14" s="24" customFormat="1" ht="25.5" x14ac:dyDescent="0.2">
      <c r="A163" s="80" t="s">
        <v>133</v>
      </c>
      <c r="B163" s="21" t="str">
        <f>VLOOKUP(TestCase!A163,'Scenario Test'!$A$5:$B$135,2,0)</f>
        <v>ADM_OPEN_BRANCH: Open branch</v>
      </c>
      <c r="C163" s="20" t="s">
        <v>210</v>
      </c>
      <c r="D163" s="20"/>
      <c r="E163" s="84" t="s">
        <v>274</v>
      </c>
      <c r="F163" s="85" t="s">
        <v>275</v>
      </c>
      <c r="G163" s="22" t="s">
        <v>10</v>
      </c>
      <c r="H163" s="23"/>
      <c r="I163" s="87">
        <v>45659</v>
      </c>
      <c r="J163" s="87">
        <v>45659</v>
      </c>
      <c r="K163" s="87">
        <v>45663</v>
      </c>
      <c r="L163" s="25" t="s">
        <v>104</v>
      </c>
      <c r="M163" s="23"/>
      <c r="N163" s="25"/>
    </row>
    <row r="164" spans="1:14" s="24" customFormat="1" ht="38.25" x14ac:dyDescent="0.2">
      <c r="A164" s="80" t="s">
        <v>133</v>
      </c>
      <c r="B164" s="21" t="str">
        <f>VLOOKUP(TestCase!A164,'Scenario Test'!$A$5:$B$135,2,0)</f>
        <v>ADM_OPEN_BRANCH: Open branch</v>
      </c>
      <c r="C164" s="20" t="s">
        <v>211</v>
      </c>
      <c r="D164" s="20"/>
      <c r="E164" s="84" t="s">
        <v>271</v>
      </c>
      <c r="F164" s="85" t="s">
        <v>278</v>
      </c>
      <c r="G164" s="22" t="s">
        <v>10</v>
      </c>
      <c r="H164" s="23"/>
      <c r="I164" s="87">
        <v>45659</v>
      </c>
      <c r="J164" s="87">
        <v>45659</v>
      </c>
      <c r="K164" s="87">
        <v>45663</v>
      </c>
      <c r="L164" s="25" t="s">
        <v>104</v>
      </c>
      <c r="M164" s="23"/>
      <c r="N164" s="25"/>
    </row>
    <row r="165" spans="1:14" s="24" customFormat="1" ht="25.5" x14ac:dyDescent="0.2">
      <c r="A165" s="80" t="s">
        <v>133</v>
      </c>
      <c r="B165" s="21" t="str">
        <f>VLOOKUP(TestCase!A165,'Scenario Test'!$A$5:$B$135,2,0)</f>
        <v>ADM_OPEN_BRANCH: Open branch</v>
      </c>
      <c r="C165" s="20" t="s">
        <v>204</v>
      </c>
      <c r="D165" s="20"/>
      <c r="E165" s="84" t="s">
        <v>274</v>
      </c>
      <c r="F165" s="85" t="s">
        <v>278</v>
      </c>
      <c r="G165" s="22" t="s">
        <v>10</v>
      </c>
      <c r="H165" s="23"/>
      <c r="I165" s="87">
        <v>45659</v>
      </c>
      <c r="J165" s="87">
        <v>45659</v>
      </c>
      <c r="K165" s="87">
        <v>45663</v>
      </c>
      <c r="L165" s="25" t="s">
        <v>104</v>
      </c>
      <c r="M165" s="23"/>
      <c r="N165" s="25"/>
    </row>
    <row r="166" spans="1:14" x14ac:dyDescent="0.2">
      <c r="A166" s="53" t="s">
        <v>134</v>
      </c>
      <c r="B166" s="54" t="str">
        <f>VLOOKUP(TestCase!A166,'Scenario Test'!$A$5:$B$135,2,0)</f>
        <v>ADM_ADVANCED_SEARCH_ROLE_OF_USER: Role Profile - User - Assignment</v>
      </c>
      <c r="C166" s="53"/>
      <c r="D166" s="53"/>
      <c r="E166" s="53"/>
      <c r="F166" s="53"/>
      <c r="G166" s="55"/>
      <c r="H166" s="54"/>
      <c r="I166" s="55"/>
      <c r="J166" s="55"/>
      <c r="K166" s="55"/>
      <c r="L166" s="54"/>
      <c r="M166" s="54"/>
      <c r="N166" s="54"/>
    </row>
    <row r="167" spans="1:14" s="24" customFormat="1" ht="25.5" x14ac:dyDescent="0.2">
      <c r="A167" s="80" t="s">
        <v>134</v>
      </c>
      <c r="B167" s="21" t="str">
        <f>VLOOKUP(TestCase!A167,'Scenario Test'!$A$5:$B$135,2,0)</f>
        <v>ADM_ADVANCED_SEARCH_ROLE_OF_USER: Role Profile - User - Assignment</v>
      </c>
      <c r="C167" s="20" t="s">
        <v>212</v>
      </c>
      <c r="D167" s="20"/>
      <c r="E167" s="84" t="s">
        <v>316</v>
      </c>
      <c r="F167" s="85" t="s">
        <v>317</v>
      </c>
      <c r="G167" s="22" t="s">
        <v>10</v>
      </c>
      <c r="H167" s="23"/>
      <c r="I167" s="87">
        <v>45659</v>
      </c>
      <c r="J167" s="87">
        <v>45659</v>
      </c>
      <c r="K167" s="87">
        <v>45663</v>
      </c>
      <c r="L167" s="25" t="s">
        <v>104</v>
      </c>
      <c r="M167" s="23"/>
      <c r="N167" s="25"/>
    </row>
    <row r="168" spans="1:14" s="24" customFormat="1" ht="38.25" x14ac:dyDescent="0.2">
      <c r="A168" s="80" t="s">
        <v>134</v>
      </c>
      <c r="B168" s="21" t="str">
        <f>VLOOKUP(TestCase!A168,'Scenario Test'!$A$5:$B$135,2,0)</f>
        <v>ADM_ADVANCED_SEARCH_ROLE_OF_USER: Role Profile - User - Assignment</v>
      </c>
      <c r="C168" s="20" t="s">
        <v>213</v>
      </c>
      <c r="D168" s="20"/>
      <c r="E168" s="84" t="s">
        <v>355</v>
      </c>
      <c r="F168" s="85" t="s">
        <v>317</v>
      </c>
      <c r="G168" s="22" t="s">
        <v>10</v>
      </c>
      <c r="H168" s="23"/>
      <c r="I168" s="87">
        <v>45659</v>
      </c>
      <c r="J168" s="87">
        <v>45659</v>
      </c>
      <c r="K168" s="87">
        <v>45663</v>
      </c>
      <c r="L168" s="25" t="s">
        <v>104</v>
      </c>
      <c r="M168" s="23"/>
      <c r="N168" s="25"/>
    </row>
    <row r="169" spans="1:14" s="24" customFormat="1" ht="38.25" x14ac:dyDescent="0.2">
      <c r="A169" s="80" t="s">
        <v>134</v>
      </c>
      <c r="B169" s="21" t="str">
        <f>VLOOKUP(TestCase!A169,'Scenario Test'!$A$5:$B$135,2,0)</f>
        <v>ADM_ADVANCED_SEARCH_ROLE_OF_USER: Role Profile - User - Assignment</v>
      </c>
      <c r="C169" s="20" t="s">
        <v>214</v>
      </c>
      <c r="D169" s="20"/>
      <c r="E169" s="84" t="s">
        <v>318</v>
      </c>
      <c r="F169" s="85" t="s">
        <v>317</v>
      </c>
      <c r="G169" s="22" t="s">
        <v>10</v>
      </c>
      <c r="H169" s="23"/>
      <c r="I169" s="87">
        <v>45659</v>
      </c>
      <c r="J169" s="87">
        <v>45659</v>
      </c>
      <c r="K169" s="87">
        <v>45663</v>
      </c>
      <c r="L169" s="25" t="s">
        <v>104</v>
      </c>
      <c r="M169" s="23"/>
      <c r="N169" s="25"/>
    </row>
    <row r="170" spans="1:14" x14ac:dyDescent="0.2">
      <c r="A170" s="53" t="s">
        <v>135</v>
      </c>
      <c r="B170" s="54" t="str">
        <f>VLOOKUP(TestCase!A170,'Scenario Test'!$A$5:$B$135,2,0)</f>
        <v>ADM_SIMPLE_SEARCH_USER_ACCOUNT: Search common user profile</v>
      </c>
      <c r="C170" s="53"/>
      <c r="D170" s="53"/>
      <c r="E170" s="53"/>
      <c r="F170" s="53"/>
      <c r="G170" s="55"/>
      <c r="H170" s="54"/>
      <c r="I170" s="55"/>
      <c r="J170" s="55"/>
      <c r="K170" s="55"/>
      <c r="L170" s="54"/>
      <c r="M170" s="54"/>
      <c r="N170" s="54"/>
    </row>
    <row r="171" spans="1:14" s="24" customFormat="1" ht="25.5" x14ac:dyDescent="0.2">
      <c r="A171" s="80" t="s">
        <v>135</v>
      </c>
      <c r="B171" s="21" t="str">
        <f>VLOOKUP(TestCase!A171,'Scenario Test'!$A$5:$B$135,2,0)</f>
        <v>ADM_SIMPLE_SEARCH_USER_ACCOUNT: Search common user profile</v>
      </c>
      <c r="C171" s="20" t="s">
        <v>215</v>
      </c>
      <c r="D171" s="20"/>
      <c r="E171" s="84" t="s">
        <v>326</v>
      </c>
      <c r="F171" s="85" t="s">
        <v>328</v>
      </c>
      <c r="G171" s="22" t="s">
        <v>10</v>
      </c>
      <c r="H171" s="23"/>
      <c r="I171" s="87">
        <v>45659</v>
      </c>
      <c r="J171" s="87">
        <v>45659</v>
      </c>
      <c r="K171" s="87">
        <v>45660</v>
      </c>
      <c r="L171" s="25" t="s">
        <v>104</v>
      </c>
      <c r="M171" s="23"/>
      <c r="N171" s="25"/>
    </row>
    <row r="172" spans="1:14" s="24" customFormat="1" ht="89.25" x14ac:dyDescent="0.2">
      <c r="A172" s="80" t="s">
        <v>135</v>
      </c>
      <c r="B172" s="21" t="str">
        <f>VLOOKUP(TestCase!A172,'Scenario Test'!$A$5:$B$135,2,0)</f>
        <v>ADM_SIMPLE_SEARCH_USER_ACCOUNT: Search common user profile</v>
      </c>
      <c r="C172" s="20" t="s">
        <v>216</v>
      </c>
      <c r="D172" s="20"/>
      <c r="E172" s="84" t="s">
        <v>345</v>
      </c>
      <c r="F172" s="85" t="s">
        <v>328</v>
      </c>
      <c r="G172" s="22" t="s">
        <v>10</v>
      </c>
      <c r="H172" s="23"/>
      <c r="I172" s="87">
        <v>45659</v>
      </c>
      <c r="J172" s="87">
        <v>45659</v>
      </c>
      <c r="K172" s="87">
        <v>45660</v>
      </c>
      <c r="L172" s="25" t="s">
        <v>104</v>
      </c>
      <c r="M172" s="23"/>
      <c r="N172" s="25"/>
    </row>
    <row r="173" spans="1:14" s="24" customFormat="1" ht="89.25" x14ac:dyDescent="0.2">
      <c r="A173" s="80" t="s">
        <v>135</v>
      </c>
      <c r="B173" s="21" t="str">
        <f>VLOOKUP(TestCase!A173,'Scenario Test'!$A$5:$B$135,2,0)</f>
        <v>ADM_SIMPLE_SEARCH_USER_ACCOUNT: Search common user profile</v>
      </c>
      <c r="C173" s="20" t="s">
        <v>217</v>
      </c>
      <c r="D173" s="20"/>
      <c r="E173" s="84" t="s">
        <v>346</v>
      </c>
      <c r="F173" s="85" t="s">
        <v>328</v>
      </c>
      <c r="G173" s="22" t="s">
        <v>10</v>
      </c>
      <c r="H173" s="23"/>
      <c r="I173" s="87">
        <v>45659</v>
      </c>
      <c r="J173" s="87">
        <v>45659</v>
      </c>
      <c r="K173" s="87">
        <v>45660</v>
      </c>
      <c r="L173" s="25" t="s">
        <v>104</v>
      </c>
      <c r="M173" s="23"/>
      <c r="N173" s="25"/>
    </row>
    <row r="174" spans="1:14" s="24" customFormat="1" ht="25.5" x14ac:dyDescent="0.2">
      <c r="A174" s="80" t="s">
        <v>135</v>
      </c>
      <c r="B174" s="21" t="str">
        <f>VLOOKUP(TestCase!A174,'Scenario Test'!$A$5:$B$135,2,0)</f>
        <v>ADM_SIMPLE_SEARCH_USER_ACCOUNT: Search common user profile</v>
      </c>
      <c r="C174" s="20" t="s">
        <v>218</v>
      </c>
      <c r="D174" s="20"/>
      <c r="E174" s="84" t="s">
        <v>327</v>
      </c>
      <c r="F174" s="85" t="s">
        <v>63</v>
      </c>
      <c r="G174" s="22" t="s">
        <v>10</v>
      </c>
      <c r="H174" s="23"/>
      <c r="I174" s="87">
        <v>45659</v>
      </c>
      <c r="J174" s="87">
        <v>45659</v>
      </c>
      <c r="K174" s="87">
        <v>45660</v>
      </c>
      <c r="L174" s="25" t="s">
        <v>104</v>
      </c>
      <c r="M174" s="23"/>
      <c r="N174" s="25"/>
    </row>
    <row r="175" spans="1:14" x14ac:dyDescent="0.2">
      <c r="A175" s="53" t="s">
        <v>136</v>
      </c>
      <c r="B175" s="54" t="str">
        <f>VLOOKUP(TestCase!A175,'Scenario Test'!$A$5:$B$135,2,0)</f>
        <v>ADM_UPDATE_LIST_USER_RIGHT: Role Profile - Invoke - Approve</v>
      </c>
      <c r="C175" s="53"/>
      <c r="D175" s="53"/>
      <c r="E175" s="53"/>
      <c r="F175" s="53"/>
      <c r="G175" s="55"/>
      <c r="H175" s="54"/>
      <c r="I175" s="55"/>
      <c r="J175" s="55"/>
      <c r="K175" s="55"/>
      <c r="L175" s="54"/>
      <c r="M175" s="54"/>
      <c r="N175" s="54"/>
    </row>
    <row r="176" spans="1:14" s="24" customFormat="1" ht="25.5" x14ac:dyDescent="0.2">
      <c r="A176" s="80" t="s">
        <v>136</v>
      </c>
      <c r="B176" s="21" t="str">
        <f>VLOOKUP(TestCase!A176,'Scenario Test'!$A$5:$B$135,2,0)</f>
        <v>ADM_UPDATE_LIST_USER_RIGHT: Role Profile - Invoke - Approve</v>
      </c>
      <c r="C176" s="20" t="s">
        <v>219</v>
      </c>
      <c r="D176" s="20"/>
      <c r="E176" s="84" t="s">
        <v>354</v>
      </c>
      <c r="F176" s="85" t="s">
        <v>317</v>
      </c>
      <c r="G176" s="22" t="s">
        <v>10</v>
      </c>
      <c r="H176" s="23"/>
      <c r="I176" s="87">
        <v>45659</v>
      </c>
      <c r="J176" s="87">
        <v>45659</v>
      </c>
      <c r="K176" s="87">
        <v>45660</v>
      </c>
      <c r="L176" s="25" t="s">
        <v>104</v>
      </c>
      <c r="M176" s="23"/>
      <c r="N176" s="25"/>
    </row>
    <row r="177" spans="1:14" s="24" customFormat="1" ht="51" x14ac:dyDescent="0.2">
      <c r="A177" s="80" t="s">
        <v>136</v>
      </c>
      <c r="B177" s="21" t="str">
        <f>VLOOKUP(TestCase!A177,'Scenario Test'!$A$5:$B$135,2,0)</f>
        <v>ADM_UPDATE_LIST_USER_RIGHT: Role Profile - Invoke - Approve</v>
      </c>
      <c r="C177" s="20" t="s">
        <v>220</v>
      </c>
      <c r="D177" s="20"/>
      <c r="E177" s="84" t="s">
        <v>357</v>
      </c>
      <c r="F177" s="85" t="s">
        <v>317</v>
      </c>
      <c r="G177" s="22" t="s">
        <v>10</v>
      </c>
      <c r="H177" s="23"/>
      <c r="I177" s="87">
        <v>45659</v>
      </c>
      <c r="J177" s="87">
        <v>45659</v>
      </c>
      <c r="K177" s="87">
        <v>45660</v>
      </c>
      <c r="L177" s="25" t="s">
        <v>104</v>
      </c>
      <c r="M177" s="23"/>
      <c r="N177" s="25"/>
    </row>
    <row r="178" spans="1:14" s="24" customFormat="1" ht="51" x14ac:dyDescent="0.2">
      <c r="A178" s="80" t="s">
        <v>136</v>
      </c>
      <c r="B178" s="21" t="str">
        <f>VLOOKUP(TestCase!A178,'Scenario Test'!$A$5:$B$135,2,0)</f>
        <v>ADM_UPDATE_LIST_USER_RIGHT: Role Profile - Invoke - Approve</v>
      </c>
      <c r="C178" s="20" t="s">
        <v>221</v>
      </c>
      <c r="D178" s="20"/>
      <c r="E178" s="84" t="s">
        <v>358</v>
      </c>
      <c r="F178" s="85" t="s">
        <v>317</v>
      </c>
      <c r="G178" s="22" t="s">
        <v>10</v>
      </c>
      <c r="H178" s="23"/>
      <c r="I178" s="87">
        <v>45659</v>
      </c>
      <c r="J178" s="87">
        <v>45659</v>
      </c>
      <c r="K178" s="87">
        <v>45660</v>
      </c>
      <c r="L178" s="25" t="s">
        <v>104</v>
      </c>
      <c r="M178" s="23"/>
      <c r="N178" s="25"/>
    </row>
    <row r="179" spans="1:14" s="24" customFormat="1" ht="63.75" x14ac:dyDescent="0.2">
      <c r="A179" s="80" t="s">
        <v>136</v>
      </c>
      <c r="B179" s="21" t="str">
        <f>VLOOKUP(TestCase!A179,'Scenario Test'!$A$5:$B$135,2,0)</f>
        <v>ADM_UPDATE_LIST_USER_RIGHT: Role Profile - Invoke - Approve</v>
      </c>
      <c r="C179" s="20" t="s">
        <v>222</v>
      </c>
      <c r="D179" s="20"/>
      <c r="E179" s="84" t="s">
        <v>359</v>
      </c>
      <c r="F179" s="85" t="s">
        <v>356</v>
      </c>
      <c r="G179" s="22" t="s">
        <v>10</v>
      </c>
      <c r="H179" s="23"/>
      <c r="I179" s="87">
        <v>45659</v>
      </c>
      <c r="J179" s="87">
        <v>45659</v>
      </c>
      <c r="K179" s="87">
        <v>45660</v>
      </c>
      <c r="L179" s="25" t="s">
        <v>104</v>
      </c>
      <c r="M179" s="23"/>
      <c r="N179" s="25"/>
    </row>
    <row r="180" spans="1:14" s="24" customFormat="1" ht="63.75" x14ac:dyDescent="0.2">
      <c r="A180" s="80" t="s">
        <v>136</v>
      </c>
      <c r="B180" s="21" t="str">
        <f>VLOOKUP(TestCase!A180,'Scenario Test'!$A$5:$B$135,2,0)</f>
        <v>ADM_UPDATE_LIST_USER_RIGHT: Role Profile - Invoke - Approve</v>
      </c>
      <c r="C180" s="20" t="s">
        <v>314</v>
      </c>
      <c r="D180" s="20"/>
      <c r="E180" s="84" t="s">
        <v>360</v>
      </c>
      <c r="F180" s="85" t="s">
        <v>356</v>
      </c>
      <c r="G180" s="22" t="s">
        <v>10</v>
      </c>
      <c r="H180" s="23"/>
      <c r="I180" s="87">
        <v>45659</v>
      </c>
      <c r="J180" s="87">
        <v>45659</v>
      </c>
      <c r="K180" s="87">
        <v>45660</v>
      </c>
      <c r="L180" s="25" t="s">
        <v>104</v>
      </c>
      <c r="M180" s="23"/>
      <c r="N180" s="25"/>
    </row>
    <row r="181" spans="1:14" s="24" customFormat="1" ht="63.75" x14ac:dyDescent="0.2">
      <c r="A181" s="80" t="s">
        <v>136</v>
      </c>
      <c r="B181" s="21" t="str">
        <f>VLOOKUP(TestCase!A181,'Scenario Test'!$A$5:$B$135,2,0)</f>
        <v>ADM_UPDATE_LIST_USER_RIGHT: Role Profile - Invoke - Approve</v>
      </c>
      <c r="C181" s="20" t="s">
        <v>315</v>
      </c>
      <c r="D181" s="20"/>
      <c r="E181" s="84" t="s">
        <v>362</v>
      </c>
      <c r="F181" s="85" t="s">
        <v>363</v>
      </c>
      <c r="G181" s="22" t="s">
        <v>10</v>
      </c>
      <c r="H181" s="23"/>
      <c r="I181" s="87">
        <v>45659</v>
      </c>
      <c r="J181" s="87">
        <v>45659</v>
      </c>
      <c r="K181" s="87">
        <v>45660</v>
      </c>
      <c r="L181" s="25" t="s">
        <v>104</v>
      </c>
      <c r="M181" s="23"/>
      <c r="N181" s="25"/>
    </row>
    <row r="182" spans="1:14" s="24" customFormat="1" ht="63.75" x14ac:dyDescent="0.2">
      <c r="A182" s="80" t="s">
        <v>136</v>
      </c>
      <c r="B182" s="21" t="str">
        <f>VLOOKUP(TestCase!A182,'Scenario Test'!$A$5:$B$135,2,0)</f>
        <v>ADM_UPDATE_LIST_USER_RIGHT: Role Profile - Invoke - Approve</v>
      </c>
      <c r="C182" s="20" t="s">
        <v>364</v>
      </c>
      <c r="D182" s="20"/>
      <c r="E182" s="84" t="s">
        <v>361</v>
      </c>
      <c r="F182" s="85" t="s">
        <v>363</v>
      </c>
      <c r="G182" s="22" t="s">
        <v>10</v>
      </c>
      <c r="H182" s="23"/>
      <c r="I182" s="87">
        <v>45659</v>
      </c>
      <c r="J182" s="87">
        <v>45659</v>
      </c>
      <c r="K182" s="87">
        <v>45660</v>
      </c>
      <c r="L182" s="25" t="s">
        <v>104</v>
      </c>
      <c r="M182" s="23"/>
      <c r="N182" s="25"/>
    </row>
    <row r="183" spans="1:14" x14ac:dyDescent="0.2">
      <c r="A183" s="53" t="s">
        <v>137</v>
      </c>
      <c r="B183" s="54" t="str">
        <f>VLOOKUP(TestCase!A183,'Scenario Test'!$A$5:$B$135,2,0)</f>
        <v>SQL_SIMPLE_SEARCH_TRANSACTION_JOURNAL: Search common F8</v>
      </c>
      <c r="C183" s="53"/>
      <c r="D183" s="53"/>
      <c r="E183" s="53"/>
      <c r="F183" s="53"/>
      <c r="G183" s="55"/>
      <c r="H183" s="54"/>
      <c r="I183" s="55"/>
      <c r="J183" s="55"/>
      <c r="K183" s="55"/>
      <c r="L183" s="54"/>
      <c r="M183" s="54"/>
      <c r="N183" s="54"/>
    </row>
    <row r="184" spans="1:14" s="24" customFormat="1" ht="38.25" x14ac:dyDescent="0.2">
      <c r="A184" s="80" t="s">
        <v>137</v>
      </c>
      <c r="B184" s="21" t="str">
        <f>VLOOKUP(TestCase!A184,'Scenario Test'!$A$5:$B$135,2,0)</f>
        <v>SQL_SIMPLE_SEARCH_TRANSACTION_JOURNAL: Search common F8</v>
      </c>
      <c r="C184" s="20" t="s">
        <v>223</v>
      </c>
      <c r="D184" s="20"/>
      <c r="E184" s="84" t="s">
        <v>335</v>
      </c>
      <c r="F184" s="85" t="s">
        <v>328</v>
      </c>
      <c r="G184" s="22" t="s">
        <v>10</v>
      </c>
      <c r="H184" s="23"/>
      <c r="I184" s="87">
        <v>45659</v>
      </c>
      <c r="J184" s="87"/>
      <c r="K184" s="87"/>
      <c r="L184" s="25"/>
      <c r="M184" s="23"/>
      <c r="N184" s="25"/>
    </row>
    <row r="185" spans="1:14" s="24" customFormat="1" ht="102" x14ac:dyDescent="0.2">
      <c r="A185" s="80" t="s">
        <v>137</v>
      </c>
      <c r="B185" s="21" t="str">
        <f>VLOOKUP(TestCase!A185,'Scenario Test'!$A$5:$B$135,2,0)</f>
        <v>SQL_SIMPLE_SEARCH_TRANSACTION_JOURNAL: Search common F8</v>
      </c>
      <c r="C185" s="20" t="s">
        <v>224</v>
      </c>
      <c r="D185" s="20"/>
      <c r="E185" s="84" t="s">
        <v>336</v>
      </c>
      <c r="F185" s="85" t="s">
        <v>328</v>
      </c>
      <c r="G185" s="22" t="s">
        <v>10</v>
      </c>
      <c r="H185" s="23"/>
      <c r="I185" s="87">
        <v>45659</v>
      </c>
      <c r="J185" s="87"/>
      <c r="K185" s="87"/>
      <c r="L185" s="25"/>
      <c r="M185" s="23"/>
      <c r="N185" s="25"/>
    </row>
    <row r="186" spans="1:14" s="24" customFormat="1" ht="102" x14ac:dyDescent="0.2">
      <c r="A186" s="80" t="s">
        <v>137</v>
      </c>
      <c r="B186" s="21" t="str">
        <f>VLOOKUP(TestCase!A186,'Scenario Test'!$A$5:$B$135,2,0)</f>
        <v>SQL_SIMPLE_SEARCH_TRANSACTION_JOURNAL: Search common F8</v>
      </c>
      <c r="C186" s="20" t="s">
        <v>225</v>
      </c>
      <c r="D186" s="20"/>
      <c r="E186" s="84" t="s">
        <v>337</v>
      </c>
      <c r="F186" s="85" t="s">
        <v>328</v>
      </c>
      <c r="G186" s="22" t="s">
        <v>10</v>
      </c>
      <c r="H186" s="23"/>
      <c r="I186" s="87">
        <v>45659</v>
      </c>
      <c r="J186" s="87"/>
      <c r="K186" s="87"/>
      <c r="L186" s="25"/>
      <c r="M186" s="23"/>
      <c r="N186" s="25"/>
    </row>
    <row r="187" spans="1:14" s="24" customFormat="1" ht="25.5" x14ac:dyDescent="0.2">
      <c r="A187" s="80" t="s">
        <v>137</v>
      </c>
      <c r="B187" s="21" t="str">
        <f>VLOOKUP(TestCase!A187,'Scenario Test'!$A$5:$B$135,2,0)</f>
        <v>SQL_SIMPLE_SEARCH_TRANSACTION_JOURNAL: Search common F8</v>
      </c>
      <c r="C187" s="20" t="s">
        <v>226</v>
      </c>
      <c r="D187" s="20"/>
      <c r="E187" s="84" t="s">
        <v>308</v>
      </c>
      <c r="F187" s="85" t="s">
        <v>329</v>
      </c>
      <c r="G187" s="22" t="s">
        <v>10</v>
      </c>
      <c r="H187" s="23"/>
      <c r="I187" s="87">
        <v>45659</v>
      </c>
      <c r="J187" s="87"/>
      <c r="K187" s="87"/>
      <c r="L187" s="25"/>
      <c r="M187" s="23"/>
      <c r="N187" s="25"/>
    </row>
    <row r="188" spans="1:14" s="24" customFormat="1" ht="25.5" x14ac:dyDescent="0.2">
      <c r="A188" s="80" t="s">
        <v>137</v>
      </c>
      <c r="B188" s="21" t="str">
        <f>VLOOKUP(TestCase!A188,'Scenario Test'!$A$5:$B$135,2,0)</f>
        <v>SQL_SIMPLE_SEARCH_TRANSACTION_JOURNAL: Search common F8</v>
      </c>
      <c r="C188" s="20" t="s">
        <v>320</v>
      </c>
      <c r="D188" s="20"/>
      <c r="E188" s="84" t="s">
        <v>309</v>
      </c>
      <c r="F188" s="85" t="s">
        <v>330</v>
      </c>
      <c r="G188" s="22" t="s">
        <v>10</v>
      </c>
      <c r="H188" s="23"/>
      <c r="I188" s="87">
        <v>45659</v>
      </c>
      <c r="J188" s="87"/>
      <c r="K188" s="87"/>
      <c r="L188" s="25"/>
      <c r="M188" s="23"/>
      <c r="N188" s="25"/>
    </row>
    <row r="189" spans="1:14" s="24" customFormat="1" ht="25.5" x14ac:dyDescent="0.2">
      <c r="A189" s="80" t="s">
        <v>137</v>
      </c>
      <c r="B189" s="21" t="str">
        <f>VLOOKUP(TestCase!A189,'Scenario Test'!$A$5:$B$135,2,0)</f>
        <v>SQL_SIMPLE_SEARCH_TRANSACTION_JOURNAL: Search common F8</v>
      </c>
      <c r="C189" s="20" t="s">
        <v>321</v>
      </c>
      <c r="D189" s="20"/>
      <c r="E189" s="84" t="s">
        <v>310</v>
      </c>
      <c r="F189" s="85" t="s">
        <v>328</v>
      </c>
      <c r="G189" s="22" t="s">
        <v>10</v>
      </c>
      <c r="H189" s="23"/>
      <c r="I189" s="87">
        <v>45659</v>
      </c>
      <c r="J189" s="87"/>
      <c r="K189" s="87"/>
      <c r="L189" s="25"/>
      <c r="M189" s="23"/>
      <c r="N189" s="25"/>
    </row>
    <row r="190" spans="1:14" s="24" customFormat="1" ht="25.5" x14ac:dyDescent="0.2">
      <c r="A190" s="80" t="s">
        <v>137</v>
      </c>
      <c r="B190" s="21" t="str">
        <f>VLOOKUP(TestCase!A190,'Scenario Test'!$A$5:$B$135,2,0)</f>
        <v>SQL_SIMPLE_SEARCH_TRANSACTION_JOURNAL: Search common F8</v>
      </c>
      <c r="C190" s="20" t="s">
        <v>338</v>
      </c>
      <c r="D190" s="20"/>
      <c r="E190" s="84" t="s">
        <v>311</v>
      </c>
      <c r="F190" s="85" t="s">
        <v>312</v>
      </c>
      <c r="G190" s="22" t="s">
        <v>5</v>
      </c>
      <c r="H190" s="23"/>
      <c r="I190" s="87">
        <v>45659</v>
      </c>
      <c r="J190" s="87"/>
      <c r="K190" s="87"/>
      <c r="L190" s="25"/>
      <c r="M190" s="23"/>
      <c r="N190" s="25"/>
    </row>
    <row r="191" spans="1:14" s="24" customFormat="1" ht="25.5" x14ac:dyDescent="0.2">
      <c r="A191" s="80" t="s">
        <v>137</v>
      </c>
      <c r="B191" s="21" t="str">
        <f>VLOOKUP(TestCase!A191,'Scenario Test'!$A$5:$B$135,2,0)</f>
        <v>SQL_SIMPLE_SEARCH_TRANSACTION_JOURNAL: Search common F8</v>
      </c>
      <c r="C191" s="20" t="s">
        <v>339</v>
      </c>
      <c r="D191" s="20"/>
      <c r="E191" s="84" t="s">
        <v>313</v>
      </c>
      <c r="F191" s="85" t="s">
        <v>328</v>
      </c>
      <c r="G191" s="22" t="s">
        <v>5</v>
      </c>
      <c r="H191" s="23"/>
      <c r="I191" s="87">
        <v>45659</v>
      </c>
      <c r="J191" s="87"/>
      <c r="K191" s="87"/>
      <c r="L191" s="25"/>
      <c r="M191" s="23"/>
      <c r="N191" s="25"/>
    </row>
    <row r="192" spans="1:14" s="24" customFormat="1" ht="25.5" x14ac:dyDescent="0.2">
      <c r="A192" s="80" t="s">
        <v>137</v>
      </c>
      <c r="B192" s="21" t="str">
        <f>VLOOKUP(TestCase!A192,'Scenario Test'!$A$5:$B$135,2,0)</f>
        <v>SQL_SIMPLE_SEARCH_TRANSACTION_JOURNAL: Search common F8</v>
      </c>
      <c r="C192" s="20" t="s">
        <v>352</v>
      </c>
      <c r="D192" s="20"/>
      <c r="E192" s="84" t="s">
        <v>327</v>
      </c>
      <c r="F192" s="85" t="s">
        <v>63</v>
      </c>
      <c r="G192" s="22" t="s">
        <v>5</v>
      </c>
      <c r="H192" s="23"/>
      <c r="I192" s="87">
        <v>45659</v>
      </c>
      <c r="J192" s="87"/>
      <c r="K192" s="87"/>
      <c r="L192" s="25"/>
      <c r="M192" s="23"/>
      <c r="N192" s="25"/>
    </row>
    <row r="193" spans="1:14" x14ac:dyDescent="0.2">
      <c r="A193" s="53" t="s">
        <v>138</v>
      </c>
      <c r="B193" s="54" t="str">
        <f>VLOOKUP(TestCase!A193,'Scenario Test'!$A$5:$B$135,2,0)</f>
        <v>SQL_ADVANCED_SEARCH_TRANSACTION_JOURNAL: Search advanced F8</v>
      </c>
      <c r="C193" s="53"/>
      <c r="D193" s="53"/>
      <c r="E193" s="53"/>
      <c r="F193" s="53"/>
      <c r="G193" s="55"/>
      <c r="H193" s="54"/>
      <c r="I193" s="55"/>
      <c r="J193" s="55"/>
      <c r="K193" s="55"/>
      <c r="L193" s="54"/>
      <c r="M193" s="54"/>
      <c r="N193" s="54"/>
    </row>
    <row r="194" spans="1:14" s="24" customFormat="1" ht="38.25" x14ac:dyDescent="0.2">
      <c r="A194" s="80" t="s">
        <v>138</v>
      </c>
      <c r="B194" s="21" t="str">
        <f>VLOOKUP(TestCase!A194,'Scenario Test'!$A$5:$B$135,2,0)</f>
        <v>SQL_ADVANCED_SEARCH_TRANSACTION_JOURNAL: Search advanced F8</v>
      </c>
      <c r="C194" s="20" t="s">
        <v>227</v>
      </c>
      <c r="D194" s="20"/>
      <c r="E194" s="84" t="s">
        <v>340</v>
      </c>
      <c r="F194" s="85" t="s">
        <v>328</v>
      </c>
      <c r="G194" s="22" t="s">
        <v>10</v>
      </c>
      <c r="H194" s="23"/>
      <c r="I194" s="87">
        <v>45659</v>
      </c>
      <c r="J194" s="87"/>
      <c r="K194" s="87"/>
      <c r="L194" s="25"/>
      <c r="M194" s="23"/>
      <c r="N194" s="25"/>
    </row>
    <row r="195" spans="1:14" s="24" customFormat="1" ht="191.25" x14ac:dyDescent="0.2">
      <c r="A195" s="80" t="s">
        <v>138</v>
      </c>
      <c r="B195" s="21" t="str">
        <f>VLOOKUP(TestCase!A195,'Scenario Test'!$A$5:$B$135,2,0)</f>
        <v>SQL_ADVANCED_SEARCH_TRANSACTION_JOURNAL: Search advanced F8</v>
      </c>
      <c r="C195" s="20" t="s">
        <v>228</v>
      </c>
      <c r="D195" s="20"/>
      <c r="E195" s="84" t="s">
        <v>341</v>
      </c>
      <c r="F195" s="85" t="s">
        <v>328</v>
      </c>
      <c r="G195" s="22" t="s">
        <v>10</v>
      </c>
      <c r="H195" s="23"/>
      <c r="I195" s="87">
        <v>45659</v>
      </c>
      <c r="J195" s="87"/>
      <c r="K195" s="87"/>
      <c r="L195" s="25"/>
      <c r="M195" s="23"/>
      <c r="N195" s="25"/>
    </row>
    <row r="196" spans="1:14" s="24" customFormat="1" ht="191.25" x14ac:dyDescent="0.2">
      <c r="A196" s="80" t="s">
        <v>138</v>
      </c>
      <c r="B196" s="21" t="str">
        <f>VLOOKUP(TestCase!A196,'Scenario Test'!$A$5:$B$135,2,0)</f>
        <v>SQL_ADVANCED_SEARCH_TRANSACTION_JOURNAL: Search advanced F8</v>
      </c>
      <c r="C196" s="20" t="s">
        <v>229</v>
      </c>
      <c r="D196" s="20"/>
      <c r="E196" s="84" t="s">
        <v>342</v>
      </c>
      <c r="F196" s="85" t="s">
        <v>328</v>
      </c>
      <c r="G196" s="22" t="s">
        <v>10</v>
      </c>
      <c r="H196" s="23"/>
      <c r="I196" s="87">
        <v>45659</v>
      </c>
      <c r="J196" s="87"/>
      <c r="K196" s="87"/>
      <c r="L196" s="25"/>
      <c r="M196" s="23"/>
      <c r="N196" s="25"/>
    </row>
    <row r="197" spans="1:14" s="24" customFormat="1" ht="25.5" x14ac:dyDescent="0.2">
      <c r="A197" s="80" t="s">
        <v>138</v>
      </c>
      <c r="B197" s="21" t="str">
        <f>VLOOKUP(TestCase!A197,'Scenario Test'!$A$5:$B$135,2,0)</f>
        <v>SQL_ADVANCED_SEARCH_TRANSACTION_JOURNAL: Search advanced F8</v>
      </c>
      <c r="C197" s="20" t="s">
        <v>230</v>
      </c>
      <c r="D197" s="20"/>
      <c r="E197" s="84" t="s">
        <v>308</v>
      </c>
      <c r="F197" s="85" t="s">
        <v>329</v>
      </c>
      <c r="G197" s="22" t="s">
        <v>10</v>
      </c>
      <c r="H197" s="23"/>
      <c r="I197" s="87">
        <v>45659</v>
      </c>
      <c r="J197" s="87"/>
      <c r="K197" s="87"/>
      <c r="L197" s="25"/>
      <c r="M197" s="23"/>
      <c r="N197" s="25"/>
    </row>
    <row r="198" spans="1:14" s="24" customFormat="1" ht="25.5" x14ac:dyDescent="0.2">
      <c r="A198" s="80" t="s">
        <v>138</v>
      </c>
      <c r="B198" s="21" t="str">
        <f>VLOOKUP(TestCase!A198,'Scenario Test'!$A$5:$B$135,2,0)</f>
        <v>SQL_ADVANCED_SEARCH_TRANSACTION_JOURNAL: Search advanced F8</v>
      </c>
      <c r="C198" s="20" t="s">
        <v>322</v>
      </c>
      <c r="D198" s="20"/>
      <c r="E198" s="84" t="s">
        <v>309</v>
      </c>
      <c r="F198" s="85" t="s">
        <v>330</v>
      </c>
      <c r="G198" s="22" t="s">
        <v>10</v>
      </c>
      <c r="H198" s="23"/>
      <c r="I198" s="87">
        <v>45659</v>
      </c>
      <c r="J198" s="87"/>
      <c r="K198" s="87"/>
      <c r="L198" s="25"/>
      <c r="M198" s="23"/>
      <c r="N198" s="25"/>
    </row>
    <row r="199" spans="1:14" s="24" customFormat="1" ht="25.5" x14ac:dyDescent="0.2">
      <c r="A199" s="80" t="s">
        <v>138</v>
      </c>
      <c r="B199" s="21" t="str">
        <f>VLOOKUP(TestCase!A199,'Scenario Test'!$A$5:$B$135,2,0)</f>
        <v>SQL_ADVANCED_SEARCH_TRANSACTION_JOURNAL: Search advanced F8</v>
      </c>
      <c r="C199" s="20" t="s">
        <v>323</v>
      </c>
      <c r="D199" s="20"/>
      <c r="E199" s="84" t="s">
        <v>310</v>
      </c>
      <c r="F199" s="85" t="s">
        <v>328</v>
      </c>
      <c r="G199" s="22" t="s">
        <v>10</v>
      </c>
      <c r="H199" s="23"/>
      <c r="I199" s="87">
        <v>45659</v>
      </c>
      <c r="J199" s="87"/>
      <c r="K199" s="87"/>
      <c r="L199" s="25"/>
      <c r="M199" s="23"/>
      <c r="N199" s="25"/>
    </row>
    <row r="200" spans="1:14" s="24" customFormat="1" ht="25.5" x14ac:dyDescent="0.2">
      <c r="A200" s="80" t="s">
        <v>138</v>
      </c>
      <c r="B200" s="21" t="str">
        <f>VLOOKUP(TestCase!A200,'Scenario Test'!$A$5:$B$135,2,0)</f>
        <v>SQL_ADVANCED_SEARCH_TRANSACTION_JOURNAL: Search advanced F8</v>
      </c>
      <c r="C200" s="20" t="s">
        <v>343</v>
      </c>
      <c r="D200" s="20"/>
      <c r="E200" s="84" t="s">
        <v>311</v>
      </c>
      <c r="F200" s="85" t="s">
        <v>312</v>
      </c>
      <c r="G200" s="22" t="s">
        <v>5</v>
      </c>
      <c r="H200" s="23"/>
      <c r="I200" s="87">
        <v>45659</v>
      </c>
      <c r="J200" s="87"/>
      <c r="K200" s="87"/>
      <c r="L200" s="25"/>
      <c r="M200" s="23"/>
      <c r="N200" s="25"/>
    </row>
    <row r="201" spans="1:14" s="24" customFormat="1" ht="25.5" x14ac:dyDescent="0.2">
      <c r="A201" s="80" t="s">
        <v>138</v>
      </c>
      <c r="B201" s="21" t="str">
        <f>VLOOKUP(TestCase!A201,'Scenario Test'!$A$5:$B$135,2,0)</f>
        <v>SQL_ADVANCED_SEARCH_TRANSACTION_JOURNAL: Search advanced F8</v>
      </c>
      <c r="C201" s="20" t="s">
        <v>344</v>
      </c>
      <c r="D201" s="20"/>
      <c r="E201" s="84" t="s">
        <v>313</v>
      </c>
      <c r="F201" s="85" t="s">
        <v>328</v>
      </c>
      <c r="G201" s="22" t="s">
        <v>5</v>
      </c>
      <c r="H201" s="23"/>
      <c r="I201" s="87">
        <v>45659</v>
      </c>
      <c r="J201" s="87"/>
      <c r="K201" s="87"/>
      <c r="L201" s="25"/>
      <c r="M201" s="23"/>
      <c r="N201" s="25"/>
    </row>
    <row r="202" spans="1:14" s="24" customFormat="1" ht="25.5" x14ac:dyDescent="0.2">
      <c r="A202" s="80" t="s">
        <v>138</v>
      </c>
      <c r="B202" s="21" t="str">
        <f>VLOOKUP(TestCase!A202,'Scenario Test'!$A$5:$B$135,2,0)</f>
        <v>SQL_ADVANCED_SEARCH_TRANSACTION_JOURNAL: Search advanced F8</v>
      </c>
      <c r="C202" s="20" t="s">
        <v>353</v>
      </c>
      <c r="D202" s="20"/>
      <c r="E202" s="84" t="s">
        <v>327</v>
      </c>
      <c r="F202" s="85" t="s">
        <v>63</v>
      </c>
      <c r="G202" s="22" t="s">
        <v>5</v>
      </c>
      <c r="H202" s="23"/>
      <c r="I202" s="87">
        <v>45659</v>
      </c>
      <c r="J202" s="87"/>
      <c r="K202" s="87"/>
      <c r="L202" s="25"/>
      <c r="M202" s="23"/>
      <c r="N202" s="25"/>
    </row>
    <row r="203" spans="1:14" x14ac:dyDescent="0.2">
      <c r="A203" s="53" t="s">
        <v>129</v>
      </c>
      <c r="B203" s="54" t="str">
        <f>VLOOKUP(TestCase!A203,'Scenario Test'!$A$5:$B$135,2,0)</f>
        <v>PMT_SEARCH_SP_QUEUE_INWAR: Search common "Payment Queue for Inward"</v>
      </c>
      <c r="C203" s="53"/>
      <c r="D203" s="53"/>
      <c r="E203" s="53"/>
      <c r="F203" s="53"/>
      <c r="G203" s="55"/>
      <c r="H203" s="54"/>
      <c r="I203" s="55"/>
      <c r="J203" s="55"/>
      <c r="K203" s="55"/>
      <c r="L203" s="54"/>
      <c r="M203" s="54"/>
      <c r="N203" s="54"/>
    </row>
    <row r="204" spans="1:14" s="24" customFormat="1" ht="25.5" x14ac:dyDescent="0.2">
      <c r="A204" s="80" t="s">
        <v>129</v>
      </c>
      <c r="B204" s="21" t="str">
        <f>VLOOKUP(TestCase!A204,'Scenario Test'!$A$5:$B$135,2,0)</f>
        <v>PMT_SEARCH_SP_QUEUE_INWAR: Search common "Payment Queue for Inward"</v>
      </c>
      <c r="C204" s="20" t="s">
        <v>231</v>
      </c>
      <c r="D204" s="20"/>
      <c r="E204" s="84" t="s">
        <v>325</v>
      </c>
      <c r="F204" s="85" t="s">
        <v>328</v>
      </c>
      <c r="G204" s="22" t="s">
        <v>10</v>
      </c>
      <c r="H204" s="23"/>
      <c r="I204" s="87">
        <v>45659</v>
      </c>
      <c r="J204" s="87">
        <v>45659</v>
      </c>
      <c r="K204" s="87"/>
      <c r="L204" s="25" t="s">
        <v>104</v>
      </c>
      <c r="M204" s="23"/>
      <c r="N204" s="25"/>
    </row>
    <row r="205" spans="1:14" s="24" customFormat="1" ht="114.75" x14ac:dyDescent="0.2">
      <c r="A205" s="80" t="s">
        <v>129</v>
      </c>
      <c r="B205" s="21" t="str">
        <f>VLOOKUP(TestCase!A205,'Scenario Test'!$A$5:$B$135,2,0)</f>
        <v>PMT_SEARCH_SP_QUEUE_INWAR: Search common "Payment Queue for Inward"</v>
      </c>
      <c r="C205" s="20" t="s">
        <v>232</v>
      </c>
      <c r="D205" s="20"/>
      <c r="E205" s="84" t="s">
        <v>331</v>
      </c>
      <c r="F205" s="85" t="s">
        <v>328</v>
      </c>
      <c r="G205" s="22" t="s">
        <v>10</v>
      </c>
      <c r="H205" s="23"/>
      <c r="I205" s="87">
        <v>45659</v>
      </c>
      <c r="J205" s="87">
        <v>45659</v>
      </c>
      <c r="K205" s="87"/>
      <c r="L205" s="25" t="s">
        <v>104</v>
      </c>
      <c r="M205" s="23"/>
      <c r="N205" s="25"/>
    </row>
    <row r="206" spans="1:14" s="24" customFormat="1" ht="114.75" x14ac:dyDescent="0.2">
      <c r="A206" s="80" t="s">
        <v>129</v>
      </c>
      <c r="B206" s="21" t="str">
        <f>VLOOKUP(TestCase!A206,'Scenario Test'!$A$5:$B$135,2,0)</f>
        <v>PMT_SEARCH_SP_QUEUE_INWAR: Search common "Payment Queue for Inward"</v>
      </c>
      <c r="C206" s="20" t="s">
        <v>233</v>
      </c>
      <c r="D206" s="20"/>
      <c r="E206" s="84" t="s">
        <v>332</v>
      </c>
      <c r="F206" s="85" t="s">
        <v>328</v>
      </c>
      <c r="G206" s="22" t="s">
        <v>10</v>
      </c>
      <c r="H206" s="23"/>
      <c r="I206" s="87">
        <v>45659</v>
      </c>
      <c r="J206" s="87">
        <v>45659</v>
      </c>
      <c r="K206" s="87"/>
      <c r="L206" s="25" t="s">
        <v>104</v>
      </c>
      <c r="M206" s="23"/>
      <c r="N206" s="25"/>
    </row>
    <row r="207" spans="1:14" s="24" customFormat="1" ht="38.25" x14ac:dyDescent="0.2">
      <c r="A207" s="80" t="s">
        <v>129</v>
      </c>
      <c r="B207" s="21" t="str">
        <f>VLOOKUP(TestCase!A207,'Scenario Test'!$A$5:$B$135,2,0)</f>
        <v>PMT_SEARCH_SP_QUEUE_INWAR: Search common "Payment Queue for Inward"</v>
      </c>
      <c r="C207" s="20" t="s">
        <v>234</v>
      </c>
      <c r="D207" s="20"/>
      <c r="E207" s="84" t="s">
        <v>366</v>
      </c>
      <c r="F207" s="85" t="s">
        <v>328</v>
      </c>
      <c r="G207" s="22" t="s">
        <v>10</v>
      </c>
      <c r="H207" s="23"/>
      <c r="I207" s="87">
        <v>45659</v>
      </c>
      <c r="J207" s="87">
        <v>45659</v>
      </c>
      <c r="K207" s="87"/>
      <c r="L207" s="25" t="s">
        <v>104</v>
      </c>
      <c r="M207" s="23"/>
      <c r="N207" s="25"/>
    </row>
    <row r="208" spans="1:14" s="24" customFormat="1" ht="25.5" x14ac:dyDescent="0.2">
      <c r="A208" s="80" t="s">
        <v>129</v>
      </c>
      <c r="B208" s="21" t="str">
        <f>VLOOKUP(TestCase!A208,'Scenario Test'!$A$5:$B$135,2,0)</f>
        <v>PMT_SEARCH_SP_QUEUE_INWAR: Search common "Payment Queue for Inward"</v>
      </c>
      <c r="C208" s="20" t="s">
        <v>234</v>
      </c>
      <c r="D208" s="20"/>
      <c r="E208" s="84" t="s">
        <v>327</v>
      </c>
      <c r="F208" s="85" t="s">
        <v>63</v>
      </c>
      <c r="G208" s="22" t="s">
        <v>10</v>
      </c>
      <c r="H208" s="23"/>
      <c r="I208" s="87">
        <v>45659</v>
      </c>
      <c r="J208" s="87">
        <v>45659</v>
      </c>
      <c r="K208" s="87"/>
      <c r="L208" s="25" t="s">
        <v>104</v>
      </c>
      <c r="M208" s="23"/>
      <c r="N208" s="25"/>
    </row>
    <row r="209" spans="1:14" x14ac:dyDescent="0.2">
      <c r="A209" s="53" t="s">
        <v>127</v>
      </c>
      <c r="B209" s="54" t="str">
        <f>VLOOKUP(TestCase!A209,'Scenario Test'!$A$5:$B$135,2,0)</f>
        <v>ACT_ACCHRT_SER_SIMPLE: Search common "Bank Account Definition"</v>
      </c>
      <c r="C209" s="53"/>
      <c r="D209" s="53"/>
      <c r="E209" s="53"/>
      <c r="F209" s="53"/>
      <c r="G209" s="55"/>
      <c r="H209" s="54"/>
      <c r="I209" s="55"/>
      <c r="J209" s="55"/>
      <c r="K209" s="55"/>
      <c r="L209" s="54"/>
      <c r="M209" s="54"/>
      <c r="N209" s="54"/>
    </row>
    <row r="210" spans="1:14" s="24" customFormat="1" ht="25.5" x14ac:dyDescent="0.2">
      <c r="A210" s="80" t="s">
        <v>127</v>
      </c>
      <c r="B210" s="21" t="str">
        <f>VLOOKUP(TestCase!A210,'Scenario Test'!$A$5:$B$135,2,0)</f>
        <v>ACT_ACCHRT_SER_SIMPLE: Search common "Bank Account Definition"</v>
      </c>
      <c r="C210" s="20" t="s">
        <v>235</v>
      </c>
      <c r="D210" s="20"/>
      <c r="E210" s="84" t="s">
        <v>324</v>
      </c>
      <c r="F210" s="85" t="s">
        <v>328</v>
      </c>
      <c r="G210" s="22" t="s">
        <v>10</v>
      </c>
      <c r="H210" s="23"/>
      <c r="I210" s="87">
        <v>45659</v>
      </c>
      <c r="J210" s="87">
        <v>45659</v>
      </c>
      <c r="K210" s="87"/>
      <c r="L210" s="25" t="s">
        <v>104</v>
      </c>
      <c r="M210" s="23"/>
      <c r="N210" s="25"/>
    </row>
    <row r="211" spans="1:14" s="24" customFormat="1" ht="51" x14ac:dyDescent="0.2">
      <c r="A211" s="80" t="s">
        <v>127</v>
      </c>
      <c r="B211" s="21" t="str">
        <f>VLOOKUP(TestCase!A211,'Scenario Test'!$A$5:$B$135,2,0)</f>
        <v>ACT_ACCHRT_SER_SIMPLE: Search common "Bank Account Definition"</v>
      </c>
      <c r="C211" s="20" t="s">
        <v>236</v>
      </c>
      <c r="D211" s="20"/>
      <c r="E211" s="84" t="s">
        <v>333</v>
      </c>
      <c r="F211" s="85" t="s">
        <v>328</v>
      </c>
      <c r="G211" s="22" t="s">
        <v>10</v>
      </c>
      <c r="H211" s="23"/>
      <c r="I211" s="87">
        <v>45659</v>
      </c>
      <c r="J211" s="87">
        <v>45659</v>
      </c>
      <c r="K211" s="87"/>
      <c r="L211" s="25" t="s">
        <v>104</v>
      </c>
      <c r="M211" s="23"/>
      <c r="N211" s="25"/>
    </row>
    <row r="212" spans="1:14" s="24" customFormat="1" ht="51" x14ac:dyDescent="0.2">
      <c r="A212" s="80" t="s">
        <v>127</v>
      </c>
      <c r="B212" s="21" t="str">
        <f>VLOOKUP(TestCase!A212,'Scenario Test'!$A$5:$B$135,2,0)</f>
        <v>ACT_ACCHRT_SER_SIMPLE: Search common "Bank Account Definition"</v>
      </c>
      <c r="C212" s="20" t="s">
        <v>237</v>
      </c>
      <c r="D212" s="20"/>
      <c r="E212" s="84" t="s">
        <v>334</v>
      </c>
      <c r="F212" s="85" t="s">
        <v>328</v>
      </c>
      <c r="G212" s="22" t="s">
        <v>10</v>
      </c>
      <c r="H212" s="23"/>
      <c r="I212" s="87">
        <v>45659</v>
      </c>
      <c r="J212" s="87">
        <v>45659</v>
      </c>
      <c r="K212" s="87"/>
      <c r="L212" s="25" t="s">
        <v>104</v>
      </c>
      <c r="M212" s="23"/>
      <c r="N212" s="25"/>
    </row>
    <row r="213" spans="1:14" s="24" customFormat="1" ht="38.25" x14ac:dyDescent="0.2">
      <c r="A213" s="80" t="s">
        <v>127</v>
      </c>
      <c r="B213" s="21" t="str">
        <f>VLOOKUP(TestCase!A213,'Scenario Test'!$A$5:$B$135,2,0)</f>
        <v>ACT_ACCHRT_SER_SIMPLE: Search common "Bank Account Definition"</v>
      </c>
      <c r="C213" s="20" t="s">
        <v>238</v>
      </c>
      <c r="D213" s="20" t="s">
        <v>367</v>
      </c>
      <c r="E213" s="84" t="s">
        <v>366</v>
      </c>
      <c r="F213" s="85" t="s">
        <v>328</v>
      </c>
      <c r="G213" s="22" t="s">
        <v>10</v>
      </c>
      <c r="H213" s="23"/>
      <c r="I213" s="87">
        <v>45659</v>
      </c>
      <c r="J213" s="87">
        <v>45659</v>
      </c>
      <c r="K213" s="87"/>
      <c r="L213" s="25" t="s">
        <v>104</v>
      </c>
      <c r="M213" s="23"/>
      <c r="N213" s="25"/>
    </row>
    <row r="214" spans="1:14" s="24" customFormat="1" ht="25.5" x14ac:dyDescent="0.2">
      <c r="A214" s="80" t="s">
        <v>127</v>
      </c>
      <c r="B214" s="21" t="str">
        <f>VLOOKUP(TestCase!A214,'Scenario Test'!$A$5:$B$135,2,0)</f>
        <v>ACT_ACCHRT_SER_SIMPLE: Search common "Bank Account Definition"</v>
      </c>
      <c r="C214" s="20" t="s">
        <v>368</v>
      </c>
      <c r="D214" s="20"/>
      <c r="E214" s="84" t="s">
        <v>327</v>
      </c>
      <c r="F214" s="85" t="s">
        <v>63</v>
      </c>
      <c r="G214" s="22" t="s">
        <v>10</v>
      </c>
      <c r="H214" s="23"/>
      <c r="I214" s="87">
        <v>45659</v>
      </c>
      <c r="J214" s="87">
        <v>45659</v>
      </c>
      <c r="K214" s="87"/>
      <c r="L214" s="25" t="s">
        <v>104</v>
      </c>
      <c r="M214" s="23"/>
      <c r="N214" s="25"/>
    </row>
    <row r="215" spans="1:14" x14ac:dyDescent="0.2">
      <c r="A215" s="53" t="s">
        <v>128</v>
      </c>
      <c r="B215" s="54" t="str">
        <f>VLOOKUP(TestCase!A215,'Scenario Test'!$A$5:$B$135,2,0)</f>
        <v>ACT_ACCHRT_INS: Add "Bank Account Definition"</v>
      </c>
      <c r="C215" s="53"/>
      <c r="D215" s="53"/>
      <c r="E215" s="53"/>
      <c r="F215" s="53"/>
      <c r="G215" s="55"/>
      <c r="H215" s="54"/>
      <c r="I215" s="55"/>
      <c r="J215" s="55"/>
      <c r="K215" s="55"/>
      <c r="L215" s="54"/>
      <c r="M215" s="54"/>
      <c r="N215" s="54"/>
    </row>
    <row r="216" spans="1:14" s="24" customFormat="1" ht="25.5" x14ac:dyDescent="0.2">
      <c r="A216" s="80" t="s">
        <v>128</v>
      </c>
      <c r="B216" s="21" t="str">
        <f>VLOOKUP(TestCase!A216,'Scenario Test'!$A$5:$B$135,2,0)</f>
        <v>ACT_ACCHRT_INS: Add "Bank Account Definition"</v>
      </c>
      <c r="C216" s="20" t="s">
        <v>239</v>
      </c>
      <c r="D216" s="20"/>
      <c r="E216" s="84" t="s">
        <v>296</v>
      </c>
      <c r="F216" s="85" t="s">
        <v>347</v>
      </c>
      <c r="G216" s="22" t="s">
        <v>10</v>
      </c>
      <c r="H216" s="23"/>
      <c r="I216" s="87">
        <v>45659</v>
      </c>
      <c r="J216" s="87">
        <v>45659</v>
      </c>
      <c r="K216" s="87"/>
      <c r="L216" s="25" t="s">
        <v>104</v>
      </c>
      <c r="M216" s="23"/>
      <c r="N216" s="25"/>
    </row>
    <row r="217" spans="1:14" s="24" customFormat="1" ht="25.5" x14ac:dyDescent="0.2">
      <c r="A217" s="80" t="s">
        <v>128</v>
      </c>
      <c r="B217" s="21" t="str">
        <f>VLOOKUP(TestCase!A217,'Scenario Test'!$A$5:$B$135,2,0)</f>
        <v>ACT_ACCHRT_INS: Add "Bank Account Definition"</v>
      </c>
      <c r="C217" s="20" t="s">
        <v>240</v>
      </c>
      <c r="D217" s="20"/>
      <c r="E217" s="84" t="s">
        <v>297</v>
      </c>
      <c r="F217" s="85" t="s">
        <v>347</v>
      </c>
      <c r="G217" s="22" t="s">
        <v>10</v>
      </c>
      <c r="H217" s="23"/>
      <c r="I217" s="87">
        <v>45659</v>
      </c>
      <c r="J217" s="87">
        <v>45659</v>
      </c>
      <c r="K217" s="87"/>
      <c r="L217" s="25" t="s">
        <v>104</v>
      </c>
      <c r="M217" s="23"/>
      <c r="N217" s="25"/>
    </row>
    <row r="218" spans="1:14" s="24" customFormat="1" ht="25.5" x14ac:dyDescent="0.2">
      <c r="A218" s="80" t="s">
        <v>128</v>
      </c>
      <c r="B218" s="21" t="str">
        <f>VLOOKUP(TestCase!A218,'Scenario Test'!$A$5:$B$135,2,0)</f>
        <v>ACT_ACCHRT_INS: Add "Bank Account Definition"</v>
      </c>
      <c r="C218" s="20" t="s">
        <v>241</v>
      </c>
      <c r="D218" s="20"/>
      <c r="E218" s="84" t="s">
        <v>298</v>
      </c>
      <c r="F218" s="85" t="s">
        <v>347</v>
      </c>
      <c r="G218" s="22" t="s">
        <v>10</v>
      </c>
      <c r="H218" s="23"/>
      <c r="I218" s="87">
        <v>45659</v>
      </c>
      <c r="J218" s="87">
        <v>45659</v>
      </c>
      <c r="K218" s="87"/>
      <c r="L218" s="25" t="s">
        <v>104</v>
      </c>
      <c r="M218" s="23"/>
      <c r="N218" s="25"/>
    </row>
    <row r="219" spans="1:14" s="24" customFormat="1" ht="25.5" x14ac:dyDescent="0.2">
      <c r="A219" s="80" t="s">
        <v>128</v>
      </c>
      <c r="B219" s="21" t="str">
        <f>VLOOKUP(TestCase!A219,'Scenario Test'!$A$5:$B$135,2,0)</f>
        <v>ACT_ACCHRT_INS: Add "Bank Account Definition"</v>
      </c>
      <c r="C219" s="20" t="s">
        <v>242</v>
      </c>
      <c r="D219" s="20"/>
      <c r="E219" s="84" t="s">
        <v>299</v>
      </c>
      <c r="F219" s="85" t="s">
        <v>347</v>
      </c>
      <c r="G219" s="22" t="s">
        <v>10</v>
      </c>
      <c r="H219" s="23"/>
      <c r="I219" s="87">
        <v>45659</v>
      </c>
      <c r="J219" s="87">
        <v>45659</v>
      </c>
      <c r="K219" s="87"/>
      <c r="L219" s="25" t="s">
        <v>104</v>
      </c>
      <c r="M219" s="23"/>
      <c r="N219" s="25"/>
    </row>
    <row r="220" spans="1:14" s="24" customFormat="1" ht="25.5" x14ac:dyDescent="0.2">
      <c r="A220" s="80" t="s">
        <v>128</v>
      </c>
      <c r="B220" s="21" t="str">
        <f>VLOOKUP(TestCase!A220,'Scenario Test'!$A$5:$B$135,2,0)</f>
        <v>ACT_ACCHRT_INS: Add "Bank Account Definition"</v>
      </c>
      <c r="C220" s="20" t="s">
        <v>301</v>
      </c>
      <c r="D220" s="20"/>
      <c r="E220" s="84" t="s">
        <v>300</v>
      </c>
      <c r="F220" s="85" t="s">
        <v>347</v>
      </c>
      <c r="G220" s="22" t="s">
        <v>10</v>
      </c>
      <c r="H220" s="23"/>
      <c r="I220" s="87">
        <v>45659</v>
      </c>
      <c r="J220" s="87">
        <v>45659</v>
      </c>
      <c r="K220" s="87"/>
      <c r="L220" s="25" t="s">
        <v>104</v>
      </c>
      <c r="M220" s="23"/>
      <c r="N220" s="25"/>
    </row>
    <row r="221" spans="1:14" s="24" customFormat="1" ht="25.5" x14ac:dyDescent="0.2">
      <c r="A221" s="80" t="s">
        <v>128</v>
      </c>
      <c r="B221" s="21" t="str">
        <f>VLOOKUP(TestCase!A221,'Scenario Test'!$A$5:$B$135,2,0)</f>
        <v>ACT_ACCHRT_INS: Add "Bank Account Definition"</v>
      </c>
      <c r="C221" s="20" t="s">
        <v>302</v>
      </c>
      <c r="D221" s="20"/>
      <c r="E221" s="84" t="s">
        <v>290</v>
      </c>
      <c r="F221" s="85" t="s">
        <v>347</v>
      </c>
      <c r="G221" s="22" t="s">
        <v>10</v>
      </c>
      <c r="H221" s="23"/>
      <c r="I221" s="87">
        <v>45659</v>
      </c>
      <c r="J221" s="87">
        <v>45659</v>
      </c>
      <c r="K221" s="87"/>
      <c r="L221" s="25" t="s">
        <v>104</v>
      </c>
      <c r="M221" s="23"/>
      <c r="N221" s="25"/>
    </row>
    <row r="222" spans="1:14" s="24" customFormat="1" ht="25.5" x14ac:dyDescent="0.2">
      <c r="A222" s="80" t="s">
        <v>128</v>
      </c>
      <c r="B222" s="21" t="str">
        <f>VLOOKUP(TestCase!A222,'Scenario Test'!$A$5:$B$135,2,0)</f>
        <v>ACT_ACCHRT_INS: Add "Bank Account Definition"</v>
      </c>
      <c r="C222" s="20" t="s">
        <v>303</v>
      </c>
      <c r="D222" s="20"/>
      <c r="E222" s="84" t="s">
        <v>291</v>
      </c>
      <c r="F222" s="85" t="s">
        <v>347</v>
      </c>
      <c r="G222" s="22" t="s">
        <v>10</v>
      </c>
      <c r="H222" s="23"/>
      <c r="I222" s="87">
        <v>45659</v>
      </c>
      <c r="J222" s="87">
        <v>45659</v>
      </c>
      <c r="K222" s="87"/>
      <c r="L222" s="25" t="s">
        <v>104</v>
      </c>
      <c r="M222" s="23"/>
      <c r="N222" s="25"/>
    </row>
    <row r="223" spans="1:14" s="24" customFormat="1" ht="25.5" x14ac:dyDescent="0.2">
      <c r="A223" s="80" t="s">
        <v>128</v>
      </c>
      <c r="B223" s="21" t="str">
        <f>VLOOKUP(TestCase!A223,'Scenario Test'!$A$5:$B$135,2,0)</f>
        <v>ACT_ACCHRT_INS: Add "Bank Account Definition"</v>
      </c>
      <c r="C223" s="20" t="s">
        <v>304</v>
      </c>
      <c r="D223" s="20"/>
      <c r="E223" s="84" t="s">
        <v>292</v>
      </c>
      <c r="F223" s="85" t="s">
        <v>347</v>
      </c>
      <c r="G223" s="22" t="s">
        <v>10</v>
      </c>
      <c r="H223" s="23"/>
      <c r="I223" s="87">
        <v>45659</v>
      </c>
      <c r="J223" s="87">
        <v>45659</v>
      </c>
      <c r="K223" s="87"/>
      <c r="L223" s="25" t="s">
        <v>104</v>
      </c>
      <c r="M223" s="23"/>
      <c r="N223" s="25"/>
    </row>
    <row r="224" spans="1:14" s="24" customFormat="1" ht="38.25" x14ac:dyDescent="0.2">
      <c r="A224" s="80" t="s">
        <v>128</v>
      </c>
      <c r="B224" s="21" t="str">
        <f>VLOOKUP(TestCase!A224,'Scenario Test'!$A$5:$B$135,2,0)</f>
        <v>ACT_ACCHRT_INS: Add "Bank Account Definition"</v>
      </c>
      <c r="C224" s="20" t="s">
        <v>305</v>
      </c>
      <c r="D224" s="20"/>
      <c r="E224" s="84" t="s">
        <v>293</v>
      </c>
      <c r="F224" s="85" t="s">
        <v>348</v>
      </c>
      <c r="G224" s="22" t="s">
        <v>10</v>
      </c>
      <c r="H224" s="23"/>
      <c r="I224" s="87">
        <v>45659</v>
      </c>
      <c r="J224" s="87">
        <v>45659</v>
      </c>
      <c r="K224" s="87"/>
      <c r="L224" s="25" t="s">
        <v>104</v>
      </c>
      <c r="M224" s="23"/>
      <c r="N224" s="25"/>
    </row>
    <row r="225" spans="1:14" s="24" customFormat="1" ht="25.5" x14ac:dyDescent="0.2">
      <c r="A225" s="80" t="s">
        <v>128</v>
      </c>
      <c r="B225" s="21" t="str">
        <f>VLOOKUP(TestCase!A225,'Scenario Test'!$A$5:$B$135,2,0)</f>
        <v>ACT_ACCHRT_INS: Add "Bank Account Definition"</v>
      </c>
      <c r="C225" s="20" t="s">
        <v>306</v>
      </c>
      <c r="D225" s="20"/>
      <c r="E225" s="84" t="s">
        <v>294</v>
      </c>
      <c r="F225" s="85" t="s">
        <v>349</v>
      </c>
      <c r="G225" s="22" t="s">
        <v>10</v>
      </c>
      <c r="H225" s="23"/>
      <c r="I225" s="87">
        <v>45659</v>
      </c>
      <c r="J225" s="87">
        <v>45659</v>
      </c>
      <c r="K225" s="87"/>
      <c r="L225" s="25" t="s">
        <v>104</v>
      </c>
      <c r="M225" s="23"/>
      <c r="N225" s="25"/>
    </row>
    <row r="226" spans="1:14" s="24" customFormat="1" ht="25.5" x14ac:dyDescent="0.2">
      <c r="A226" s="80" t="s">
        <v>128</v>
      </c>
      <c r="B226" s="21" t="str">
        <f>VLOOKUP(TestCase!A226,'Scenario Test'!$A$5:$B$135,2,0)</f>
        <v>ACT_ACCHRT_INS: Add "Bank Account Definition"</v>
      </c>
      <c r="C226" s="20" t="s">
        <v>307</v>
      </c>
      <c r="D226" s="20"/>
      <c r="E226" s="84" t="s">
        <v>295</v>
      </c>
      <c r="F226" s="85" t="s">
        <v>349</v>
      </c>
      <c r="G226" s="22" t="s">
        <v>10</v>
      </c>
      <c r="H226" s="23"/>
      <c r="I226" s="87">
        <v>45659</v>
      </c>
      <c r="J226" s="87">
        <v>45659</v>
      </c>
      <c r="K226" s="87"/>
      <c r="L226" s="25" t="s">
        <v>104</v>
      </c>
      <c r="M226" s="23"/>
      <c r="N226" s="25"/>
    </row>
    <row r="227" spans="1:14" x14ac:dyDescent="0.2">
      <c r="A227" s="53" t="s">
        <v>125</v>
      </c>
      <c r="B227" s="54" t="str">
        <f>VLOOKUP(TestCase!A227,'Scenario Test'!$A$5:$B$135,2,0)</f>
        <v>TRS_SEARCH_ACCOUNT: Search common "Treasury account information"</v>
      </c>
      <c r="C227" s="53"/>
      <c r="D227" s="53"/>
      <c r="E227" s="53"/>
      <c r="F227" s="53"/>
      <c r="G227" s="55"/>
      <c r="H227" s="54"/>
      <c r="I227" s="55"/>
      <c r="J227" s="55"/>
      <c r="K227" s="55"/>
      <c r="L227" s="54"/>
      <c r="M227" s="54"/>
      <c r="N227" s="54"/>
    </row>
    <row r="228" spans="1:14" s="24" customFormat="1" ht="25.5" x14ac:dyDescent="0.2">
      <c r="A228" s="80" t="s">
        <v>125</v>
      </c>
      <c r="B228" s="21" t="str">
        <f>VLOOKUP(TestCase!A228,'Scenario Test'!$A$5:$B$135,2,0)</f>
        <v>TRS_SEARCH_ACCOUNT: Search common "Treasury account information"</v>
      </c>
      <c r="C228" s="20" t="s">
        <v>243</v>
      </c>
      <c r="D228" s="20"/>
      <c r="E228" s="84" t="s">
        <v>285</v>
      </c>
      <c r="F228" s="85" t="s">
        <v>328</v>
      </c>
      <c r="G228" s="22" t="s">
        <v>10</v>
      </c>
      <c r="H228" s="23"/>
      <c r="I228" s="87">
        <v>45659</v>
      </c>
      <c r="J228" s="87">
        <v>45664</v>
      </c>
      <c r="K228" s="87"/>
      <c r="L228" s="25" t="s">
        <v>104</v>
      </c>
      <c r="M228" s="23"/>
      <c r="N228" s="25"/>
    </row>
    <row r="229" spans="1:14" s="24" customFormat="1" ht="89.25" x14ac:dyDescent="0.2">
      <c r="A229" s="80" t="s">
        <v>125</v>
      </c>
      <c r="B229" s="21" t="str">
        <f>VLOOKUP(TestCase!A229,'Scenario Test'!$A$5:$B$135,2,0)</f>
        <v>TRS_SEARCH_ACCOUNT: Search common "Treasury account information"</v>
      </c>
      <c r="C229" s="20" t="s">
        <v>244</v>
      </c>
      <c r="D229" s="20"/>
      <c r="E229" s="84" t="s">
        <v>286</v>
      </c>
      <c r="F229" s="85" t="s">
        <v>328</v>
      </c>
      <c r="G229" s="22" t="s">
        <v>10</v>
      </c>
      <c r="H229" s="23"/>
      <c r="I229" s="87">
        <v>45659</v>
      </c>
      <c r="J229" s="87">
        <v>45664</v>
      </c>
      <c r="K229" s="87"/>
      <c r="L229" s="25" t="s">
        <v>104</v>
      </c>
      <c r="M229" s="23"/>
      <c r="N229" s="25"/>
    </row>
    <row r="230" spans="1:14" s="24" customFormat="1" ht="89.25" x14ac:dyDescent="0.2">
      <c r="A230" s="80" t="s">
        <v>125</v>
      </c>
      <c r="B230" s="21" t="str">
        <f>VLOOKUP(TestCase!A230,'Scenario Test'!$A$5:$B$135,2,0)</f>
        <v>TRS_SEARCH_ACCOUNT: Search common "Treasury account information"</v>
      </c>
      <c r="C230" s="20" t="s">
        <v>245</v>
      </c>
      <c r="D230" s="20"/>
      <c r="E230" s="84" t="s">
        <v>287</v>
      </c>
      <c r="F230" s="85" t="s">
        <v>328</v>
      </c>
      <c r="G230" s="22" t="s">
        <v>10</v>
      </c>
      <c r="H230" s="23"/>
      <c r="I230" s="87">
        <v>45659</v>
      </c>
      <c r="J230" s="87">
        <v>45664</v>
      </c>
      <c r="K230" s="87"/>
      <c r="L230" s="25" t="s">
        <v>104</v>
      </c>
      <c r="M230" s="23"/>
      <c r="N230" s="25"/>
    </row>
    <row r="231" spans="1:14" s="24" customFormat="1" ht="38.25" x14ac:dyDescent="0.2">
      <c r="A231" s="80" t="s">
        <v>125</v>
      </c>
      <c r="B231" s="21" t="str">
        <f>VLOOKUP(TestCase!A231,'Scenario Test'!$A$5:$B$135,2,0)</f>
        <v>TRS_SEARCH_ACCOUNT: Search common "Treasury account information"</v>
      </c>
      <c r="C231" s="20" t="s">
        <v>246</v>
      </c>
      <c r="D231" s="20" t="s">
        <v>365</v>
      </c>
      <c r="E231" s="84" t="s">
        <v>366</v>
      </c>
      <c r="F231" s="85" t="s">
        <v>328</v>
      </c>
      <c r="G231" s="22" t="s">
        <v>10</v>
      </c>
      <c r="H231" s="23"/>
      <c r="I231" s="87">
        <v>45659</v>
      </c>
      <c r="J231" s="87">
        <v>45664</v>
      </c>
      <c r="K231" s="87"/>
      <c r="L231" s="25" t="s">
        <v>104</v>
      </c>
      <c r="M231" s="23"/>
      <c r="N231" s="25"/>
    </row>
    <row r="232" spans="1:14" s="24" customFormat="1" ht="25.5" x14ac:dyDescent="0.2">
      <c r="A232" s="80" t="s">
        <v>125</v>
      </c>
      <c r="B232" s="21" t="str">
        <f>VLOOKUP(TestCase!A232,'Scenario Test'!$A$5:$B$135,2,0)</f>
        <v>TRS_SEARCH_ACCOUNT: Search common "Treasury account information"</v>
      </c>
      <c r="C232" s="20" t="s">
        <v>369</v>
      </c>
      <c r="D232" s="20"/>
      <c r="E232" s="84" t="s">
        <v>327</v>
      </c>
      <c r="F232" s="85" t="s">
        <v>63</v>
      </c>
      <c r="G232" s="22" t="s">
        <v>10</v>
      </c>
      <c r="H232" s="23"/>
      <c r="I232" s="87">
        <v>45659</v>
      </c>
      <c r="J232" s="87">
        <v>45664</v>
      </c>
      <c r="K232" s="87"/>
      <c r="L232" s="25" t="s">
        <v>104</v>
      </c>
      <c r="M232" s="23"/>
      <c r="N232" s="25"/>
    </row>
    <row r="233" spans="1:14" x14ac:dyDescent="0.2">
      <c r="A233" s="53" t="s">
        <v>126</v>
      </c>
      <c r="B233" s="54" t="str">
        <f>VLOOKUP(TestCase!A233,'Scenario Test'!$A$5:$B$135,2,0)</f>
        <v>TRS_VIEW_ACCOUNT: View "Treasury account information"</v>
      </c>
      <c r="C233" s="53"/>
      <c r="D233" s="53"/>
      <c r="E233" s="53"/>
      <c r="F233" s="53"/>
      <c r="G233" s="55"/>
      <c r="H233" s="54"/>
      <c r="I233" s="55"/>
      <c r="J233" s="55"/>
      <c r="K233" s="55"/>
      <c r="L233" s="54"/>
      <c r="M233" s="54"/>
      <c r="N233" s="54"/>
    </row>
    <row r="234" spans="1:14" s="24" customFormat="1" ht="89.25" x14ac:dyDescent="0.2">
      <c r="A234" s="80" t="s">
        <v>126</v>
      </c>
      <c r="B234" s="21" t="str">
        <f>VLOOKUP(TestCase!A234,'Scenario Test'!$A$5:$B$135,2,0)</f>
        <v>TRS_VIEW_ACCOUNT: View "Treasury account information"</v>
      </c>
      <c r="C234" s="20" t="s">
        <v>247</v>
      </c>
      <c r="D234" s="20"/>
      <c r="E234" s="84" t="s">
        <v>288</v>
      </c>
      <c r="F234" s="85" t="s">
        <v>350</v>
      </c>
      <c r="G234" s="22" t="s">
        <v>10</v>
      </c>
      <c r="H234" s="23"/>
      <c r="I234" s="87">
        <v>45659</v>
      </c>
      <c r="J234" s="87">
        <v>45664</v>
      </c>
      <c r="K234" s="87"/>
      <c r="L234" s="25" t="s">
        <v>104</v>
      </c>
      <c r="M234" s="23"/>
      <c r="N234" s="25"/>
    </row>
    <row r="235" spans="1:14" s="24" customFormat="1" ht="89.25" x14ac:dyDescent="0.2">
      <c r="A235" s="80" t="s">
        <v>126</v>
      </c>
      <c r="B235" s="21" t="str">
        <f>VLOOKUP(TestCase!A235,'Scenario Test'!$A$5:$B$135,2,0)</f>
        <v>TRS_VIEW_ACCOUNT: View "Treasury account information"</v>
      </c>
      <c r="C235" s="20" t="s">
        <v>248</v>
      </c>
      <c r="D235" s="20"/>
      <c r="E235" s="84" t="s">
        <v>289</v>
      </c>
      <c r="F235" s="85" t="s">
        <v>351</v>
      </c>
      <c r="G235" s="22" t="s">
        <v>10</v>
      </c>
      <c r="H235" s="23"/>
      <c r="I235" s="87">
        <v>45659</v>
      </c>
      <c r="J235" s="87">
        <v>45664</v>
      </c>
      <c r="K235" s="87"/>
      <c r="L235" s="25" t="s">
        <v>104</v>
      </c>
      <c r="M235" s="23"/>
      <c r="N235" s="25"/>
    </row>
    <row r="236" spans="1:14" x14ac:dyDescent="0.2">
      <c r="A236" s="53" t="s">
        <v>122</v>
      </c>
      <c r="B236" s="54" t="str">
        <f>VLOOKUP(TestCase!A236,'Scenario Test'!$A$5:$B$135,2,0)</f>
        <v>CRD_SEARCH_SP_CREDIT: Search common "Credit account information"</v>
      </c>
      <c r="C236" s="53"/>
      <c r="D236" s="53"/>
      <c r="E236" s="53"/>
      <c r="F236" s="53"/>
      <c r="G236" s="55"/>
      <c r="H236" s="54"/>
      <c r="I236" s="55"/>
      <c r="J236" s="55"/>
      <c r="K236" s="55"/>
      <c r="L236" s="54"/>
      <c r="M236" s="54"/>
      <c r="N236" s="54"/>
    </row>
    <row r="237" spans="1:14" s="24" customFormat="1" ht="25.5" x14ac:dyDescent="0.2">
      <c r="A237" s="80" t="s">
        <v>122</v>
      </c>
      <c r="B237" s="21" t="str">
        <f>VLOOKUP(TestCase!A237,'Scenario Test'!$A$5:$B$135,2,0)</f>
        <v>CRD_SEARCH_SP_CREDIT: Search common "Credit account information"</v>
      </c>
      <c r="C237" s="20" t="s">
        <v>249</v>
      </c>
      <c r="D237" s="20"/>
      <c r="E237" s="84"/>
      <c r="F237" s="85"/>
      <c r="G237" s="22"/>
      <c r="H237" s="23"/>
      <c r="I237" s="87">
        <v>45659</v>
      </c>
      <c r="J237" s="87"/>
      <c r="K237" s="87"/>
      <c r="L237" s="25"/>
      <c r="M237" s="23"/>
      <c r="N237" s="25"/>
    </row>
    <row r="238" spans="1:14" s="24" customFormat="1" ht="25.5" x14ac:dyDescent="0.2">
      <c r="A238" s="80" t="s">
        <v>122</v>
      </c>
      <c r="B238" s="21" t="str">
        <f>VLOOKUP(TestCase!A238,'Scenario Test'!$A$5:$B$135,2,0)</f>
        <v>CRD_SEARCH_SP_CREDIT: Search common "Credit account information"</v>
      </c>
      <c r="C238" s="20" t="s">
        <v>250</v>
      </c>
      <c r="D238" s="20"/>
      <c r="E238" s="84"/>
      <c r="F238" s="95"/>
      <c r="G238" s="22"/>
      <c r="H238" s="23"/>
      <c r="I238" s="87">
        <v>45659</v>
      </c>
      <c r="J238" s="87"/>
      <c r="K238" s="87"/>
      <c r="L238" s="25"/>
      <c r="M238" s="23"/>
      <c r="N238" s="25"/>
    </row>
    <row r="239" spans="1:14" s="24" customFormat="1" ht="25.5" x14ac:dyDescent="0.2">
      <c r="A239" s="80" t="s">
        <v>122</v>
      </c>
      <c r="B239" s="21" t="str">
        <f>VLOOKUP(TestCase!A239,'Scenario Test'!$A$5:$B$135,2,0)</f>
        <v>CRD_SEARCH_SP_CREDIT: Search common "Credit account information"</v>
      </c>
      <c r="C239" s="20" t="s">
        <v>251</v>
      </c>
      <c r="D239" s="20"/>
      <c r="E239" s="84"/>
      <c r="F239" s="85"/>
      <c r="G239" s="22"/>
      <c r="H239" s="23"/>
      <c r="I239" s="87">
        <v>45659</v>
      </c>
      <c r="J239" s="87"/>
      <c r="K239" s="87"/>
      <c r="L239" s="25"/>
      <c r="M239" s="23"/>
      <c r="N239" s="25"/>
    </row>
    <row r="240" spans="1:14" s="24" customFormat="1" ht="25.5" x14ac:dyDescent="0.2">
      <c r="A240" s="80" t="s">
        <v>122</v>
      </c>
      <c r="B240" s="21" t="str">
        <f>VLOOKUP(TestCase!A240,'Scenario Test'!$A$5:$B$135,2,0)</f>
        <v>CRD_SEARCH_SP_CREDIT: Search common "Credit account information"</v>
      </c>
      <c r="C240" s="20" t="s">
        <v>252</v>
      </c>
      <c r="D240" s="20"/>
      <c r="E240" s="84"/>
      <c r="F240" s="85"/>
      <c r="G240" s="22"/>
      <c r="H240" s="23"/>
      <c r="I240" s="87">
        <v>45659</v>
      </c>
      <c r="J240" s="87"/>
      <c r="K240" s="87"/>
      <c r="L240" s="25"/>
      <c r="M240" s="23"/>
      <c r="N240" s="25"/>
    </row>
    <row r="241" spans="1:14" x14ac:dyDescent="0.2">
      <c r="A241" s="53" t="s">
        <v>123</v>
      </c>
      <c r="B241" s="54" t="str">
        <f>VLOOKUP(TestCase!A241,'Scenario Test'!$A$5:$B$135,2,0)</f>
        <v>CRD_VIEW_CREDIT: View "Credit account information"</v>
      </c>
      <c r="C241" s="53"/>
      <c r="D241" s="53"/>
      <c r="E241" s="53"/>
      <c r="F241" s="53"/>
      <c r="G241" s="55"/>
      <c r="H241" s="54"/>
      <c r="I241" s="55"/>
      <c r="J241" s="55"/>
      <c r="K241" s="55"/>
      <c r="L241" s="54"/>
      <c r="M241" s="54"/>
      <c r="N241" s="54"/>
    </row>
    <row r="242" spans="1:14" s="24" customFormat="1" ht="25.5" x14ac:dyDescent="0.2">
      <c r="A242" s="80" t="s">
        <v>123</v>
      </c>
      <c r="B242" s="21" t="str">
        <f>VLOOKUP(TestCase!A242,'Scenario Test'!$A$5:$B$135,2,0)</f>
        <v>CRD_VIEW_CREDIT: View "Credit account information"</v>
      </c>
      <c r="C242" s="20" t="s">
        <v>253</v>
      </c>
      <c r="D242" s="20"/>
      <c r="E242" s="84"/>
      <c r="F242" s="85"/>
      <c r="G242" s="22"/>
      <c r="H242" s="23"/>
      <c r="I242" s="87">
        <v>45659</v>
      </c>
      <c r="J242" s="87"/>
      <c r="K242" s="87"/>
      <c r="L242" s="25"/>
      <c r="M242" s="23"/>
      <c r="N242" s="25"/>
    </row>
    <row r="243" spans="1:14" s="24" customFormat="1" ht="25.5" x14ac:dyDescent="0.2">
      <c r="A243" s="80" t="s">
        <v>123</v>
      </c>
      <c r="B243" s="21" t="str">
        <f>VLOOKUP(TestCase!A243,'Scenario Test'!$A$5:$B$135,2,0)</f>
        <v>CRD_VIEW_CREDIT: View "Credit account information"</v>
      </c>
      <c r="C243" s="20" t="s">
        <v>253</v>
      </c>
      <c r="D243" s="20"/>
      <c r="E243" s="84"/>
      <c r="F243" s="95"/>
      <c r="G243" s="22"/>
      <c r="H243" s="23"/>
      <c r="I243" s="87">
        <v>45659</v>
      </c>
      <c r="J243" s="87"/>
      <c r="K243" s="87"/>
      <c r="L243" s="25"/>
      <c r="M243" s="23"/>
      <c r="N243" s="25"/>
    </row>
    <row r="244" spans="1:14" s="24" customFormat="1" ht="25.5" x14ac:dyDescent="0.2">
      <c r="A244" s="80" t="s">
        <v>123</v>
      </c>
      <c r="B244" s="21" t="str">
        <f>VLOOKUP(TestCase!A244,'Scenario Test'!$A$5:$B$135,2,0)</f>
        <v>CRD_VIEW_CREDIT: View "Credit account information"</v>
      </c>
      <c r="C244" s="20" t="s">
        <v>253</v>
      </c>
      <c r="D244" s="20"/>
      <c r="E244" s="84"/>
      <c r="F244" s="85"/>
      <c r="G244" s="22"/>
      <c r="H244" s="23"/>
      <c r="I244" s="87">
        <v>45659</v>
      </c>
      <c r="J244" s="87"/>
      <c r="K244" s="87"/>
      <c r="L244" s="25"/>
      <c r="M244" s="23"/>
      <c r="N244" s="25"/>
    </row>
    <row r="245" spans="1:14" s="24" customFormat="1" ht="25.5" x14ac:dyDescent="0.2">
      <c r="A245" s="80" t="s">
        <v>123</v>
      </c>
      <c r="B245" s="21" t="str">
        <f>VLOOKUP(TestCase!A245,'Scenario Test'!$A$5:$B$135,2,0)</f>
        <v>CRD_VIEW_CREDIT: View "Credit account information"</v>
      </c>
      <c r="C245" s="20" t="s">
        <v>253</v>
      </c>
      <c r="D245" s="20"/>
      <c r="E245" s="84"/>
      <c r="F245" s="85"/>
      <c r="G245" s="22"/>
      <c r="H245" s="23"/>
      <c r="I245" s="87">
        <v>45659</v>
      </c>
      <c r="J245" s="87"/>
      <c r="K245" s="87"/>
      <c r="L245" s="25"/>
      <c r="M245" s="23"/>
      <c r="N245" s="25"/>
    </row>
    <row r="246" spans="1:14" x14ac:dyDescent="0.2">
      <c r="A246" s="53" t="s">
        <v>124</v>
      </c>
      <c r="B246" s="54" t="str">
        <f>VLOOKUP(TestCase!A246,'Scenario Test'!$A$5:$B$135,2,0)</f>
        <v>FX_FXRATE_GETFXRATE: View "Foreign Exchange Rate"</v>
      </c>
      <c r="C246" s="53"/>
      <c r="D246" s="53"/>
      <c r="E246" s="53"/>
      <c r="F246" s="53"/>
      <c r="G246" s="55"/>
      <c r="H246" s="54"/>
      <c r="I246" s="55"/>
      <c r="J246" s="55"/>
      <c r="K246" s="55"/>
      <c r="L246" s="54"/>
      <c r="M246" s="54"/>
      <c r="N246" s="54"/>
    </row>
    <row r="247" spans="1:14" s="24" customFormat="1" ht="102" x14ac:dyDescent="0.2">
      <c r="A247" s="80" t="s">
        <v>124</v>
      </c>
      <c r="B247" s="21" t="str">
        <f>VLOOKUP(TestCase!A247,'Scenario Test'!$A$5:$B$135,2,0)</f>
        <v>FX_FXRATE_GETFXRATE: View "Foreign Exchange Rate"</v>
      </c>
      <c r="C247" s="20" t="s">
        <v>254</v>
      </c>
      <c r="D247" s="20"/>
      <c r="E247" s="84" t="s">
        <v>281</v>
      </c>
      <c r="F247" s="85" t="s">
        <v>282</v>
      </c>
      <c r="G247" s="22" t="s">
        <v>10</v>
      </c>
      <c r="H247" s="23"/>
      <c r="I247" s="87">
        <v>45657</v>
      </c>
      <c r="J247" s="87">
        <v>45657</v>
      </c>
      <c r="K247" s="87">
        <v>45659</v>
      </c>
      <c r="L247" s="25" t="s">
        <v>104</v>
      </c>
      <c r="M247" s="23"/>
      <c r="N247" s="25"/>
    </row>
    <row r="248" spans="1:14" s="24" customFormat="1" ht="127.5" x14ac:dyDescent="0.2">
      <c r="A248" s="80" t="s">
        <v>124</v>
      </c>
      <c r="B248" s="21" t="str">
        <f>VLOOKUP(TestCase!A248,'Scenario Test'!$A$5:$B$135,2,0)</f>
        <v>FX_FXRATE_GETFXRATE: View "Foreign Exchange Rate"</v>
      </c>
      <c r="C248" s="20" t="s">
        <v>255</v>
      </c>
      <c r="D248" s="20"/>
      <c r="E248" s="84" t="s">
        <v>283</v>
      </c>
      <c r="F248" s="85" t="s">
        <v>284</v>
      </c>
      <c r="G248" s="22" t="s">
        <v>10</v>
      </c>
      <c r="H248" s="23"/>
      <c r="I248" s="87">
        <v>45657</v>
      </c>
      <c r="J248" s="87">
        <v>45657</v>
      </c>
      <c r="K248" s="87">
        <v>45659</v>
      </c>
      <c r="L248" s="25" t="s">
        <v>104</v>
      </c>
      <c r="M248" s="23"/>
      <c r="N248" s="25"/>
    </row>
  </sheetData>
  <autoFilter ref="A5:N248" xr:uid="{00000000-0009-0000-0000-000003000000}"/>
  <dataConsolidate/>
  <phoneticPr fontId="22" type="noConversion"/>
  <dataValidations count="1">
    <dataValidation type="list" allowBlank="1" showInputMessage="1" showErrorMessage="1" sqref="G94:G97 G99:G143 G15:G30 G153 G145:G149 G204:G208 G151 G184:G192 G162:G165 G247:G248 G171:G174 G242:G245 G237:G240 G167:G169 G176:G182 G234:G235 G210:G214 G228:G232 G194:G202 G216:G226 G155:G160 G7:G13 G32:G36 G38:G92" xr:uid="{00000000-0002-0000-0300-000000000000}">
      <formula1>"Pass,Fail,-, ,+,Block, Pending, Not Completed"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46D1-FC56-454E-8E9E-399846647CB6}">
  <dimension ref="A1"/>
  <sheetViews>
    <sheetView zoomScale="55" zoomScaleNormal="55" workbookViewId="0">
      <selection activeCell="AD2" sqref="AD2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4F7-2E96-4688-8BF4-C3F1C62C6145}">
  <dimension ref="A1:J27"/>
  <sheetViews>
    <sheetView topLeftCell="A16" zoomScale="70" zoomScaleNormal="70" workbookViewId="0">
      <pane xSplit="2" topLeftCell="C1" activePane="topRight" state="frozen"/>
      <selection pane="topRight" activeCell="D29" sqref="D29"/>
    </sheetView>
  </sheetViews>
  <sheetFormatPr defaultRowHeight="14.25" x14ac:dyDescent="0.2"/>
  <cols>
    <col min="1" max="1" width="35.125" customWidth="1"/>
    <col min="2" max="2" width="76.75" customWidth="1"/>
    <col min="3" max="3" width="21.75" customWidth="1"/>
    <col min="4" max="4" width="28.375" bestFit="1" customWidth="1"/>
    <col min="5" max="5" width="21.75" customWidth="1"/>
    <col min="6" max="6" width="20.75" customWidth="1"/>
    <col min="7" max="7" width="21.75" customWidth="1"/>
    <col min="8" max="8" width="62.875" customWidth="1"/>
    <col min="9" max="9" width="21.75" customWidth="1"/>
    <col min="10" max="10" width="58.75" customWidth="1"/>
  </cols>
  <sheetData>
    <row r="1" spans="1:10" ht="18" x14ac:dyDescent="0.2">
      <c r="A1" s="140" t="s">
        <v>64</v>
      </c>
      <c r="B1" s="142" t="s">
        <v>65</v>
      </c>
      <c r="C1" s="142" t="s">
        <v>66</v>
      </c>
      <c r="D1" s="142"/>
      <c r="E1" s="142"/>
      <c r="F1" s="142"/>
      <c r="G1" s="142"/>
      <c r="H1" s="142"/>
      <c r="I1" s="142"/>
      <c r="J1" s="144"/>
    </row>
    <row r="2" spans="1:10" ht="18" x14ac:dyDescent="0.2">
      <c r="A2" s="141"/>
      <c r="B2" s="143"/>
      <c r="C2" s="145" t="s">
        <v>67</v>
      </c>
      <c r="D2" s="145"/>
      <c r="E2" s="145" t="s">
        <v>68</v>
      </c>
      <c r="F2" s="145"/>
      <c r="G2" s="145" t="s">
        <v>69</v>
      </c>
      <c r="H2" s="145"/>
      <c r="I2" s="145" t="s">
        <v>70</v>
      </c>
      <c r="J2" s="146"/>
    </row>
    <row r="3" spans="1:10" ht="18" x14ac:dyDescent="0.2">
      <c r="A3" s="141"/>
      <c r="B3" s="143"/>
      <c r="C3" s="97" t="s">
        <v>71</v>
      </c>
      <c r="D3" s="97" t="s">
        <v>64</v>
      </c>
      <c r="E3" s="97" t="s">
        <v>71</v>
      </c>
      <c r="F3" s="97" t="s">
        <v>64</v>
      </c>
      <c r="G3" s="97" t="s">
        <v>71</v>
      </c>
      <c r="H3" s="97" t="s">
        <v>64</v>
      </c>
      <c r="I3" s="97" t="s">
        <v>71</v>
      </c>
      <c r="J3" s="98" t="s">
        <v>64</v>
      </c>
    </row>
    <row r="4" spans="1:10" ht="199.5" x14ac:dyDescent="0.2">
      <c r="A4" s="147" t="s">
        <v>72</v>
      </c>
      <c r="B4" s="149" t="s">
        <v>73</v>
      </c>
      <c r="C4" s="99" t="s">
        <v>74</v>
      </c>
      <c r="D4" s="99" t="s">
        <v>75</v>
      </c>
      <c r="E4" s="99" t="s">
        <v>76</v>
      </c>
      <c r="F4" s="99" t="s">
        <v>75</v>
      </c>
      <c r="G4" s="100" t="s">
        <v>77</v>
      </c>
      <c r="H4" s="101" t="s">
        <v>78</v>
      </c>
      <c r="I4" s="102" t="s">
        <v>79</v>
      </c>
      <c r="J4" s="103" t="s">
        <v>80</v>
      </c>
    </row>
    <row r="5" spans="1:10" ht="57" x14ac:dyDescent="0.2">
      <c r="A5" s="147"/>
      <c r="B5" s="149"/>
      <c r="C5" s="104" t="s">
        <v>81</v>
      </c>
      <c r="D5" s="104" t="s">
        <v>82</v>
      </c>
      <c r="E5" s="105" t="s">
        <v>83</v>
      </c>
      <c r="F5" s="99" t="s">
        <v>75</v>
      </c>
      <c r="G5" s="106" t="s">
        <v>84</v>
      </c>
      <c r="H5" s="101" t="s">
        <v>85</v>
      </c>
      <c r="I5" s="107" t="s">
        <v>86</v>
      </c>
      <c r="J5" s="108" t="s">
        <v>75</v>
      </c>
    </row>
    <row r="6" spans="1:10" ht="13.9" customHeight="1" x14ac:dyDescent="0.2">
      <c r="A6" s="147"/>
      <c r="B6" s="149"/>
      <c r="C6" s="105" t="s">
        <v>87</v>
      </c>
      <c r="D6" s="99" t="s">
        <v>75</v>
      </c>
      <c r="E6" s="104" t="s">
        <v>88</v>
      </c>
      <c r="F6" s="99" t="s">
        <v>75</v>
      </c>
      <c r="G6" s="109" t="s">
        <v>89</v>
      </c>
      <c r="H6" s="107" t="s">
        <v>75</v>
      </c>
      <c r="I6" s="107" t="s">
        <v>90</v>
      </c>
      <c r="J6" s="108" t="s">
        <v>75</v>
      </c>
    </row>
    <row r="7" spans="1:10" ht="13.9" customHeight="1" x14ac:dyDescent="0.2">
      <c r="A7" s="147"/>
      <c r="B7" s="149"/>
      <c r="C7" s="104" t="s">
        <v>83</v>
      </c>
      <c r="D7" s="99" t="s">
        <v>75</v>
      </c>
      <c r="E7" s="104"/>
      <c r="F7" s="104"/>
      <c r="G7" s="107" t="s">
        <v>74</v>
      </c>
      <c r="H7" s="107" t="s">
        <v>75</v>
      </c>
      <c r="I7" s="107" t="s">
        <v>91</v>
      </c>
      <c r="J7" s="108" t="s">
        <v>75</v>
      </c>
    </row>
    <row r="8" spans="1:10" ht="13.9" customHeight="1" x14ac:dyDescent="0.2">
      <c r="A8" s="147"/>
      <c r="B8" s="149"/>
      <c r="C8" s="104" t="s">
        <v>88</v>
      </c>
      <c r="D8" s="99" t="s">
        <v>75</v>
      </c>
      <c r="E8" s="104"/>
      <c r="F8" s="104"/>
      <c r="G8" s="109" t="s">
        <v>83</v>
      </c>
      <c r="H8" s="107" t="s">
        <v>75</v>
      </c>
      <c r="I8" s="107" t="s">
        <v>74</v>
      </c>
      <c r="J8" s="108" t="s">
        <v>75</v>
      </c>
    </row>
    <row r="9" spans="1:10" ht="13.9" customHeight="1" x14ac:dyDescent="0.2">
      <c r="A9" s="147"/>
      <c r="B9" s="149"/>
      <c r="C9" s="104"/>
      <c r="D9" s="104"/>
      <c r="E9" s="104"/>
      <c r="F9" s="104"/>
      <c r="G9" s="109" t="s">
        <v>88</v>
      </c>
      <c r="H9" s="107" t="s">
        <v>75</v>
      </c>
      <c r="I9" s="110" t="s">
        <v>83</v>
      </c>
      <c r="J9" s="108" t="s">
        <v>75</v>
      </c>
    </row>
    <row r="10" spans="1:10" ht="15" thickBot="1" x14ac:dyDescent="0.25">
      <c r="A10" s="148"/>
      <c r="B10" s="150"/>
      <c r="C10" s="111"/>
      <c r="D10" s="111"/>
      <c r="E10" s="111"/>
      <c r="F10" s="111"/>
      <c r="G10" s="112"/>
      <c r="H10" s="113"/>
      <c r="I10" s="112" t="s">
        <v>88</v>
      </c>
      <c r="J10" s="114" t="s">
        <v>75</v>
      </c>
    </row>
    <row r="11" spans="1:10" ht="199.5" x14ac:dyDescent="0.2">
      <c r="A11" s="151" t="s">
        <v>92</v>
      </c>
      <c r="B11" s="152" t="s">
        <v>93</v>
      </c>
      <c r="C11" s="102" t="s">
        <v>74</v>
      </c>
      <c r="D11" s="102" t="s">
        <v>75</v>
      </c>
      <c r="E11" s="102" t="s">
        <v>76</v>
      </c>
      <c r="F11" s="102" t="s">
        <v>75</v>
      </c>
      <c r="G11" s="102" t="s">
        <v>77</v>
      </c>
      <c r="H11" s="101" t="s">
        <v>94</v>
      </c>
      <c r="I11" s="115" t="s">
        <v>79</v>
      </c>
      <c r="J11" s="116" t="s">
        <v>95</v>
      </c>
    </row>
    <row r="12" spans="1:10" ht="57" x14ac:dyDescent="0.2">
      <c r="A12" s="147"/>
      <c r="B12" s="153"/>
      <c r="C12" s="107" t="s">
        <v>87</v>
      </c>
      <c r="D12" s="115" t="s">
        <v>75</v>
      </c>
      <c r="E12" s="107" t="s">
        <v>83</v>
      </c>
      <c r="F12" s="115" t="s">
        <v>75</v>
      </c>
      <c r="G12" s="107" t="s">
        <v>84</v>
      </c>
      <c r="H12" s="101" t="s">
        <v>85</v>
      </c>
      <c r="I12" s="107" t="s">
        <v>86</v>
      </c>
      <c r="J12" s="108" t="s">
        <v>75</v>
      </c>
    </row>
    <row r="13" spans="1:10" ht="13.9" customHeight="1" x14ac:dyDescent="0.2">
      <c r="A13" s="147"/>
      <c r="B13" s="153"/>
      <c r="C13" s="110" t="s">
        <v>83</v>
      </c>
      <c r="D13" s="115" t="s">
        <v>75</v>
      </c>
      <c r="E13" s="110" t="s">
        <v>88</v>
      </c>
      <c r="F13" s="115" t="s">
        <v>75</v>
      </c>
      <c r="G13" s="110" t="s">
        <v>89</v>
      </c>
      <c r="H13" s="107" t="s">
        <v>75</v>
      </c>
      <c r="I13" s="107" t="s">
        <v>90</v>
      </c>
      <c r="J13" s="108" t="s">
        <v>75</v>
      </c>
    </row>
    <row r="14" spans="1:10" ht="13.9" customHeight="1" x14ac:dyDescent="0.2">
      <c r="A14" s="147"/>
      <c r="B14" s="153"/>
      <c r="C14" s="110" t="s">
        <v>88</v>
      </c>
      <c r="D14" s="115" t="s">
        <v>75</v>
      </c>
      <c r="E14" s="110"/>
      <c r="F14" s="110"/>
      <c r="G14" s="107" t="s">
        <v>74</v>
      </c>
      <c r="H14" s="107" t="s">
        <v>75</v>
      </c>
      <c r="I14" s="107" t="s">
        <v>91</v>
      </c>
      <c r="J14" s="108" t="s">
        <v>75</v>
      </c>
    </row>
    <row r="15" spans="1:10" ht="13.9" customHeight="1" x14ac:dyDescent="0.2">
      <c r="A15" s="147"/>
      <c r="B15" s="153"/>
      <c r="C15" s="110"/>
      <c r="D15" s="110"/>
      <c r="E15" s="110"/>
      <c r="F15" s="110"/>
      <c r="G15" s="110" t="s">
        <v>83</v>
      </c>
      <c r="H15" s="107" t="s">
        <v>75</v>
      </c>
      <c r="I15" s="107" t="s">
        <v>74</v>
      </c>
      <c r="J15" s="108" t="s">
        <v>75</v>
      </c>
    </row>
    <row r="16" spans="1:10" x14ac:dyDescent="0.2">
      <c r="A16" s="147"/>
      <c r="B16" s="153"/>
      <c r="C16" s="110"/>
      <c r="D16" s="110"/>
      <c r="E16" s="110"/>
      <c r="F16" s="110"/>
      <c r="G16" s="110" t="s">
        <v>88</v>
      </c>
      <c r="H16" s="107" t="s">
        <v>75</v>
      </c>
      <c r="I16" s="110" t="s">
        <v>83</v>
      </c>
      <c r="J16" s="108" t="s">
        <v>75</v>
      </c>
    </row>
    <row r="17" spans="1:10" ht="15" thickBot="1" x14ac:dyDescent="0.25">
      <c r="A17" s="148"/>
      <c r="B17" s="150"/>
      <c r="C17" s="117"/>
      <c r="D17" s="117"/>
      <c r="E17" s="112"/>
      <c r="F17" s="112"/>
      <c r="G17" s="112"/>
      <c r="H17" s="112"/>
      <c r="I17" s="112" t="s">
        <v>88</v>
      </c>
      <c r="J17" s="114" t="s">
        <v>75</v>
      </c>
    </row>
    <row r="18" spans="1:10" ht="285" x14ac:dyDescent="0.2">
      <c r="A18" s="151" t="s">
        <v>96</v>
      </c>
      <c r="B18" s="154" t="s">
        <v>97</v>
      </c>
      <c r="C18" s="99" t="s">
        <v>74</v>
      </c>
      <c r="D18" s="99" t="s">
        <v>75</v>
      </c>
      <c r="E18" s="118" t="s">
        <v>76</v>
      </c>
      <c r="F18" s="119" t="s">
        <v>75</v>
      </c>
      <c r="G18" s="119" t="s">
        <v>77</v>
      </c>
      <c r="H18" s="120" t="s">
        <v>78</v>
      </c>
      <c r="I18" s="119" t="s">
        <v>79</v>
      </c>
      <c r="J18" s="121" t="s">
        <v>98</v>
      </c>
    </row>
    <row r="19" spans="1:10" x14ac:dyDescent="0.2">
      <c r="A19" s="147"/>
      <c r="B19" s="149"/>
      <c r="C19" s="104" t="s">
        <v>81</v>
      </c>
      <c r="D19" s="104" t="s">
        <v>82</v>
      </c>
      <c r="E19" s="106" t="s">
        <v>83</v>
      </c>
      <c r="F19" s="115" t="s">
        <v>75</v>
      </c>
      <c r="G19" s="107" t="s">
        <v>84</v>
      </c>
      <c r="H19" s="107" t="s">
        <v>75</v>
      </c>
      <c r="I19" s="107" t="s">
        <v>99</v>
      </c>
      <c r="J19" s="122" t="s">
        <v>100</v>
      </c>
    </row>
    <row r="20" spans="1:10" x14ac:dyDescent="0.2">
      <c r="A20" s="147"/>
      <c r="B20" s="149"/>
      <c r="C20" s="105" t="s">
        <v>87</v>
      </c>
      <c r="D20" s="99" t="s">
        <v>75</v>
      </c>
      <c r="E20" s="109" t="s">
        <v>88</v>
      </c>
      <c r="F20" s="115" t="s">
        <v>75</v>
      </c>
      <c r="G20" s="110" t="s">
        <v>89</v>
      </c>
      <c r="H20" s="107" t="s">
        <v>75</v>
      </c>
      <c r="I20" s="110" t="s">
        <v>101</v>
      </c>
      <c r="J20" s="108" t="s">
        <v>75</v>
      </c>
    </row>
    <row r="21" spans="1:10" x14ac:dyDescent="0.2">
      <c r="A21" s="147"/>
      <c r="B21" s="149"/>
      <c r="C21" s="104" t="s">
        <v>83</v>
      </c>
      <c r="D21" s="99" t="s">
        <v>75</v>
      </c>
      <c r="E21" s="109"/>
      <c r="F21" s="110"/>
      <c r="G21" s="107" t="s">
        <v>74</v>
      </c>
      <c r="H21" s="107" t="s">
        <v>75</v>
      </c>
      <c r="I21" s="107" t="s">
        <v>86</v>
      </c>
      <c r="J21" s="108" t="s">
        <v>75</v>
      </c>
    </row>
    <row r="22" spans="1:10" x14ac:dyDescent="0.2">
      <c r="A22" s="147"/>
      <c r="B22" s="149"/>
      <c r="C22" s="104" t="s">
        <v>88</v>
      </c>
      <c r="D22" s="99" t="s">
        <v>75</v>
      </c>
      <c r="E22" s="109"/>
      <c r="F22" s="110"/>
      <c r="G22" s="110" t="s">
        <v>83</v>
      </c>
      <c r="H22" s="107" t="s">
        <v>75</v>
      </c>
      <c r="I22" s="107" t="s">
        <v>90</v>
      </c>
      <c r="J22" s="108" t="s">
        <v>75</v>
      </c>
    </row>
    <row r="23" spans="1:10" x14ac:dyDescent="0.2">
      <c r="A23" s="147"/>
      <c r="B23" s="153"/>
      <c r="C23" s="123"/>
      <c r="D23" s="123"/>
      <c r="E23" s="110"/>
      <c r="F23" s="110"/>
      <c r="G23" s="110" t="s">
        <v>88</v>
      </c>
      <c r="H23" s="107" t="s">
        <v>75</v>
      </c>
      <c r="I23" s="107" t="s">
        <v>91</v>
      </c>
      <c r="J23" s="108" t="s">
        <v>75</v>
      </c>
    </row>
    <row r="24" spans="1:10" x14ac:dyDescent="0.2">
      <c r="A24" s="147"/>
      <c r="B24" s="153"/>
      <c r="C24" s="110"/>
      <c r="D24" s="110"/>
      <c r="E24" s="110"/>
      <c r="F24" s="110"/>
      <c r="G24" s="110"/>
      <c r="H24" s="110"/>
      <c r="I24" s="124" t="s">
        <v>102</v>
      </c>
      <c r="J24" s="108" t="s">
        <v>75</v>
      </c>
    </row>
    <row r="25" spans="1:10" x14ac:dyDescent="0.2">
      <c r="A25" s="147"/>
      <c r="B25" s="153"/>
      <c r="C25" s="110"/>
      <c r="D25" s="110"/>
      <c r="E25" s="110"/>
      <c r="F25" s="110"/>
      <c r="G25" s="110"/>
      <c r="H25" s="110"/>
      <c r="I25" s="107" t="s">
        <v>74</v>
      </c>
      <c r="J25" s="108" t="s">
        <v>75</v>
      </c>
    </row>
    <row r="26" spans="1:10" x14ac:dyDescent="0.2">
      <c r="A26" s="147"/>
      <c r="B26" s="153"/>
      <c r="C26" s="110"/>
      <c r="D26" s="110"/>
      <c r="E26" s="110"/>
      <c r="F26" s="110"/>
      <c r="G26" s="110"/>
      <c r="H26" s="110"/>
      <c r="I26" s="110" t="s">
        <v>83</v>
      </c>
      <c r="J26" s="108" t="s">
        <v>75</v>
      </c>
    </row>
    <row r="27" spans="1:10" ht="15" thickBot="1" x14ac:dyDescent="0.25">
      <c r="A27" s="148"/>
      <c r="B27" s="150"/>
      <c r="C27" s="112"/>
      <c r="D27" s="112"/>
      <c r="E27" s="112"/>
      <c r="F27" s="112"/>
      <c r="G27" s="112"/>
      <c r="H27" s="112"/>
      <c r="I27" s="112" t="s">
        <v>88</v>
      </c>
      <c r="J27" s="114" t="s">
        <v>75</v>
      </c>
    </row>
  </sheetData>
  <mergeCells count="13">
    <mergeCell ref="A4:A10"/>
    <mergeCell ref="B4:B10"/>
    <mergeCell ref="A11:A17"/>
    <mergeCell ref="B11:B17"/>
    <mergeCell ref="A18:A27"/>
    <mergeCell ref="B18:B27"/>
    <mergeCell ref="A1:A3"/>
    <mergeCell ref="B1:B3"/>
    <mergeCell ref="C1:J1"/>
    <mergeCell ref="C2:D2"/>
    <mergeCell ref="E2:F2"/>
    <mergeCell ref="G2:H2"/>
    <mergeCell ref="I2:J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</vt:lpstr>
      <vt:lpstr>Summary</vt:lpstr>
      <vt:lpstr>Scenario Test</vt:lpstr>
      <vt:lpstr>TestCase</vt:lpstr>
      <vt:lpstr>C#</vt:lpstr>
      <vt:lpstr>UpdateData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NhiDY</dc:creator>
  <cp:lastModifiedBy>Nhi Doan</cp:lastModifiedBy>
  <dcterms:created xsi:type="dcterms:W3CDTF">2017-08-07T02:35:23Z</dcterms:created>
  <dcterms:modified xsi:type="dcterms:W3CDTF">2025-01-09T13:41:29Z</dcterms:modified>
</cp:coreProperties>
</file>