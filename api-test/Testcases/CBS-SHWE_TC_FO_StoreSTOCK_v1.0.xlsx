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JITS\NEPTUNE\testcases-zip\CBS-SHWE\"/>
    </mc:Choice>
  </mc:AlternateContent>
  <xr:revisionPtr revIDLastSave="0" documentId="13_ncr:1_{7632E058-DFB0-47E1-AF95-74DFFFC32645}" xr6:coauthVersionLast="45" xr6:coauthVersionMax="45" xr10:uidLastSave="{00000000-0000-0000-0000-000000000000}"/>
  <bookViews>
    <workbookView xWindow="-108" yWindow="-108" windowWidth="23256" windowHeight="12720" activeTab="3" xr2:uid="{00000000-000D-0000-FFFF-FFFF00000000}"/>
  </bookViews>
  <sheets>
    <sheet name="Version" sheetId="1" r:id="rId1"/>
    <sheet name="Summary" sheetId="2" r:id="rId2"/>
    <sheet name="Scenario Test" sheetId="3" r:id="rId3"/>
    <sheet name="TestCase" sheetId="4" r:id="rId4"/>
    <sheet name="UpdateData" sheetId="5" r:id="rId5"/>
  </sheets>
  <externalReferences>
    <externalReference r:id="rId6"/>
  </externalReferences>
  <definedNames>
    <definedName name="_xlnm._FilterDatabase" localSheetId="3" hidden="1">TestCase!$A$5:$P$189</definedName>
    <definedName name="Pass">'[1]Test Case_ILC'!$H$13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74" i="4" l="1"/>
  <c r="B74" i="4" s="1"/>
  <c r="A139" i="4"/>
  <c r="B139" i="4" s="1"/>
  <c r="A151" i="4" l="1"/>
  <c r="B151" i="4" s="1"/>
  <c r="A152" i="4"/>
  <c r="B152" i="4" s="1"/>
  <c r="A150" i="4"/>
  <c r="B150" i="4" s="1"/>
  <c r="A140" i="4"/>
  <c r="B140" i="4" s="1"/>
  <c r="A177" i="4" l="1"/>
  <c r="A178" i="4"/>
  <c r="B178" i="4" s="1"/>
  <c r="A156" i="4"/>
  <c r="B156" i="4" s="1"/>
  <c r="A141" i="4"/>
  <c r="B141" i="4" s="1"/>
  <c r="D177" i="4"/>
  <c r="B177" i="4"/>
  <c r="A176" i="4"/>
  <c r="B176" i="4" s="1"/>
  <c r="A175" i="4"/>
  <c r="B175" i="4" s="1"/>
  <c r="A173" i="4"/>
  <c r="B173" i="4" s="1"/>
  <c r="A174" i="4"/>
  <c r="B174" i="4" s="1"/>
  <c r="A179" i="4"/>
  <c r="B179" i="4" s="1"/>
  <c r="A180" i="4"/>
  <c r="B180" i="4" s="1"/>
  <c r="A181" i="4"/>
  <c r="B181" i="4" s="1"/>
  <c r="A182" i="4"/>
  <c r="B182" i="4" s="1"/>
  <c r="A183" i="4"/>
  <c r="B183" i="4" s="1"/>
  <c r="A184" i="4"/>
  <c r="B184" i="4" s="1"/>
  <c r="A185" i="4"/>
  <c r="B185" i="4" s="1"/>
  <c r="A186" i="4"/>
  <c r="B186" i="4" s="1"/>
  <c r="A187" i="4"/>
  <c r="B187" i="4" s="1"/>
  <c r="A188" i="4"/>
  <c r="B188" i="4" s="1"/>
  <c r="A189" i="4"/>
  <c r="B189" i="4" s="1"/>
  <c r="A172" i="4"/>
  <c r="B172" i="4" s="1"/>
  <c r="A171" i="4"/>
  <c r="B171" i="4" s="1"/>
  <c r="A168" i="4"/>
  <c r="B168" i="4" s="1"/>
  <c r="A167" i="4"/>
  <c r="B167" i="4" s="1"/>
  <c r="A157" i="4"/>
  <c r="B157" i="4" s="1"/>
  <c r="A158" i="4"/>
  <c r="B158" i="4" s="1"/>
  <c r="A159" i="4"/>
  <c r="B159" i="4" s="1"/>
  <c r="A160" i="4"/>
  <c r="B160" i="4" s="1"/>
  <c r="A161" i="4"/>
  <c r="B161" i="4" s="1"/>
  <c r="A155" i="4"/>
  <c r="A162" i="4"/>
  <c r="B162" i="4" s="1"/>
  <c r="A163" i="4"/>
  <c r="B163" i="4" s="1"/>
  <c r="A164" i="4"/>
  <c r="B164" i="4" s="1"/>
  <c r="A165" i="4"/>
  <c r="B165" i="4" s="1"/>
  <c r="A166" i="4"/>
  <c r="B166" i="4" s="1"/>
  <c r="A169" i="4"/>
  <c r="B169" i="4" s="1"/>
  <c r="A170" i="4"/>
  <c r="B170" i="4" s="1"/>
  <c r="A154" i="4"/>
  <c r="B154" i="4" s="1"/>
  <c r="A142" i="4"/>
  <c r="B142" i="4" s="1"/>
  <c r="A143" i="4"/>
  <c r="B143" i="4" s="1"/>
  <c r="A144" i="4"/>
  <c r="B144" i="4" s="1"/>
  <c r="A113" i="4"/>
  <c r="B113" i="4" s="1"/>
  <c r="A114" i="4"/>
  <c r="B114" i="4" s="1"/>
  <c r="A115" i="4"/>
  <c r="B115" i="4" s="1"/>
  <c r="A116" i="4"/>
  <c r="B116" i="4" s="1"/>
  <c r="B155" i="4"/>
  <c r="A148" i="4"/>
  <c r="B148" i="4" s="1"/>
  <c r="A149" i="4"/>
  <c r="B149" i="4" s="1"/>
  <c r="A145" i="4"/>
  <c r="B145" i="4" s="1"/>
  <c r="A146" i="4"/>
  <c r="B146" i="4" s="1"/>
  <c r="A147" i="4"/>
  <c r="B147" i="4" s="1"/>
  <c r="A153" i="4"/>
  <c r="B153" i="4" s="1"/>
  <c r="A138" i="4"/>
  <c r="B138" i="4" s="1"/>
  <c r="A137" i="4"/>
  <c r="B137" i="4" s="1"/>
  <c r="A135" i="4"/>
  <c r="B135" i="4" s="1"/>
  <c r="A134" i="4"/>
  <c r="B134" i="4" s="1"/>
  <c r="A133" i="4"/>
  <c r="B133" i="4" s="1"/>
  <c r="A132" i="4"/>
  <c r="B132" i="4" s="1"/>
  <c r="A111" i="4"/>
  <c r="B111" i="4" s="1"/>
  <c r="A123" i="4"/>
  <c r="B123" i="4" s="1"/>
  <c r="A92" i="4"/>
  <c r="B92" i="4" s="1"/>
  <c r="A103" i="4"/>
  <c r="B103" i="4" s="1"/>
  <c r="A104" i="4"/>
  <c r="B104" i="4" s="1"/>
  <c r="A102" i="4"/>
  <c r="B102" i="4" s="1"/>
  <c r="A101" i="4"/>
  <c r="B101" i="4" s="1"/>
  <c r="A108" i="4"/>
  <c r="B108" i="4" s="1"/>
  <c r="A109" i="4"/>
  <c r="B109" i="4" s="1"/>
  <c r="A110" i="4"/>
  <c r="B110" i="4" s="1"/>
  <c r="A112" i="4"/>
  <c r="B112" i="4" s="1"/>
  <c r="A117" i="4"/>
  <c r="B117" i="4" s="1"/>
  <c r="A118" i="4"/>
  <c r="B118" i="4" s="1"/>
  <c r="A119" i="4"/>
  <c r="B119" i="4" s="1"/>
  <c r="A120" i="4"/>
  <c r="B120" i="4" s="1"/>
  <c r="A121" i="4"/>
  <c r="B121" i="4" s="1"/>
  <c r="A122" i="4"/>
  <c r="B122" i="4" s="1"/>
  <c r="A124" i="4"/>
  <c r="B124" i="4" s="1"/>
  <c r="A125" i="4"/>
  <c r="B125" i="4" s="1"/>
  <c r="A126" i="4"/>
  <c r="B126" i="4" s="1"/>
  <c r="A127" i="4"/>
  <c r="B127" i="4" s="1"/>
  <c r="A128" i="4"/>
  <c r="B128" i="4" s="1"/>
  <c r="A129" i="4"/>
  <c r="B129" i="4" s="1"/>
  <c r="A130" i="4"/>
  <c r="B130" i="4" s="1"/>
  <c r="A131" i="4"/>
  <c r="B131" i="4" s="1"/>
  <c r="A136" i="4"/>
  <c r="B136" i="4" s="1"/>
  <c r="A107" i="4"/>
  <c r="B107" i="4" s="1"/>
  <c r="A106" i="4"/>
  <c r="B106" i="4" s="1"/>
  <c r="A95" i="4"/>
  <c r="B95" i="4" s="1"/>
  <c r="A82" i="4"/>
  <c r="B82" i="4" s="1"/>
  <c r="A83" i="4"/>
  <c r="B83" i="4" s="1"/>
  <c r="A84" i="4"/>
  <c r="B84" i="4" s="1"/>
  <c r="A85" i="4"/>
  <c r="B85" i="4" s="1"/>
  <c r="A86" i="4"/>
  <c r="B86" i="4" s="1"/>
  <c r="A87" i="4"/>
  <c r="B87" i="4" s="1"/>
  <c r="A88" i="4"/>
  <c r="B88" i="4" s="1"/>
  <c r="A89" i="4"/>
  <c r="B89" i="4" s="1"/>
  <c r="A90" i="4"/>
  <c r="B90" i="4" s="1"/>
  <c r="A91" i="4"/>
  <c r="B91" i="4" s="1"/>
  <c r="A93" i="4"/>
  <c r="B93" i="4" s="1"/>
  <c r="A94" i="4"/>
  <c r="B94" i="4" s="1"/>
  <c r="A96" i="4"/>
  <c r="B96" i="4" s="1"/>
  <c r="A97" i="4"/>
  <c r="B97" i="4" s="1"/>
  <c r="A98" i="4"/>
  <c r="B98" i="4" s="1"/>
  <c r="A99" i="4"/>
  <c r="B99" i="4" s="1"/>
  <c r="A100" i="4"/>
  <c r="B100" i="4" s="1"/>
  <c r="A105" i="4"/>
  <c r="B105" i="4" s="1"/>
  <c r="A77" i="4"/>
  <c r="A78" i="4"/>
  <c r="A79" i="4"/>
  <c r="A80" i="4"/>
  <c r="A81" i="4"/>
  <c r="A76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5" i="4"/>
  <c r="B73" i="4" l="1"/>
  <c r="B72" i="4"/>
  <c r="B71" i="4"/>
  <c r="B70" i="4"/>
  <c r="B64" i="4"/>
  <c r="B55" i="4"/>
  <c r="B54" i="4"/>
  <c r="B53" i="4"/>
  <c r="B52" i="4"/>
  <c r="A50" i="4"/>
  <c r="B50" i="4" s="1"/>
  <c r="A41" i="4"/>
  <c r="B41" i="4" s="1"/>
  <c r="A42" i="4"/>
  <c r="B42" i="4" s="1"/>
  <c r="A43" i="4"/>
  <c r="B43" i="4" s="1"/>
  <c r="A39" i="4"/>
  <c r="B39" i="4" s="1"/>
  <c r="A38" i="4"/>
  <c r="B38" i="4" s="1"/>
  <c r="A37" i="4"/>
  <c r="B37" i="4" s="1"/>
  <c r="A36" i="4"/>
  <c r="B36" i="4" s="1"/>
  <c r="A35" i="4"/>
  <c r="B35" i="4" s="1"/>
  <c r="A34" i="4"/>
  <c r="B34" i="4" s="1"/>
  <c r="A31" i="4"/>
  <c r="B31" i="4" s="1"/>
  <c r="A32" i="4"/>
  <c r="B32" i="4" s="1"/>
  <c r="A30" i="4"/>
  <c r="B30" i="4" s="1"/>
  <c r="A40" i="4"/>
  <c r="B40" i="4" s="1"/>
  <c r="A33" i="4"/>
  <c r="B33" i="4" s="1"/>
  <c r="A29" i="4"/>
  <c r="B29" i="4" s="1"/>
  <c r="A28" i="4"/>
  <c r="B28" i="4" s="1"/>
  <c r="A13" i="4"/>
  <c r="B13" i="4" s="1"/>
  <c r="A11" i="4"/>
  <c r="B11" i="4" s="1"/>
  <c r="A20" i="4"/>
  <c r="B20" i="4" s="1"/>
  <c r="A21" i="4"/>
  <c r="B21" i="4" s="1"/>
  <c r="A19" i="4"/>
  <c r="B19" i="4" s="1"/>
  <c r="A18" i="4"/>
  <c r="B18" i="4" s="1"/>
  <c r="A17" i="4"/>
  <c r="B17" i="4" s="1"/>
  <c r="A16" i="4"/>
  <c r="B16" i="4" s="1"/>
  <c r="A12" i="4"/>
  <c r="B12" i="4" s="1"/>
  <c r="A9" i="4"/>
  <c r="B9" i="4" s="1"/>
  <c r="A10" i="4"/>
  <c r="B10" i="4" s="1"/>
  <c r="B78" i="4" l="1"/>
  <c r="B79" i="4"/>
  <c r="B80" i="4"/>
  <c r="B81" i="4"/>
  <c r="B77" i="4"/>
  <c r="B76" i="4"/>
  <c r="B75" i="4"/>
  <c r="B69" i="4"/>
  <c r="B68" i="4"/>
  <c r="B66" i="4"/>
  <c r="B65" i="4"/>
  <c r="B67" i="4"/>
  <c r="B63" i="4"/>
  <c r="B62" i="4"/>
  <c r="A47" i="4"/>
  <c r="B47" i="4" s="1"/>
  <c r="A14" i="4" l="1"/>
  <c r="B14" i="4" s="1"/>
  <c r="A7" i="4" l="1"/>
  <c r="B7" i="4" s="1"/>
  <c r="A48" i="4" l="1"/>
  <c r="B48" i="4" s="1"/>
  <c r="A51" i="4"/>
  <c r="B51" i="4" s="1"/>
  <c r="B56" i="4"/>
  <c r="B57" i="4"/>
  <c r="B58" i="4"/>
  <c r="B59" i="4"/>
  <c r="B60" i="4"/>
  <c r="B61" i="4"/>
  <c r="A15" i="4"/>
  <c r="B15" i="4" s="1"/>
  <c r="A22" i="4"/>
  <c r="B22" i="4" s="1"/>
  <c r="A23" i="4"/>
  <c r="B23" i="4" s="1"/>
  <c r="A24" i="4"/>
  <c r="B24" i="4" s="1"/>
  <c r="A25" i="4"/>
  <c r="B25" i="4" s="1"/>
  <c r="A26" i="4"/>
  <c r="B26" i="4" s="1"/>
  <c r="A27" i="4"/>
  <c r="B27" i="4" s="1"/>
  <c r="A44" i="4"/>
  <c r="B44" i="4" s="1"/>
  <c r="A49" i="4"/>
  <c r="B49" i="4" s="1"/>
  <c r="A46" i="4"/>
  <c r="B46" i="4" s="1"/>
  <c r="A8" i="4" l="1"/>
  <c r="B8" i="4" s="1"/>
  <c r="A6" i="4"/>
  <c r="B6" i="4" s="1"/>
  <c r="A45" i="4" l="1"/>
  <c r="B45" i="4" s="1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E24" i="2" s="1"/>
  <c r="D19" i="2"/>
  <c r="C19" i="2"/>
  <c r="C24" i="2" s="1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H28" i="3" l="1"/>
  <c r="D28" i="3"/>
  <c r="F27" i="3"/>
  <c r="H26" i="3"/>
  <c r="D26" i="3"/>
  <c r="G27" i="3"/>
  <c r="I26" i="3"/>
  <c r="G28" i="3"/>
  <c r="C28" i="3"/>
  <c r="I27" i="3"/>
  <c r="E27" i="3"/>
  <c r="G26" i="3"/>
  <c r="C26" i="3"/>
  <c r="E28" i="3"/>
  <c r="F28" i="3"/>
  <c r="H27" i="3"/>
  <c r="D27" i="3"/>
  <c r="F26" i="3"/>
  <c r="I28" i="3"/>
  <c r="C27" i="3"/>
  <c r="E26" i="3"/>
  <c r="H14" i="3"/>
  <c r="D14" i="3"/>
  <c r="I14" i="3"/>
  <c r="G14" i="3"/>
  <c r="C14" i="3"/>
  <c r="E14" i="3"/>
  <c r="F14" i="3"/>
  <c r="E24" i="3"/>
  <c r="E23" i="3"/>
  <c r="H22" i="3"/>
  <c r="D22" i="3"/>
  <c r="G22" i="3"/>
  <c r="C22" i="3"/>
  <c r="F22" i="3"/>
  <c r="I22" i="3"/>
  <c r="E22" i="3"/>
  <c r="D24" i="2"/>
  <c r="F24" i="2"/>
  <c r="F14" i="2"/>
  <c r="C14" i="2"/>
  <c r="D14" i="2"/>
  <c r="E14" i="2"/>
  <c r="C16" i="3"/>
  <c r="C21" i="3"/>
  <c r="E18" i="3"/>
  <c r="C24" i="3"/>
  <c r="D8" i="3"/>
  <c r="F10" i="3"/>
  <c r="G20" i="3"/>
  <c r="H12" i="3"/>
  <c r="F6" i="3"/>
  <c r="H8" i="3"/>
  <c r="C11" i="3"/>
  <c r="E13" i="3"/>
  <c r="G16" i="3"/>
  <c r="I18" i="3"/>
  <c r="G24" i="3"/>
  <c r="D25" i="3"/>
  <c r="C7" i="3"/>
  <c r="E9" i="3"/>
  <c r="G11" i="3"/>
  <c r="I13" i="3"/>
  <c r="D17" i="3"/>
  <c r="F19" i="3"/>
  <c r="G7" i="3"/>
  <c r="I9" i="3"/>
  <c r="D12" i="3"/>
  <c r="F15" i="3"/>
  <c r="H17" i="3"/>
  <c r="C20" i="3"/>
  <c r="G21" i="3"/>
  <c r="F23" i="3"/>
  <c r="H25" i="3"/>
  <c r="C6" i="3"/>
  <c r="G6" i="3"/>
  <c r="D7" i="3"/>
  <c r="H7" i="3"/>
  <c r="E8" i="3"/>
  <c r="I8" i="3"/>
  <c r="F9" i="3"/>
  <c r="C10" i="3"/>
  <c r="G10" i="3"/>
  <c r="D11" i="3"/>
  <c r="H11" i="3"/>
  <c r="E12" i="3"/>
  <c r="I12" i="3"/>
  <c r="F13" i="3"/>
  <c r="C15" i="3"/>
  <c r="G15" i="3"/>
  <c r="D16" i="3"/>
  <c r="H16" i="3"/>
  <c r="E17" i="3"/>
  <c r="I17" i="3"/>
  <c r="F18" i="3"/>
  <c r="C19" i="3"/>
  <c r="G19" i="3"/>
  <c r="D20" i="3"/>
  <c r="H20" i="3"/>
  <c r="D21" i="3"/>
  <c r="H21" i="3"/>
  <c r="C23" i="3"/>
  <c r="G23" i="3"/>
  <c r="D24" i="3"/>
  <c r="H24" i="3"/>
  <c r="E25" i="3"/>
  <c r="I25" i="3"/>
  <c r="D6" i="3"/>
  <c r="E7" i="3"/>
  <c r="F8" i="3"/>
  <c r="C9" i="3"/>
  <c r="G9" i="3"/>
  <c r="D10" i="3"/>
  <c r="H10" i="3"/>
  <c r="E11" i="3"/>
  <c r="I11" i="3"/>
  <c r="F12" i="3"/>
  <c r="C13" i="3"/>
  <c r="G13" i="3"/>
  <c r="D15" i="3"/>
  <c r="H15" i="3"/>
  <c r="E16" i="3"/>
  <c r="I16" i="3"/>
  <c r="F17" i="3"/>
  <c r="C18" i="3"/>
  <c r="G18" i="3"/>
  <c r="D19" i="3"/>
  <c r="H19" i="3"/>
  <c r="E20" i="3"/>
  <c r="I20" i="3"/>
  <c r="E21" i="3"/>
  <c r="I21" i="3"/>
  <c r="D23" i="3"/>
  <c r="H23" i="3"/>
  <c r="I24" i="3"/>
  <c r="F25" i="3"/>
  <c r="H6" i="3"/>
  <c r="I7" i="3"/>
  <c r="E6" i="3"/>
  <c r="I6" i="3"/>
  <c r="F7" i="3"/>
  <c r="C8" i="3"/>
  <c r="G8" i="3"/>
  <c r="D9" i="3"/>
  <c r="H9" i="3"/>
  <c r="E10" i="3"/>
  <c r="I10" i="3"/>
  <c r="F11" i="3"/>
  <c r="J11" i="3" s="1"/>
  <c r="N11" i="3" s="1"/>
  <c r="C12" i="3"/>
  <c r="G12" i="3"/>
  <c r="D13" i="3"/>
  <c r="H13" i="3"/>
  <c r="E15" i="3"/>
  <c r="J15" i="3" s="1"/>
  <c r="N15" i="3" s="1"/>
  <c r="I15" i="3"/>
  <c r="F16" i="3"/>
  <c r="J16" i="3" s="1"/>
  <c r="K16" i="3" s="1"/>
  <c r="C17" i="3"/>
  <c r="G17" i="3"/>
  <c r="D18" i="3"/>
  <c r="H18" i="3"/>
  <c r="E19" i="3"/>
  <c r="J19" i="3" s="1"/>
  <c r="K19" i="3" s="1"/>
  <c r="I19" i="3"/>
  <c r="F20" i="3"/>
  <c r="J20" i="3" s="1"/>
  <c r="K20" i="3" s="1"/>
  <c r="F21" i="3"/>
  <c r="J21" i="3" s="1"/>
  <c r="O21" i="3" s="1"/>
  <c r="J23" i="3"/>
  <c r="M23" i="3" s="1"/>
  <c r="I23" i="3"/>
  <c r="F24" i="3"/>
  <c r="J24" i="3" s="1"/>
  <c r="O24" i="3" s="1"/>
  <c r="C25" i="3"/>
  <c r="G25" i="3"/>
  <c r="J6" i="3"/>
  <c r="J8" i="3"/>
  <c r="L8" i="3" s="1"/>
  <c r="J10" i="3"/>
  <c r="K10" i="3" s="1"/>
  <c r="J22" i="3" l="1"/>
  <c r="L22" i="3" s="1"/>
  <c r="J14" i="3"/>
  <c r="O14" i="3" s="1"/>
  <c r="G29" i="3"/>
  <c r="C39" i="2" s="1"/>
  <c r="H29" i="3"/>
  <c r="C40" i="2" s="1"/>
  <c r="I29" i="3"/>
  <c r="F29" i="3"/>
  <c r="C38" i="2" s="1"/>
  <c r="E29" i="3"/>
  <c r="C41" i="2" s="1"/>
  <c r="C29" i="3"/>
  <c r="C36" i="2" s="1"/>
  <c r="D29" i="3"/>
  <c r="C37" i="2" s="1"/>
  <c r="P27" i="3"/>
  <c r="P26" i="3"/>
  <c r="P28" i="3"/>
  <c r="J27" i="3"/>
  <c r="L27" i="3" s="1"/>
  <c r="J26" i="3"/>
  <c r="M26" i="3" s="1"/>
  <c r="J28" i="3"/>
  <c r="N28" i="3" s="1"/>
  <c r="P14" i="3"/>
  <c r="P22" i="3"/>
  <c r="J17" i="3"/>
  <c r="O17" i="3" s="1"/>
  <c r="J12" i="3"/>
  <c r="M12" i="3" s="1"/>
  <c r="J13" i="3"/>
  <c r="O13" i="3" s="1"/>
  <c r="J18" i="3"/>
  <c r="L18" i="3" s="1"/>
  <c r="J25" i="3"/>
  <c r="N25" i="3" s="1"/>
  <c r="J7" i="3"/>
  <c r="O7" i="3" s="1"/>
  <c r="J9" i="3"/>
  <c r="O6" i="3"/>
  <c r="P9" i="3"/>
  <c r="K6" i="3"/>
  <c r="N6" i="3"/>
  <c r="M6" i="3"/>
  <c r="P18" i="3"/>
  <c r="P23" i="3"/>
  <c r="M19" i="3"/>
  <c r="M10" i="3"/>
  <c r="K8" i="3"/>
  <c r="M24" i="3"/>
  <c r="L19" i="3"/>
  <c r="O23" i="3"/>
  <c r="P20" i="3"/>
  <c r="O15" i="3"/>
  <c r="P11" i="3"/>
  <c r="K24" i="3"/>
  <c r="K21" i="3"/>
  <c r="N19" i="3"/>
  <c r="O20" i="3"/>
  <c r="P12" i="3"/>
  <c r="N24" i="3"/>
  <c r="N21" i="3"/>
  <c r="N16" i="3"/>
  <c r="L23" i="3"/>
  <c r="M11" i="3"/>
  <c r="P10" i="3"/>
  <c r="P6" i="3"/>
  <c r="K23" i="3"/>
  <c r="L20" i="3"/>
  <c r="K15" i="3"/>
  <c r="L11" i="3"/>
  <c r="M8" i="3"/>
  <c r="N23" i="3"/>
  <c r="P17" i="3"/>
  <c r="O11" i="3"/>
  <c r="M15" i="3"/>
  <c r="M16" i="3"/>
  <c r="L10" i="3"/>
  <c r="P15" i="3"/>
  <c r="L6" i="3"/>
  <c r="P24" i="3"/>
  <c r="P21" i="3"/>
  <c r="O19" i="3"/>
  <c r="P16" i="3"/>
  <c r="O10" i="3"/>
  <c r="P7" i="3"/>
  <c r="P25" i="3"/>
  <c r="K11" i="3"/>
  <c r="O16" i="3"/>
  <c r="N10" i="3"/>
  <c r="N20" i="3"/>
  <c r="P13" i="3"/>
  <c r="O8" i="3"/>
  <c r="M21" i="3"/>
  <c r="P19" i="3"/>
  <c r="L15" i="3"/>
  <c r="M20" i="3"/>
  <c r="N8" i="3"/>
  <c r="L24" i="3"/>
  <c r="L21" i="3"/>
  <c r="L16" i="3"/>
  <c r="P8" i="3"/>
  <c r="K28" i="3" l="1"/>
  <c r="O26" i="3"/>
  <c r="J29" i="3"/>
  <c r="O29" i="3" s="1"/>
  <c r="C31" i="2" s="1"/>
  <c r="N26" i="3"/>
  <c r="L28" i="3"/>
  <c r="N27" i="3"/>
  <c r="K26" i="3"/>
  <c r="L26" i="3"/>
  <c r="O27" i="3"/>
  <c r="M27" i="3"/>
  <c r="O28" i="3"/>
  <c r="K27" i="3"/>
  <c r="M28" i="3"/>
  <c r="L14" i="3"/>
  <c r="M14" i="3"/>
  <c r="K14" i="3"/>
  <c r="N14" i="3"/>
  <c r="N22" i="3"/>
  <c r="M22" i="3"/>
  <c r="O22" i="3"/>
  <c r="K22" i="3"/>
  <c r="L17" i="3"/>
  <c r="N17" i="3"/>
  <c r="K17" i="3"/>
  <c r="M17" i="3"/>
  <c r="M18" i="3"/>
  <c r="O12" i="3"/>
  <c r="K12" i="3"/>
  <c r="L12" i="3"/>
  <c r="M13" i="3"/>
  <c r="N12" i="3"/>
  <c r="L13" i="3"/>
  <c r="K13" i="3"/>
  <c r="N13" i="3"/>
  <c r="N18" i="3"/>
  <c r="L7" i="3"/>
  <c r="K18" i="3"/>
  <c r="L25" i="3"/>
  <c r="O18" i="3"/>
  <c r="O25" i="3"/>
  <c r="M25" i="3"/>
  <c r="K25" i="3"/>
  <c r="M7" i="3"/>
  <c r="K7" i="3"/>
  <c r="N7" i="3"/>
  <c r="N9" i="3"/>
  <c r="L9" i="3"/>
  <c r="M9" i="3"/>
  <c r="K9" i="3"/>
  <c r="O9" i="3"/>
  <c r="L29" i="3" l="1"/>
  <c r="C29" i="2" s="1"/>
  <c r="M29" i="3"/>
  <c r="C33" i="2" s="1"/>
  <c r="C5" i="2"/>
  <c r="C25" i="2" s="1"/>
  <c r="D25" i="2" s="1"/>
  <c r="E25" i="2" s="1"/>
  <c r="F25" i="2" s="1"/>
  <c r="P29" i="3"/>
  <c r="C32" i="2" s="1"/>
  <c r="N29" i="3"/>
  <c r="C30" i="2" s="1"/>
  <c r="C15" i="2" l="1"/>
  <c r="D15" i="2" s="1"/>
  <c r="E15" i="2" s="1"/>
  <c r="F15" i="2" s="1"/>
  <c r="K29" i="3"/>
  <c r="C28" i="2" s="1"/>
</calcChain>
</file>

<file path=xl/sharedStrings.xml><?xml version="1.0" encoding="utf-8"?>
<sst xmlns="http://schemas.openxmlformats.org/spreadsheetml/2006/main" count="1128" uniqueCount="495">
  <si>
    <t>Version history</t>
  </si>
  <si>
    <t xml:space="preserve">Version </t>
  </si>
  <si>
    <t>Maker</t>
  </si>
  <si>
    <t>Revision Date</t>
  </si>
  <si>
    <t>Checker</t>
  </si>
  <si>
    <t>Approval Date</t>
  </si>
  <si>
    <t>Document Changes</t>
  </si>
  <si>
    <t xml:space="preserve">                                Date
Status</t>
  </si>
  <si>
    <t>Pass</t>
  </si>
  <si>
    <t>Fail</t>
  </si>
  <si>
    <t>Block</t>
  </si>
  <si>
    <t>Pending</t>
  </si>
  <si>
    <t>Not Completed</t>
  </si>
  <si>
    <t>Actual execution</t>
  </si>
  <si>
    <t>Not yet execution</t>
  </si>
  <si>
    <t>Percent execute test case</t>
  </si>
  <si>
    <t>Percent pass</t>
  </si>
  <si>
    <t>Percent fail</t>
  </si>
  <si>
    <t xml:space="preserve">Percent block </t>
  </si>
  <si>
    <t>Percent pending</t>
  </si>
  <si>
    <t>Percent not completed</t>
  </si>
  <si>
    <t>Percent not run</t>
  </si>
  <si>
    <t>Execute test case</t>
  </si>
  <si>
    <t>Not run</t>
  </si>
  <si>
    <t>SUMMARY</t>
  </si>
  <si>
    <t>Scenario ID</t>
  </si>
  <si>
    <t>Scenario name</t>
  </si>
  <si>
    <t>+</t>
  </si>
  <si>
    <t>-</t>
  </si>
  <si>
    <t>Total</t>
  </si>
  <si>
    <t>Percent 
not run</t>
  </si>
  <si>
    <t>Percent block</t>
  </si>
  <si>
    <t>Remark</t>
  </si>
  <si>
    <t>Stock transaction</t>
  </si>
  <si>
    <r>
      <rPr>
        <b/>
        <i/>
        <sz val="10"/>
        <color theme="1"/>
        <rFont val="Arial"/>
        <family val="2"/>
      </rPr>
      <t>Remark</t>
    </r>
    <r>
      <rPr>
        <sz val="10"/>
        <color theme="1"/>
        <rFont val="Arial"/>
        <family val="2"/>
      </rPr>
      <t>: Status of Test Scenario on section “Overall Status”:</t>
    </r>
  </si>
  <si>
    <r>
      <t xml:space="preserve">- </t>
    </r>
    <r>
      <rPr>
        <b/>
        <sz val="10"/>
        <color theme="1"/>
        <rFont val="Arial"/>
        <family val="2"/>
      </rPr>
      <t>Passed</t>
    </r>
    <r>
      <rPr>
        <sz val="10"/>
        <color theme="1"/>
        <rFont val="Arial"/>
        <family val="2"/>
      </rPr>
      <t xml:space="preserve"> = Test Scenario has been tested as planned and application works as expected result.</t>
    </r>
  </si>
  <si>
    <r>
      <t xml:space="preserve">- </t>
    </r>
    <r>
      <rPr>
        <b/>
        <sz val="10"/>
        <color theme="1"/>
        <rFont val="Arial"/>
        <family val="2"/>
      </rPr>
      <t>Failed</t>
    </r>
    <r>
      <rPr>
        <sz val="10"/>
        <color theme="1"/>
        <rFont val="Arial"/>
        <family val="2"/>
      </rPr>
      <t xml:space="preserve"> = Test Scenario has been tested as planned but application does not work as expected.</t>
    </r>
  </si>
  <si>
    <r>
      <t xml:space="preserve">- </t>
    </r>
    <r>
      <rPr>
        <b/>
        <sz val="10"/>
        <color theme="1"/>
        <rFont val="Arial"/>
        <family val="2"/>
      </rPr>
      <t>Blocked</t>
    </r>
    <r>
      <rPr>
        <sz val="10"/>
        <color theme="1"/>
        <rFont val="Arial"/>
        <family val="2"/>
      </rPr>
      <t xml:space="preserve"> = Test Scenario could not be tested as planned because there is an outstanding defect in related function area.</t>
    </r>
  </si>
  <si>
    <r>
      <t xml:space="preserve">- </t>
    </r>
    <r>
      <rPr>
        <b/>
        <sz val="10"/>
        <color theme="1"/>
        <rFont val="Arial"/>
        <family val="2"/>
      </rPr>
      <t>Not Completed</t>
    </r>
    <r>
      <rPr>
        <sz val="10"/>
        <color theme="1"/>
        <rFont val="Arial"/>
        <family val="2"/>
      </rPr>
      <t xml:space="preserve"> = Test Scenario has been tested as planned but not yet finished due to awaiting test result (ex: require EOD batch).</t>
    </r>
  </si>
  <si>
    <r>
      <t>-</t>
    </r>
    <r>
      <rPr>
        <b/>
        <sz val="10"/>
        <color theme="1"/>
        <rFont val="Arial"/>
        <family val="2"/>
      </rPr>
      <t xml:space="preserve"> No Run (+) </t>
    </r>
    <r>
      <rPr>
        <sz val="10"/>
        <color theme="1"/>
        <rFont val="Arial"/>
        <family val="2"/>
      </rPr>
      <t>= Test Scenario has not been tested as planned.</t>
    </r>
  </si>
  <si>
    <r>
      <t xml:space="preserve">- </t>
    </r>
    <r>
      <rPr>
        <b/>
        <sz val="10"/>
        <color theme="1"/>
        <rFont val="Arial"/>
        <family val="2"/>
      </rPr>
      <t>Pending</t>
    </r>
    <r>
      <rPr>
        <sz val="10"/>
        <color theme="1"/>
        <rFont val="Arial"/>
        <family val="2"/>
      </rPr>
      <t xml:space="preserve"> = Test Scenario will be tested after confirming about the business.</t>
    </r>
  </si>
  <si>
    <r>
      <t xml:space="preserve">- </t>
    </r>
    <r>
      <rPr>
        <b/>
        <sz val="10"/>
        <color theme="1"/>
        <rFont val="Arial"/>
        <family val="2"/>
      </rPr>
      <t xml:space="preserve">Cancel (-) </t>
    </r>
    <r>
      <rPr>
        <sz val="10"/>
        <color theme="1"/>
        <rFont val="Arial"/>
        <family val="2"/>
      </rPr>
      <t>= Test Scenario could not be tested because of wrong condition, not suitable with the environment.</t>
    </r>
  </si>
  <si>
    <t>TEST CASES</t>
  </si>
  <si>
    <t>Environment:</t>
  </si>
  <si>
    <t>Test 
case ID</t>
  </si>
  <si>
    <t>Test
condition ID</t>
  </si>
  <si>
    <t>Condition</t>
  </si>
  <si>
    <t>Expected Result</t>
  </si>
  <si>
    <t>Result</t>
  </si>
  <si>
    <t>Comments</t>
  </si>
  <si>
    <t>Create date</t>
  </si>
  <si>
    <t>Test lần 1</t>
  </si>
  <si>
    <t>Test lần 2</t>
  </si>
  <si>
    <t>Test lần 3</t>
  </si>
  <si>
    <t>Test lần 4</t>
  </si>
  <si>
    <t>Executor</t>
  </si>
  <si>
    <t>Creator (Editor)</t>
  </si>
  <si>
    <t>Update date</t>
  </si>
  <si>
    <t>DPT_SRG</t>
  </si>
  <si>
    <t>DPT_SAB</t>
  </si>
  <si>
    <t>DPT_SAT</t>
  </si>
  <si>
    <t>DPT_CCR</t>
  </si>
  <si>
    <t>DPT_SRA</t>
  </si>
  <si>
    <t>DPT_CRT</t>
  </si>
  <si>
    <t>DPT_CIS</t>
  </si>
  <si>
    <t>DPT_SBI</t>
  </si>
  <si>
    <t>DPT_CER</t>
  </si>
  <si>
    <t>DPT_CEI</t>
  </si>
  <si>
    <t>DPT_REC</t>
  </si>
  <si>
    <t>DPT_CWC</t>
  </si>
  <si>
    <t>DPT_CWM</t>
  </si>
  <si>
    <t>DPT_CDT</t>
  </si>
  <si>
    <t>DPT_SLS</t>
  </si>
  <si>
    <t>DPT_CIQ</t>
  </si>
  <si>
    <t>DPT_CIS_001</t>
  </si>
  <si>
    <t>DPT_CIS_002</t>
  </si>
  <si>
    <t>DPT_CIS_003</t>
  </si>
  <si>
    <t>DPT_CIS_004</t>
  </si>
  <si>
    <t>DPT_CIS_005</t>
  </si>
  <si>
    <t>DPT_CIS_006</t>
  </si>
  <si>
    <t>DPT_CIS_007</t>
  </si>
  <si>
    <t>DPT_CIS_008</t>
  </si>
  <si>
    <t>DPT_CIS_009</t>
  </si>
  <si>
    <t>DPT_SBI_001</t>
  </si>
  <si>
    <t>DPT_SBI_002</t>
  </si>
  <si>
    <t>DPT_SBI_003</t>
  </si>
  <si>
    <t>DPT_SBI_004</t>
  </si>
  <si>
    <t>DPT_SBI_005</t>
  </si>
  <si>
    <t>DPT_CER_001</t>
  </si>
  <si>
    <t>DPT_CER_002</t>
  </si>
  <si>
    <t>DPT_CER_003</t>
  </si>
  <si>
    <t>DPT_CER_004</t>
  </si>
  <si>
    <t>DPT_CER_005</t>
  </si>
  <si>
    <t>DPT_CER_006</t>
  </si>
  <si>
    <t>DPT_CER_007</t>
  </si>
  <si>
    <t>DPT_CER_009</t>
  </si>
  <si>
    <t>DPT_CER_010</t>
  </si>
  <si>
    <t>DPT_CDT_001</t>
  </si>
  <si>
    <t>DPT_CDT_002</t>
  </si>
  <si>
    <t>DPT_CDT_003</t>
  </si>
  <si>
    <t>DPT_CDT_004</t>
  </si>
  <si>
    <t>DPT_CDT_005</t>
  </si>
  <si>
    <t>DPT_CDT_006</t>
  </si>
  <si>
    <t>DPT_CDT_007</t>
  </si>
  <si>
    <t>DPT_CDT_008</t>
  </si>
  <si>
    <t>DPT_CDT_009</t>
  </si>
  <si>
    <t>DPT_CWC_001</t>
  </si>
  <si>
    <t>DPT_CWC_002</t>
  </si>
  <si>
    <t>DPT_CWC_003</t>
  </si>
  <si>
    <t>DPT_CWC_004</t>
  </si>
  <si>
    <t>DPT_CWC_005</t>
  </si>
  <si>
    <t>DPT_CWC_006</t>
  </si>
  <si>
    <t>DPT_CWC_007</t>
  </si>
  <si>
    <t>DPT_CWC_008</t>
  </si>
  <si>
    <t>DPT_CWC_009</t>
  </si>
  <si>
    <t>DPT_CWC_010</t>
  </si>
  <si>
    <t>DPT_CWM_001</t>
  </si>
  <si>
    <t>DPT_CWM_002</t>
  </si>
  <si>
    <t>DPT_CWM_003</t>
  </si>
  <si>
    <t>DPT_CWM_004</t>
  </si>
  <si>
    <t>DPT_CWM_005</t>
  </si>
  <si>
    <t>DPT_CWM_006</t>
  </si>
  <si>
    <t>DPT_CWM_007</t>
  </si>
  <si>
    <t>DPT_CWM_008</t>
  </si>
  <si>
    <t>DPT_CWM_009</t>
  </si>
  <si>
    <t>DPT_CWC_011</t>
  </si>
  <si>
    <t>DPT_CDT_010</t>
  </si>
  <si>
    <t>NhiDY</t>
  </si>
  <si>
    <t>DPT_SRA: 11835: Reject assigned stock (by branch or telller)</t>
  </si>
  <si>
    <t>DPT_CCR: 11834: Stock confirm received (by branch or teller)</t>
  </si>
  <si>
    <t>DPT_SAT: 11832: Stock assigned to teller</t>
  </si>
  <si>
    <t>DPT_SAB: 11831: Stock assigned to branch</t>
  </si>
  <si>
    <t>DPT_SRG: 11830: Stock Registration</t>
  </si>
  <si>
    <t>DPT_CRT: 11833: Stock return (by branch or teller)</t>
  </si>
  <si>
    <t>DPT_CIS: 11801: Cheque book issued</t>
  </si>
  <si>
    <t>DPT_SBI: 11802: Deposit saving book issued</t>
  </si>
  <si>
    <t>DPT_CER: 11803: Fixed deposit receipt issue</t>
  </si>
  <si>
    <t>DPT_CEI: 11850: Issued hold balance for cheque</t>
  </si>
  <si>
    <t>DPT_REC: 11852: Release hold balance for cheque</t>
  </si>
  <si>
    <t>DPT_CWC: 1121: Cash withdrawal by cheque</t>
  </si>
  <si>
    <t>DPT_CWM: 1125: Miscellaneous debit by cheque</t>
  </si>
  <si>
    <t xml:space="preserve">DPT_CDT: 1111: Deposit by cheque </t>
  </si>
  <si>
    <t>DPT_SLS: 1162: Cheque leaves status inquiry</t>
  </si>
  <si>
    <t>DPT_CIQ: 1167: Cheque inquiry</t>
  </si>
  <si>
    <t>VyHNT</t>
  </si>
  <si>
    <t>DPT_CIS_010</t>
  </si>
  <si>
    <t>DPT_CIS_011</t>
  </si>
  <si>
    <t>DPT_CIS_012</t>
  </si>
  <si>
    <t>DPT_CIS_013</t>
  </si>
  <si>
    <t>DPT_CIS_014</t>
  </si>
  <si>
    <t>DPT_CIS_015</t>
  </si>
  <si>
    <t>DPT_CIS_016</t>
  </si>
  <si>
    <t>DPT_CIS_017</t>
  </si>
  <si>
    <t>DPT_SBI_013</t>
  </si>
  <si>
    <t>DPT_SBI_014</t>
  </si>
  <si>
    <t>DPT_SBI_015</t>
  </si>
  <si>
    <t>DPT_SBI_016</t>
  </si>
  <si>
    <t>DPT_SBI_017</t>
  </si>
  <si>
    <t>DPT_SBI_018</t>
  </si>
  <si>
    <t>DPT_SBI_019</t>
  </si>
  <si>
    <t>DPT_CER_011</t>
  </si>
  <si>
    <t>DPT_CER_012</t>
  </si>
  <si>
    <t>DPT_CER_013</t>
  </si>
  <si>
    <t>DPT_CER_014</t>
  </si>
  <si>
    <t>DPT_CER_015</t>
  </si>
  <si>
    <t>DPT_CER_016</t>
  </si>
  <si>
    <t>DPT_CER_017</t>
  </si>
  <si>
    <t>DPT_CER_018</t>
  </si>
  <si>
    <t>DPT_CER_019</t>
  </si>
  <si>
    <t>DPT_CWM_010</t>
  </si>
  <si>
    <t>DPT_CWM_011</t>
  </si>
  <si>
    <t>DPT_CWM_012</t>
  </si>
  <si>
    <t>DPT_CWM_013</t>
  </si>
  <si>
    <t>DPT_CDT_011</t>
  </si>
  <si>
    <t>DPT_CDT_012</t>
  </si>
  <si>
    <t>DPT_CDT_013</t>
  </si>
  <si>
    <t>DPT_CDT_014</t>
  </si>
  <si>
    <t>DPT_CCI: 11806: Cashier Cheque Issued</t>
  </si>
  <si>
    <t>DPT_CCW: 11807: Cashier Cheque Withdrawal</t>
  </si>
  <si>
    <t>DPT_RCC: 11808: Cashier Cheque Return</t>
  </si>
  <si>
    <t>DPT_CCI</t>
  </si>
  <si>
    <t>DPT_CCW</t>
  </si>
  <si>
    <t>DPT_RCC</t>
  </si>
  <si>
    <t>Transaction failed
Show error message</t>
  </si>
  <si>
    <t>Reverse transaction</t>
  </si>
  <si>
    <t>Transaction successfully</t>
  </si>
  <si>
    <t>Transaction successfully
Print voucher of stock
Update stock: All leaves of books have status "Unpaid"</t>
  </si>
  <si>
    <t>Reverse successfully
Return back to data before do transaction</t>
  </si>
  <si>
    <t>Transaction successfully
- Update in stock:
    + Books have status "Normal". (BookStatus)
    + Ref account no (RefAccountNo)
    + Allow print receipt
- Update in deposit account:
    + Passbook number (PassbookOrReceiptNumber)
    + Passbook status (PassbookOrReceiptStatus)
    + Deposit status (DepositStatus)
    + Ref. account No. (Udfield1)</t>
  </si>
  <si>
    <t>Transaction successfully
- Update in stock:
    + Books have status "Normal". (BookStatus)
    + Ref account no (RefAccountNo)
    + Allow print receipt
- Update in deposit account:
    + Passbook number (PassbookOrReceiptNumber)
    + Passbook status (PassbookOrReceiptStatus)
    + Deposit status (DepositStatus)
    + Ref. account No. (Udfield1)
- Update cash flow</t>
  </si>
  <si>
    <t>Transaction successfully
- Update in stock:
    + Books have status "Normal". (BookStatus)
    + Ref account no (RefAccountNo)
    + Allow print receipt
- Update in deposit account:
    + Passbook number (PassbookOrReceiptNumber)
    + Passbook status (PassbookOrReceiptStatus)
    + Deposit status (DepositStatus)
    + Ref. account No. (Udfield1)
- Update deposit account for collect fee</t>
  </si>
  <si>
    <t>DPT_SBI_020</t>
  </si>
  <si>
    <t>DPT_SBI_022</t>
  </si>
  <si>
    <t>DPT_SBI_023</t>
  </si>
  <si>
    <t>DPT_SBI_024</t>
  </si>
  <si>
    <t>DPT_SBI_025</t>
  </si>
  <si>
    <t>DPT_SBI_026</t>
  </si>
  <si>
    <t>DPT_SBI_029</t>
  </si>
  <si>
    <t>DPT_FBI</t>
  </si>
  <si>
    <t>DPT_FBI: 11804: Fixed deposit book issue</t>
  </si>
  <si>
    <t>DPT_FBI_001</t>
  </si>
  <si>
    <t>DPT_FBI_002</t>
  </si>
  <si>
    <t>DPT_FBI_003</t>
  </si>
  <si>
    <t>DPT_FBI_004</t>
  </si>
  <si>
    <t>DPT_FBI_005</t>
  </si>
  <si>
    <t>DPT_FBI_006</t>
  </si>
  <si>
    <t>DPT_FBI_007</t>
  </si>
  <si>
    <t>DPT_FBI_009</t>
  </si>
  <si>
    <t>DPT_FBI_010</t>
  </si>
  <si>
    <t>DPT_FBI_011</t>
  </si>
  <si>
    <t>DPT_FBI_012</t>
  </si>
  <si>
    <t>DPT_FBI_013</t>
  </si>
  <si>
    <t>DPT_FBI_014</t>
  </si>
  <si>
    <t>DPT_FBI_015</t>
  </si>
  <si>
    <t>DPT_FBI_016</t>
  </si>
  <si>
    <t>DPT_FBI_017</t>
  </si>
  <si>
    <t>DPT_FBI_018</t>
  </si>
  <si>
    <t>DPT_FBI_019</t>
  </si>
  <si>
    <t>DPT_FBI_020</t>
  </si>
  <si>
    <t>DPT_FBI_021</t>
  </si>
  <si>
    <t>DPT_FBI_022</t>
  </si>
  <si>
    <t>DPT_FBI_023</t>
  </si>
  <si>
    <t>DPT_FBI_024</t>
  </si>
  <si>
    <t>DPT_FBI_025</t>
  </si>
  <si>
    <t>DPT_FBI_026</t>
  </si>
  <si>
    <t>DPT_FBI_027</t>
  </si>
  <si>
    <t>DPT_FBI_028</t>
  </si>
  <si>
    <t>DPT_FBI_029</t>
  </si>
  <si>
    <t>DPT_CER_020</t>
  </si>
  <si>
    <t>DPT_CER_021</t>
  </si>
  <si>
    <t>DPT_CER_022</t>
  </si>
  <si>
    <t>DPT_CER_023</t>
  </si>
  <si>
    <t>DPT_CER_024</t>
  </si>
  <si>
    <t>DPT_CER_025</t>
  </si>
  <si>
    <t>DPT_CER_026</t>
  </si>
  <si>
    <t>DPT_CER_027</t>
  </si>
  <si>
    <t>DPT_CER_028</t>
  </si>
  <si>
    <t>DPT_CER_029</t>
  </si>
  <si>
    <t>Transaction successfully
Update stock:
  - Status of stock leaves: Paid
Update deposit:
  - Update decrease Current balance, Available balance
Update cash flow</t>
  </si>
  <si>
    <t>Transaction successfully
Update stock:
  - Status of stock leaves: Paid
Update deposit:
  - Update decrease Current balance, Available balance</t>
  </si>
  <si>
    <t>Transaction successfully
Update stock:
  - Status of stock leaves: Paid
Update deposit:
  - Update decrease Current balance, Available balance
Update credit deposit:
  - Update increase Current balance, Available balance</t>
  </si>
  <si>
    <t>DPT_POI</t>
  </si>
  <si>
    <t>DPT_POW</t>
  </si>
  <si>
    <t>DPT_RPO</t>
  </si>
  <si>
    <t>DPT_POI: 11816: Payment order issued</t>
  </si>
  <si>
    <t>DPT_POW: 11817: Payment order withdrawal</t>
  </si>
  <si>
    <t>DPT_RPO: 11818: Payment order return</t>
  </si>
  <si>
    <t>Release test case</t>
  </si>
  <si>
    <t>Date</t>
  </si>
  <si>
    <t>Time</t>
  </si>
  <si>
    <t>Execute test 1st time</t>
  </si>
  <si>
    <t>Execute test 2nd time</t>
  </si>
  <si>
    <t>Create test case</t>
  </si>
  <si>
    <t>Version: 1.0</t>
  </si>
  <si>
    <t>CBS-SHWE_FO_STOCK</t>
  </si>
  <si>
    <t>To serial &lt; From serial</t>
  </si>
  <si>
    <t>To serial does not exist</t>
  </si>
  <si>
    <t>To serial is empty</t>
  </si>
  <si>
    <t>From serial does not exist</t>
  </si>
  <si>
    <t>From serial is empty</t>
  </si>
  <si>
    <t>Account number does not exist</t>
  </si>
  <si>
    <t>Account number is empty</t>
  </si>
  <si>
    <t>Serial no is empty</t>
  </si>
  <si>
    <t>Serial no does not exist</t>
  </si>
  <si>
    <t>DPT_CIS_018</t>
  </si>
  <si>
    <t>DPT_CIS_019</t>
  </si>
  <si>
    <t>DPT_CIS_020</t>
  </si>
  <si>
    <t>DPT_CIS_021</t>
  </si>
  <si>
    <t>DPT_CIS_023</t>
  </si>
  <si>
    <t>DPT_CIS_024</t>
  </si>
  <si>
    <t>DPT_CIS_025</t>
  </si>
  <si>
    <t>DPT_CIS_026</t>
  </si>
  <si>
    <t>DPT_CIS_027</t>
  </si>
  <si>
    <t>DPT_CIS_028</t>
  </si>
  <si>
    <t>DPT_CIS_029</t>
  </si>
  <si>
    <t>DPT_CIS_030</t>
  </si>
  <si>
    <t>DPT_CIS_031</t>
  </si>
  <si>
    <t>DPT_CIS_032</t>
  </si>
  <si>
    <t>DPT_CIS_033</t>
  </si>
  <si>
    <t>DPT_CIS_034</t>
  </si>
  <si>
    <t>DPT_CIS_035</t>
  </si>
  <si>
    <t>DPT_CIS_036</t>
  </si>
  <si>
    <t>DPT_CIS_037</t>
  </si>
  <si>
    <t>DPT_CIS_038</t>
  </si>
  <si>
    <r>
      <rPr>
        <b/>
        <sz val="10"/>
        <rFont val="Arial"/>
        <family val="2"/>
      </rPr>
      <t>Books exist: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type: Current
  - Account status is Normal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color rgb="FF00B0F0"/>
        <rFont val="Arial"/>
        <family val="2"/>
      </rPr>
      <t xml:space="preserve">  - Deposit type: Current
  - Deposit status: Normal
  - Available balance of master &lt; Total fee amount &lt;= Available balance of linkage
  - Same currency with current account
  - Has linkage account for fund transfer
</t>
    </r>
    <r>
      <rPr>
        <b/>
        <sz val="10"/>
        <rFont val="Arial"/>
        <family val="2"/>
      </rPr>
      <t>Linkage account</t>
    </r>
    <r>
      <rPr>
        <sz val="10"/>
        <color rgb="FF00B0F0"/>
        <rFont val="Arial"/>
        <family val="2"/>
      </rPr>
      <t xml:space="preserve">
  - Deposit type: Saving
  - Deposit status: Normal
  - Linkage class: Auto fund transfer
</t>
    </r>
    <r>
      <rPr>
        <b/>
        <sz val="10"/>
        <rFont val="Arial"/>
        <family val="2"/>
      </rPr>
      <t>Issued 1 book</t>
    </r>
    <r>
      <rPr>
        <sz val="10"/>
        <color rgb="FF00B0F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1. Open "Cheque book issued" screen
2. Input Account number
3. Input From serial
4. Input To serial
5. Choose Fee collect method
6. Add fee
7. Click Accept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</si>
  <si>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Account status is Normal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Current
  - Deposit status: Normal
  - </t>
    </r>
    <r>
      <rPr>
        <sz val="10"/>
        <color rgb="FFFF0000"/>
        <rFont val="Arial"/>
        <family val="2"/>
      </rPr>
      <t>Available balance &lt; Total fee amount</t>
    </r>
    <r>
      <rPr>
        <sz val="10"/>
        <rFont val="Arial"/>
        <family val="2"/>
      </rPr>
      <t xml:space="preserve">
  - Same currency with account is issued stock
  - </t>
    </r>
    <r>
      <rPr>
        <sz val="10"/>
        <color rgb="FFFF0000"/>
        <rFont val="Arial"/>
        <family val="2"/>
      </rPr>
      <t>Has no linkage account for fund transfer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Issued 1 book</t>
    </r>
  </si>
  <si>
    <r>
      <rPr>
        <b/>
        <sz val="10"/>
        <rFont val="Arial"/>
        <family val="2"/>
      </rPr>
      <t>Books exist: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color rgb="FF00B0F0"/>
        <rFont val="Arial"/>
        <family val="2"/>
      </rPr>
      <t>Issued 1 book</t>
    </r>
    <r>
      <rPr>
        <sz val="10"/>
        <color rgb="FF00B0F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1. Open "Cheque book issued" screen
2. Input Account number
3. Input From serial
4. Input To serial
5. Click Accept</t>
    </r>
  </si>
  <si>
    <r>
      <rPr>
        <b/>
        <sz val="10"/>
        <rFont val="Arial"/>
        <family val="2"/>
      </rPr>
      <t>Books exist: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color rgb="FF00B0F0"/>
        <rFont val="Arial"/>
        <family val="2"/>
      </rPr>
      <t>Issued many books</t>
    </r>
    <r>
      <rPr>
        <sz val="10"/>
        <color rgb="FF00B0F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1. Open "Cheque book issued" screen
2. Input Account number
3. Input From serial
4. Input To serial
5. Click Accept</t>
    </r>
  </si>
  <si>
    <r>
      <rPr>
        <b/>
        <sz val="10"/>
        <rFont val="Arial"/>
        <family val="2"/>
      </rPr>
      <t>Books exist: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Cash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</t>
    </r>
    <r>
      <rPr>
        <sz val="10"/>
        <color rgb="FF00B0F0"/>
        <rFont val="Arial"/>
        <family val="2"/>
      </rPr>
      <t xml:space="preserve">User has right to do transaction related to cash
</t>
    </r>
    <r>
      <rPr>
        <b/>
        <sz val="10"/>
        <rFont val="Arial"/>
        <family val="2"/>
      </rPr>
      <t>Issued 1 book</t>
    </r>
    <r>
      <rPr>
        <sz val="10"/>
        <color rgb="FF00B0F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1. Open "Cheque book issued" screen
2. Input Account number
3. Input From serial
4. Input To serial
5. Choose Fee collect method
6. Add fee
7. Click Accept</t>
    </r>
  </si>
  <si>
    <r>
      <rPr>
        <b/>
        <sz val="10"/>
        <rFont val="Arial"/>
        <family val="2"/>
      </rPr>
      <t>Books exist: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color rgb="FF00B0F0"/>
        <rFont val="Arial"/>
        <family val="2"/>
      </rPr>
      <t xml:space="preserve">  - Deposit type: Current
  - Deposit status: Normal
  - Available balance &gt;= Total fee amount
  - Same currency with current account
</t>
    </r>
    <r>
      <rPr>
        <b/>
        <sz val="10"/>
        <rFont val="Arial"/>
        <family val="2"/>
      </rPr>
      <t>Issued 1 book</t>
    </r>
    <r>
      <rPr>
        <sz val="10"/>
        <color rgb="FF00B0F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1. Open "Cheque book issued" screen
2. Input Account number
3. Input From serial
4. Input To serial
5. Choose Fee collect method
6. Add fee
7. Click Accept</t>
    </r>
  </si>
  <si>
    <r>
      <rPr>
        <b/>
        <sz val="10"/>
        <rFont val="Arial"/>
        <family val="2"/>
      </rPr>
      <t>Books exist: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color rgb="FF00B0F0"/>
        <rFont val="Arial"/>
        <family val="2"/>
      </rPr>
      <t xml:space="preserve">  - Deposit type: Saving
  - Deposit sub type &lt;&gt; Shwe cash call
  - Deposit status: Normal
  - Available balance &gt;= Total fee amount
  - Same currency with current account
</t>
    </r>
    <r>
      <rPr>
        <b/>
        <sz val="10"/>
        <rFont val="Arial"/>
        <family val="2"/>
      </rPr>
      <t>Issued 1 book</t>
    </r>
    <r>
      <rPr>
        <sz val="10"/>
        <color rgb="FF00B0F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1. Open "Cheque book issued" screen
2. Input Account number
3. Input From serial
4. Input To serial
5. Choose Fee collect method
6. Add fee
7. Click Accept</t>
    </r>
  </si>
  <si>
    <r>
      <rPr>
        <b/>
        <sz val="10"/>
        <rFont val="Arial"/>
        <family val="2"/>
      </rPr>
      <t>Books exist: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color rgb="FF00B0F0"/>
        <rFont val="Arial"/>
        <family val="2"/>
      </rPr>
      <t xml:space="preserve">  - Posting side: Debit/ Both
  - Account level: 9
  - GL currency = Deposit currency
  - Account group &lt;&gt; Cash
  - Direct posting: Yes
  - Branch account = Branch teller
</t>
    </r>
    <r>
      <rPr>
        <b/>
        <sz val="10"/>
        <rFont val="Arial"/>
        <family val="2"/>
      </rPr>
      <t>Issued 1 book</t>
    </r>
    <r>
      <rPr>
        <sz val="10"/>
        <color rgb="FF00B0F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1. Open "Cheque book issued" screen
2. Input Account number
3. Input From serial
4. Input To serial
5. Choose Fee collect method
6. Add fee
7. Click Accept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</si>
  <si>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Stock type &lt;&gt; Cheque</t>
    </r>
    <r>
      <rPr>
        <sz val="10"/>
        <rFont val="Arial"/>
        <family val="2"/>
      </rPr>
      <t xml:space="preserve">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</si>
  <si>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</t>
    </r>
    <r>
      <rPr>
        <sz val="10"/>
        <color rgb="FFFF0000"/>
        <rFont val="Arial"/>
        <family val="2"/>
      </rPr>
      <t xml:space="preserve">  - Book status &lt;&gt; Assigned to teller</t>
    </r>
    <r>
      <rPr>
        <sz val="10"/>
        <rFont val="Arial"/>
        <family val="2"/>
      </rPr>
      <t xml:space="preserve">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</si>
  <si>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</t>
    </r>
    <r>
      <rPr>
        <sz val="10"/>
        <color rgb="FFFF0000"/>
        <rFont val="Arial"/>
        <family val="2"/>
      </rPr>
      <t xml:space="preserve">  - Confirm status &lt;&gt; Confirmed</t>
    </r>
    <r>
      <rPr>
        <sz val="10"/>
        <rFont val="Arial"/>
        <family val="2"/>
      </rPr>
      <t xml:space="preserve">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</si>
  <si>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</t>
    </r>
    <r>
      <rPr>
        <sz val="10"/>
        <color rgb="FFFF0000"/>
        <rFont val="Arial"/>
        <family val="2"/>
      </rPr>
      <t xml:space="preserve">  - Status of stock leaves &lt;&gt; Normal</t>
    </r>
    <r>
      <rPr>
        <sz val="10"/>
        <rFont val="Arial"/>
        <family val="2"/>
      </rPr>
      <t xml:space="preserve">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</si>
  <si>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</t>
    </r>
    <r>
      <rPr>
        <sz val="10"/>
        <color rgb="FFFF0000"/>
        <rFont val="Arial"/>
        <family val="2"/>
      </rPr>
      <t xml:space="preserve">  - NOT belong to teller does this transaction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</si>
  <si>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Deposit type &lt;&gt; Current</t>
    </r>
    <r>
      <rPr>
        <sz val="10"/>
        <rFont val="Arial"/>
        <family val="2"/>
      </rPr>
      <t xml:space="preserve">
  - Deposit status: New/ Normal/ Dormant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</si>
  <si>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</t>
    </r>
    <r>
      <rPr>
        <sz val="10"/>
        <color rgb="FFFF0000"/>
        <rFont val="Arial"/>
        <family val="2"/>
      </rPr>
      <t xml:space="preserve">  - Account status &lt;&gt; New/ Normal/ Dormant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</si>
  <si>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Cash</t>
    </r>
    <r>
      <rPr>
        <b/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User has NO right to do transaction related to cash
</t>
    </r>
    <r>
      <rPr>
        <b/>
        <sz val="10"/>
        <rFont val="Arial"/>
        <family val="2"/>
      </rPr>
      <t>Issued 1 book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</si>
  <si>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</t>
    </r>
    <r>
      <rPr>
        <sz val="10"/>
        <color rgb="FFFF0000"/>
        <rFont val="Arial"/>
        <family val="2"/>
      </rPr>
      <t>Deposit type: Fixed deposit</t>
    </r>
    <r>
      <rPr>
        <sz val="10"/>
        <rFont val="Arial"/>
        <family val="2"/>
      </rPr>
      <t xml:space="preserve">
  - Deposit status: Normal
  - Available balance &gt;= Total fee amount
  - Same currency with account is issued stock
</t>
    </r>
    <r>
      <rPr>
        <b/>
        <sz val="10"/>
        <rFont val="Arial"/>
        <family val="2"/>
      </rPr>
      <t>Issued 1 book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</si>
  <si>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Current/ Saving
  - </t>
    </r>
    <r>
      <rPr>
        <sz val="10"/>
        <color rgb="FFFF0000"/>
        <rFont val="Arial"/>
        <family val="2"/>
      </rPr>
      <t>Deposit status &lt;&gt; Normal</t>
    </r>
    <r>
      <rPr>
        <sz val="10"/>
        <rFont val="Arial"/>
        <family val="2"/>
      </rPr>
      <t xml:space="preserve">
  - Available balance &gt;= Total fee amount
  - Same currency with account is issued stock
  - Has no linkage account for fund transfer
</t>
    </r>
    <r>
      <rPr>
        <b/>
        <sz val="10"/>
        <rFont val="Arial"/>
        <family val="2"/>
      </rPr>
      <t>Issued 1 book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</si>
  <si>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Current
  - Deposit status: Normal
  - Available balance &gt;= Total fee amount
  - </t>
    </r>
    <r>
      <rPr>
        <sz val="10"/>
        <color rgb="FFFF0000"/>
        <rFont val="Arial"/>
        <family val="2"/>
      </rPr>
      <t xml:space="preserve">Different currency with account is issued stock
</t>
    </r>
    <r>
      <rPr>
        <sz val="10"/>
        <rFont val="Arial"/>
        <family val="2"/>
      </rPr>
      <t xml:space="preserve">  - Has no linkage account for fund transfer
</t>
    </r>
    <r>
      <rPr>
        <b/>
        <sz val="10"/>
        <rFont val="Arial"/>
        <family val="2"/>
      </rPr>
      <t>Issued 1 book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</si>
  <si>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Saving
  - </t>
    </r>
    <r>
      <rPr>
        <sz val="10"/>
        <color rgb="FFFF0000"/>
        <rFont val="Arial"/>
        <family val="2"/>
      </rPr>
      <t>Deposit sub type: Shwe cash call</t>
    </r>
    <r>
      <rPr>
        <sz val="10"/>
        <rFont val="Arial"/>
        <family val="2"/>
      </rPr>
      <t xml:space="preserve">
  - Deposit status: Normal
  - Available balance &gt;= Total fee amount
  - Same currency with account is issued stock
</t>
    </r>
    <r>
      <rPr>
        <b/>
        <sz val="10"/>
        <rFont val="Arial"/>
        <family val="2"/>
      </rPr>
      <t>Issued 1 book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</si>
  <si>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</t>
    </r>
    <r>
      <rPr>
        <sz val="10"/>
        <color rgb="FFFF0000"/>
        <rFont val="Arial"/>
        <family val="2"/>
      </rPr>
      <t>Posting side: Credit</t>
    </r>
    <r>
      <rPr>
        <sz val="10"/>
        <rFont val="Arial"/>
        <family val="2"/>
      </rPr>
      <t xml:space="preserve">
  - Account level: 9
  - GL currency = Deposit currency
  - Account group &lt;&gt; Cash
  - Direct posting: Yes
  - Branch account = Branch teller
</t>
    </r>
    <r>
      <rPr>
        <b/>
        <sz val="10"/>
        <rFont val="Arial"/>
        <family val="2"/>
      </rPr>
      <t>Issued 1 book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</si>
  <si>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Posting side: Debit/ Both
  - </t>
    </r>
    <r>
      <rPr>
        <sz val="10"/>
        <color rgb="FFFF0000"/>
        <rFont val="Arial"/>
        <family val="2"/>
      </rPr>
      <t>Account level &lt;&gt; 9</t>
    </r>
    <r>
      <rPr>
        <sz val="10"/>
        <rFont val="Arial"/>
        <family val="2"/>
      </rPr>
      <t xml:space="preserve">
  - GL currency = Deposit currency
  - Account group &lt;&gt; Cash
  - Direct posting: Yes
  - Branch account = Branch teller
</t>
    </r>
    <r>
      <rPr>
        <b/>
        <sz val="10"/>
        <rFont val="Arial"/>
        <family val="2"/>
      </rPr>
      <t>Issued 1 book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</si>
  <si>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Posting side: Debit/ Both
  - Account level: 9
  - </t>
    </r>
    <r>
      <rPr>
        <sz val="10"/>
        <color rgb="FFFF0000"/>
        <rFont val="Arial"/>
        <family val="2"/>
      </rPr>
      <t>GL currency &lt;&gt; Deposit currency</t>
    </r>
    <r>
      <rPr>
        <sz val="10"/>
        <rFont val="Arial"/>
        <family val="2"/>
      </rPr>
      <t xml:space="preserve">
  - Account group &lt;&gt; Cash
  - Direct posting: Yes
  - Branch account = Branch teller
</t>
    </r>
    <r>
      <rPr>
        <b/>
        <sz val="10"/>
        <rFont val="Arial"/>
        <family val="2"/>
      </rPr>
      <t>Issued 1 book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</si>
  <si>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Posting side: Debit/ Both
  - Account level: 9
  - GL currency = Deposit currency
  - </t>
    </r>
    <r>
      <rPr>
        <sz val="10"/>
        <color rgb="FFFF0000"/>
        <rFont val="Arial"/>
        <family val="2"/>
      </rPr>
      <t>Account group: Cash</t>
    </r>
    <r>
      <rPr>
        <sz val="10"/>
        <rFont val="Arial"/>
        <family val="2"/>
      </rPr>
      <t xml:space="preserve">
  - Direct posting: Yes
  - Branch account = Branch teller
</t>
    </r>
    <r>
      <rPr>
        <b/>
        <sz val="10"/>
        <rFont val="Arial"/>
        <family val="2"/>
      </rPr>
      <t>Issued 1 book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</si>
  <si>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Posting side: Debit/ Both
  - Account level: 9
  - GL currency = Deposit currency
  - Account group &lt;&gt; Cash
  - </t>
    </r>
    <r>
      <rPr>
        <sz val="10"/>
        <color rgb="FFFF0000"/>
        <rFont val="Arial"/>
        <family val="2"/>
      </rPr>
      <t>Direct posting &lt;&gt; Yes</t>
    </r>
    <r>
      <rPr>
        <sz val="10"/>
        <rFont val="Arial"/>
        <family val="2"/>
      </rPr>
      <t xml:space="preserve">
  - Branch account = Branch teller
</t>
    </r>
    <r>
      <rPr>
        <b/>
        <sz val="10"/>
        <rFont val="Arial"/>
        <family val="2"/>
      </rPr>
      <t>Issued 1 book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</si>
  <si>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Posting side: Debit/ Both
  - Account level: 9
  - GL currency = Deposit currency
  - Account group &lt;&gt; Cash
  - Direct posting: Yes
  - </t>
    </r>
    <r>
      <rPr>
        <sz val="10"/>
        <color rgb="FFFF0000"/>
        <rFont val="Arial"/>
        <family val="2"/>
      </rPr>
      <t>Branch account &lt;&gt; Branch teller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Issued 1 book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</si>
  <si>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Current
  - Deposit status: Normal
  - </t>
    </r>
    <r>
      <rPr>
        <sz val="10"/>
        <color rgb="FFFF0000"/>
        <rFont val="Arial"/>
        <family val="2"/>
      </rPr>
      <t>Available balance of master &lt; Total fee amount &lt;= Available balance of linkage</t>
    </r>
    <r>
      <rPr>
        <sz val="10"/>
        <rFont val="Arial"/>
        <family val="2"/>
      </rPr>
      <t xml:space="preserve">
  - Same currency with current account
  - </t>
    </r>
    <r>
      <rPr>
        <sz val="10"/>
        <color rgb="FFFF0000"/>
        <rFont val="Arial"/>
        <family val="2"/>
      </rPr>
      <t xml:space="preserve">Has linkage account for fund transfer
</t>
    </r>
    <r>
      <rPr>
        <b/>
        <sz val="10"/>
        <rFont val="Arial"/>
        <family val="2"/>
      </rPr>
      <t>Linkage account</t>
    </r>
    <r>
      <rPr>
        <sz val="10"/>
        <rFont val="Arial"/>
        <family val="2"/>
      </rPr>
      <t xml:space="preserve">
  - </t>
    </r>
    <r>
      <rPr>
        <sz val="10"/>
        <color rgb="FFFF0000"/>
        <rFont val="Arial"/>
        <family val="2"/>
      </rPr>
      <t>Deposit type &lt;&gt; Saving</t>
    </r>
    <r>
      <rPr>
        <sz val="10"/>
        <rFont val="Arial"/>
        <family val="2"/>
      </rPr>
      <t xml:space="preserve">
  - Deposit status: Normal
  - Linkage class: Auto fund transfer
</t>
    </r>
    <r>
      <rPr>
        <b/>
        <sz val="10"/>
        <rFont val="Arial"/>
        <family val="2"/>
      </rPr>
      <t>Issued 1 book</t>
    </r>
    <r>
      <rPr>
        <sz val="10"/>
        <rFont val="Arial"/>
        <family val="2"/>
      </rPr>
      <t xml:space="preserve">
1. Open "Cheque book issued" screen
2. Input Account number
3. Input From serial
4. Input To serial
5. Choose Fee collect method
6. Add fee
7. Click Accept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</si>
  <si>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Current
  - Deposit status: Normal
  - </t>
    </r>
    <r>
      <rPr>
        <sz val="10"/>
        <color rgb="FFFF0000"/>
        <rFont val="Arial"/>
        <family val="2"/>
      </rPr>
      <t>Available balance of master &lt; Total fee amount &lt;= Available balance of linkage</t>
    </r>
    <r>
      <rPr>
        <sz val="10"/>
        <rFont val="Arial"/>
        <family val="2"/>
      </rPr>
      <t xml:space="preserve">
  - Same currency with current account
  - </t>
    </r>
    <r>
      <rPr>
        <sz val="10"/>
        <color rgb="FFFF0000"/>
        <rFont val="Arial"/>
        <family val="2"/>
      </rPr>
      <t xml:space="preserve">Has linkage account for fund transfer
</t>
    </r>
    <r>
      <rPr>
        <b/>
        <sz val="10"/>
        <rFont val="Arial"/>
        <family val="2"/>
      </rPr>
      <t>Linkage account</t>
    </r>
    <r>
      <rPr>
        <sz val="10"/>
        <rFont val="Arial"/>
        <family val="2"/>
      </rPr>
      <t xml:space="preserve">
  - Deposit type: Saving
  - </t>
    </r>
    <r>
      <rPr>
        <sz val="10"/>
        <color rgb="FFFF0000"/>
        <rFont val="Arial"/>
        <family val="2"/>
      </rPr>
      <t>Deposit status &lt;&gt; Normal</t>
    </r>
    <r>
      <rPr>
        <sz val="10"/>
        <rFont val="Arial"/>
        <family val="2"/>
      </rPr>
      <t xml:space="preserve">
  - Linkage class: Auto fund transfer
</t>
    </r>
    <r>
      <rPr>
        <b/>
        <sz val="10"/>
        <rFont val="Arial"/>
        <family val="2"/>
      </rPr>
      <t>Issued 1 book</t>
    </r>
    <r>
      <rPr>
        <sz val="10"/>
        <rFont val="Arial"/>
        <family val="2"/>
      </rPr>
      <t xml:space="preserve">
1. Open "Cheque book issued" screen
2. Input Account number
3. Input From serial
4. Input To serial
5. Choose Fee collect method
6. Add fee
7. Click Accept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</si>
  <si>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Current
  - Deposit status: Normal
  - </t>
    </r>
    <r>
      <rPr>
        <sz val="10"/>
        <color rgb="FFFF0000"/>
        <rFont val="Arial"/>
        <family val="2"/>
      </rPr>
      <t>Available balance of master &lt; Total fee amount &lt;= Available balance of linkage</t>
    </r>
    <r>
      <rPr>
        <sz val="10"/>
        <rFont val="Arial"/>
        <family val="2"/>
      </rPr>
      <t xml:space="preserve">
  - Same currency with current account
  - </t>
    </r>
    <r>
      <rPr>
        <sz val="10"/>
        <color rgb="FFFF0000"/>
        <rFont val="Arial"/>
        <family val="2"/>
      </rPr>
      <t xml:space="preserve">Has linkage account for fund transfer
</t>
    </r>
    <r>
      <rPr>
        <b/>
        <sz val="10"/>
        <rFont val="Arial"/>
        <family val="2"/>
      </rPr>
      <t>Linkage account</t>
    </r>
    <r>
      <rPr>
        <sz val="10"/>
        <rFont val="Arial"/>
        <family val="2"/>
      </rPr>
      <t xml:space="preserve">
  - Deposit type: Saving
  - Deposit status: Normal
  - Linkage class: Auto fund transfer
</t>
    </r>
    <r>
      <rPr>
        <b/>
        <sz val="10"/>
        <rFont val="Arial"/>
        <family val="2"/>
      </rPr>
      <t>Issued 1 book</t>
    </r>
    <r>
      <rPr>
        <sz val="10"/>
        <rFont val="Arial"/>
        <family val="2"/>
      </rPr>
      <t xml:space="preserve">
1. Open "Cheque book issued" screen
2. Input Account number
3. Input From serial
4. Input To serial
5. Choose Fee collect method
6. Add fee
7. Click Accept</t>
    </r>
  </si>
  <si>
    <r>
      <rPr>
        <b/>
        <sz val="10"/>
        <rFont val="Arial"/>
        <family val="2"/>
      </rPr>
      <t>Books exist</t>
    </r>
    <r>
      <rPr>
        <sz val="10"/>
        <rFont val="Arial"/>
        <family val="2"/>
      </rPr>
      <t xml:space="preserve">
  - Stock type: Cheque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Current
  - Deposit status: New/ Normal/ Dormant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Current
  - Deposit status: Normal
  - </t>
    </r>
    <r>
      <rPr>
        <sz val="10"/>
        <color rgb="FFFF0000"/>
        <rFont val="Arial"/>
        <family val="2"/>
      </rPr>
      <t>Available balance of master &lt; Total fee amount &lt;= Available balance of linkage</t>
    </r>
    <r>
      <rPr>
        <sz val="10"/>
        <rFont val="Arial"/>
        <family val="2"/>
      </rPr>
      <t xml:space="preserve">
  - Same currency with current account
  - </t>
    </r>
    <r>
      <rPr>
        <sz val="10"/>
        <color rgb="FFFF0000"/>
        <rFont val="Arial"/>
        <family val="2"/>
      </rPr>
      <t xml:space="preserve">Has linkage account for fund transfer
</t>
    </r>
    <r>
      <rPr>
        <b/>
        <sz val="10"/>
        <rFont val="Arial"/>
        <family val="2"/>
      </rPr>
      <t>Linkage account</t>
    </r>
    <r>
      <rPr>
        <sz val="10"/>
        <rFont val="Arial"/>
        <family val="2"/>
      </rPr>
      <t xml:space="preserve">
  - Deposit type: Saving
  - Deposit status: Normal
  - </t>
    </r>
    <r>
      <rPr>
        <sz val="10"/>
        <color rgb="FFFF0000"/>
        <rFont val="Arial"/>
        <family val="2"/>
      </rPr>
      <t>Linkage class &lt;&gt; Auto fund transfer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Issued 1 book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</si>
  <si>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</t>
    </r>
    <r>
      <rPr>
        <sz val="10"/>
        <color rgb="FF00B0F0"/>
        <rFont val="Arial"/>
        <family val="2"/>
      </rPr>
      <t>Have no passbook</t>
    </r>
    <r>
      <rPr>
        <sz val="10"/>
        <rFont val="Arial"/>
        <family val="2"/>
      </rPr>
      <t xml:space="preserve">
1. Open "Deposit savings book issue" screen
2. Input Account number
3. Input Serial no
4. Click Accept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</si>
  <si>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</t>
    </r>
    <r>
      <rPr>
        <sz val="10"/>
        <color rgb="FF00B0F0"/>
        <rFont val="Arial"/>
        <family val="2"/>
      </rPr>
      <t>Already has passbook with status &lt;&gt; Normal</t>
    </r>
    <r>
      <rPr>
        <sz val="10"/>
        <rFont val="Arial"/>
        <family val="2"/>
      </rPr>
      <t xml:space="preserve">
1. Open "Deposit savings book issue" screen
2. Input Account number
3. Input Serial no
4. Click Accept</t>
    </r>
  </si>
  <si>
    <r>
      <t>Books exist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Stock type: &lt;&gt; Passbook</t>
    </r>
    <r>
      <rPr>
        <sz val="10"/>
        <rFont val="Arial"/>
        <family val="2"/>
      </rPr>
      <t xml:space="preserve">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</t>
    </r>
  </si>
  <si>
    <r>
      <t>Books exist</t>
    </r>
    <r>
      <rPr>
        <sz val="10"/>
        <rFont val="Arial"/>
        <family val="2"/>
      </rPr>
      <t xml:space="preserve">
  - Stock type: Passbook
</t>
    </r>
    <r>
      <rPr>
        <sz val="10"/>
        <color rgb="FFFF0000"/>
        <rFont val="Arial"/>
        <family val="2"/>
      </rPr>
      <t xml:space="preserve">  - Book status &lt;&gt;  Assigned to teller</t>
    </r>
    <r>
      <rPr>
        <sz val="10"/>
        <rFont val="Arial"/>
        <family val="2"/>
      </rPr>
      <t xml:space="preserve">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</t>
    </r>
  </si>
  <si>
    <r>
      <t>Books exist</t>
    </r>
    <r>
      <rPr>
        <sz val="10"/>
        <rFont val="Arial"/>
        <family val="2"/>
      </rPr>
      <t xml:space="preserve">
  - Stock type: Passbook
  - Book status: Assigned to teller
</t>
    </r>
    <r>
      <rPr>
        <sz val="10"/>
        <color rgb="FFFF0000"/>
        <rFont val="Arial"/>
        <family val="2"/>
      </rPr>
      <t xml:space="preserve">  - Confirm status &lt;&gt; Confirmed</t>
    </r>
    <r>
      <rPr>
        <sz val="10"/>
        <rFont val="Arial"/>
        <family val="2"/>
      </rPr>
      <t xml:space="preserve">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</t>
    </r>
  </si>
  <si>
    <r>
      <t>Books exist:</t>
    </r>
    <r>
      <rPr>
        <sz val="10"/>
        <rFont val="Arial"/>
        <family val="2"/>
      </rPr>
      <t xml:space="preserve">
  - Stock type: Passbook
  - Book status: Assigned to teller
  - Confirm status: Confirmed
</t>
    </r>
    <r>
      <rPr>
        <sz val="10"/>
        <color rgb="FFFF0000"/>
        <rFont val="Arial"/>
        <family val="2"/>
      </rPr>
      <t xml:space="preserve">  - Status of stock leaves &lt;&gt; Normal</t>
    </r>
    <r>
      <rPr>
        <sz val="10"/>
        <rFont val="Arial"/>
        <family val="2"/>
      </rPr>
      <t xml:space="preserve">
  - Belongs to teller does this transaction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type: Saving
  - Deposit status: New/ Normal/ Dormant
  - Have no passbook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</si>
  <si>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Deposit type &lt;&gt; Saving</t>
    </r>
    <r>
      <rPr>
        <sz val="10"/>
        <rFont val="Arial"/>
        <family val="2"/>
      </rPr>
      <t xml:space="preserve">
  - Deposit status: New/ Normal/ Dormant
  - Have no passbook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</si>
  <si>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</t>
    </r>
    <r>
      <rPr>
        <sz val="10"/>
        <color rgb="FFFF0000"/>
        <rFont val="Arial"/>
        <family val="2"/>
      </rPr>
      <t xml:space="preserve">  - Deposit status &lt;&gt; New/ Normal/ Dormant</t>
    </r>
    <r>
      <rPr>
        <sz val="10"/>
        <rFont val="Arial"/>
        <family val="2"/>
      </rPr>
      <t xml:space="preserve">
  - Have no passbook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</si>
  <si>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Status is New/ Normal
</t>
    </r>
    <r>
      <rPr>
        <sz val="10"/>
        <color rgb="FFFF0000"/>
        <rFont val="Arial"/>
        <family val="2"/>
      </rPr>
      <t xml:space="preserve">  - Has passbook with status is Normal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</si>
  <si>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Cash</t>
    </r>
    <r>
      <rPr>
        <b/>
        <sz val="10"/>
        <rFont val="Arial"/>
        <family val="2"/>
      </rPr>
      <t xml:space="preserve">
</t>
    </r>
    <r>
      <rPr>
        <sz val="10"/>
        <color rgb="FF00B0F0"/>
        <rFont val="Arial"/>
        <family val="2"/>
      </rPr>
      <t xml:space="preserve">  - User has right to do transaction related to cash</t>
    </r>
    <r>
      <rPr>
        <sz val="10"/>
        <rFont val="Arial"/>
        <family val="2"/>
      </rPr>
      <t xml:space="preserve">
1. Open "Deposit savings book issue" screen
2. Input Account number
3. Input Serial no
4. Add fee
5. Click Accept</t>
    </r>
  </si>
  <si>
    <t>DPT_SBI_006</t>
  </si>
  <si>
    <t>DPT_SBI_007</t>
  </si>
  <si>
    <t>DPT_SBI_008</t>
  </si>
  <si>
    <t>DPT_SBI_009</t>
  </si>
  <si>
    <t>DPT_SBI_010</t>
  </si>
  <si>
    <t>DPT_SBI_011</t>
  </si>
  <si>
    <t>DPT_SBI_012</t>
  </si>
  <si>
    <t>DPT_SBI_021</t>
  </si>
  <si>
    <t>DPT_SBI_027</t>
  </si>
  <si>
    <t>DPT_SBI_028</t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</si>
  <si>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 is </t>
    </r>
    <r>
      <rPr>
        <sz val="10"/>
        <color rgb="FF00B0F0"/>
        <rFont val="Arial"/>
        <family val="2"/>
      </rPr>
      <t>Current</t>
    </r>
    <r>
      <rPr>
        <sz val="10"/>
        <rFont val="Arial"/>
        <family val="2"/>
      </rPr>
      <t xml:space="preserve">
  - Deposit status: </t>
    </r>
    <r>
      <rPr>
        <sz val="10"/>
        <color rgb="FF00B0F0"/>
        <rFont val="Arial"/>
        <family val="2"/>
      </rPr>
      <t>Normal</t>
    </r>
    <r>
      <rPr>
        <sz val="10"/>
        <rFont val="Arial"/>
        <family val="2"/>
      </rPr>
      <t xml:space="preserve">
  - Available balance &gt;= Total fee amount
  - Same currency with account is issued stock
1. Open "Deposit savings book issue" screen
2. Input Account number
3. Input Serial no
4. Add fee
5. Click Accept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</si>
  <si>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</t>
    </r>
    <r>
      <rPr>
        <sz val="10"/>
        <color rgb="FF00B0F0"/>
        <rFont val="Arial"/>
        <family val="2"/>
      </rPr>
      <t>Saving</t>
    </r>
    <r>
      <rPr>
        <sz val="10"/>
        <rFont val="Arial"/>
        <family val="2"/>
      </rPr>
      <t xml:space="preserve">
  - </t>
    </r>
    <r>
      <rPr>
        <sz val="10"/>
        <color rgb="FF00B0F0"/>
        <rFont val="Arial"/>
        <family val="2"/>
      </rPr>
      <t>Deposit sub type &lt;&gt; Shwe Cash call deposit account</t>
    </r>
    <r>
      <rPr>
        <sz val="10"/>
        <rFont val="Arial"/>
        <family val="2"/>
      </rPr>
      <t xml:space="preserve">
  - Deposit status: </t>
    </r>
    <r>
      <rPr>
        <sz val="10"/>
        <color rgb="FF00B0F0"/>
        <rFont val="Arial"/>
        <family val="2"/>
      </rPr>
      <t>Normal</t>
    </r>
    <r>
      <rPr>
        <sz val="10"/>
        <rFont val="Arial"/>
        <family val="2"/>
      </rPr>
      <t xml:space="preserve">
  - Available balance &gt;= Total fee amount
  - Same currency with account is issued stock
1. Open "Deposit savings book issue" screen
2. Input Account number
3. Input Serial no
4. Add fee
5. Click Accept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</si>
  <si>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Status is New/ Normal
  - Have no passbook
  - Same branch with stock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Current/ Saving
</t>
    </r>
    <r>
      <rPr>
        <sz val="10"/>
        <color rgb="FFFF0000"/>
        <rFont val="Arial"/>
        <family val="2"/>
      </rPr>
      <t xml:space="preserve">  - Deposit status &lt;&gt; Normal</t>
    </r>
    <r>
      <rPr>
        <sz val="10"/>
        <rFont val="Arial"/>
        <family val="2"/>
      </rPr>
      <t xml:space="preserve">
  - Available balance &gt;= total fee amount
  - Same currency with account is issued stock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</si>
  <si>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Current/ Saving
  - Deposit status: Normal
  - Available balance &gt;= Total fee amount
</t>
    </r>
    <r>
      <rPr>
        <sz val="10"/>
        <color rgb="FFFF0000"/>
        <rFont val="Arial"/>
        <family val="2"/>
      </rPr>
      <t xml:space="preserve">  - Currency different with account is issued stock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</si>
  <si>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Current/ Saving
  - Deposit status: Normal
</t>
    </r>
    <r>
      <rPr>
        <sz val="10"/>
        <color rgb="FFFF0000"/>
        <rFont val="Arial"/>
        <family val="2"/>
      </rPr>
      <t xml:space="preserve">  - Available balance &lt; Total fee amount</t>
    </r>
    <r>
      <rPr>
        <sz val="10"/>
        <rFont val="Arial"/>
        <family val="2"/>
      </rPr>
      <t xml:space="preserve">
  - Same currency with account is issued stock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</si>
  <si>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Deposit type: Fixed deposit</t>
    </r>
    <r>
      <rPr>
        <sz val="10"/>
        <rFont val="Arial"/>
        <family val="2"/>
      </rPr>
      <t xml:space="preserve">
  - Deposit status: Normal
  - Available balance &gt;= total fee amount
  - Same currency with account is issued stock</t>
    </r>
  </si>
  <si>
    <t>DPT_SBI_030</t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</si>
  <si>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Cash</t>
    </r>
    <r>
      <rPr>
        <b/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User has NO right to do transaction related to cash</t>
    </r>
  </si>
  <si>
    <t>DPT_FBI_008</t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</si>
  <si>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</t>
    </r>
    <r>
      <rPr>
        <sz val="10"/>
        <color rgb="FF00B0F0"/>
        <rFont val="Arial"/>
        <family val="2"/>
      </rPr>
      <t>Have no passbook</t>
    </r>
    <r>
      <rPr>
        <sz val="10"/>
        <rFont val="Arial"/>
        <family val="2"/>
      </rPr>
      <t xml:space="preserve">
1. Open "Fixed deposit book issue" screen
2. Input Account number
3. Input Serial no
4. Click Accept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</si>
  <si>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</t>
    </r>
    <r>
      <rPr>
        <sz val="10"/>
        <color rgb="FF00B0F0"/>
        <rFont val="Arial"/>
        <family val="2"/>
      </rPr>
      <t>Already has passbook with status &lt;&gt; Normal</t>
    </r>
    <r>
      <rPr>
        <sz val="10"/>
        <rFont val="Arial"/>
        <family val="2"/>
      </rPr>
      <t xml:space="preserve">
1. Open "Fixed deposit book issue" screen
2. Input Account number
3. Input Serial no
4. Click Accept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</si>
  <si>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Cash</t>
    </r>
    <r>
      <rPr>
        <sz val="10"/>
        <rFont val="Arial"/>
        <family val="2"/>
      </rPr>
      <t xml:space="preserve">
</t>
    </r>
    <r>
      <rPr>
        <sz val="10"/>
        <color rgb="FF00B0F0"/>
        <rFont val="Arial"/>
        <family val="2"/>
      </rPr>
      <t xml:space="preserve">  - User has right to do transaction related to cash</t>
    </r>
    <r>
      <rPr>
        <sz val="10"/>
        <rFont val="Arial"/>
        <family val="2"/>
      </rPr>
      <t xml:space="preserve">
1. Open "Fixed deposit book issue" screen
2. Input Account number
3. Input Serial no
4. Add fee
5. Click Accept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</si>
  <si>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color rgb="FF00B0F0"/>
        <rFont val="Arial"/>
        <family val="2"/>
      </rPr>
      <t xml:space="preserve">  - Deposit type: Current
  - Deposit status: Normal
  - Available balance &gt;= total fee amount
  - Same currency with account is issued stock
</t>
    </r>
    <r>
      <rPr>
        <sz val="10"/>
        <rFont val="Arial"/>
        <family val="2"/>
      </rPr>
      <t xml:space="preserve">  
1. Open "Fixed deposit book issue" screen
2. Input Account number
3. Input Serial no
4. Add fee
5. Click Accept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</si>
  <si>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color rgb="FF00B0F0"/>
        <rFont val="Arial"/>
        <family val="2"/>
      </rPr>
      <t xml:space="preserve">  - Posting side: Debit/ Both
  - Account level: 9
  - GL currency = Deposit currency
  - Account group &lt;&gt; Cash
  - Direct posting: Yes
</t>
    </r>
    <r>
      <rPr>
        <sz val="10"/>
        <rFont val="Arial"/>
        <family val="2"/>
      </rPr>
      <t xml:space="preserve">  
1. Open "Fixed deposit book issue" screen
2. Input Account number
3. Input Serial no
4. Add fee
5. Click Accept</t>
    </r>
  </si>
  <si>
    <r>
      <t>Books exist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Stock type: &lt;&gt; Passbook</t>
    </r>
    <r>
      <rPr>
        <sz val="10"/>
        <rFont val="Arial"/>
        <family val="2"/>
      </rPr>
      <t xml:space="preserve">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</t>
    </r>
  </si>
  <si>
    <r>
      <t>Books exist:</t>
    </r>
    <r>
      <rPr>
        <sz val="10"/>
        <rFont val="Arial"/>
        <family val="2"/>
      </rPr>
      <t xml:space="preserve">
  - Stock type: Passbook
</t>
    </r>
    <r>
      <rPr>
        <sz val="10"/>
        <color rgb="FFFF0000"/>
        <rFont val="Arial"/>
        <family val="2"/>
      </rPr>
      <t xml:space="preserve">  - Book status &lt;&gt;  Assigned to teller</t>
    </r>
    <r>
      <rPr>
        <sz val="10"/>
        <rFont val="Arial"/>
        <family val="2"/>
      </rPr>
      <t xml:space="preserve">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</t>
    </r>
  </si>
  <si>
    <r>
      <t>Books exist</t>
    </r>
    <r>
      <rPr>
        <sz val="10"/>
        <rFont val="Arial"/>
        <family val="2"/>
      </rPr>
      <t xml:space="preserve">
  - Stock type: Passbook
  - Book status: Assigned to teller
</t>
    </r>
    <r>
      <rPr>
        <sz val="10"/>
        <color rgb="FFFF0000"/>
        <rFont val="Arial"/>
        <family val="2"/>
      </rPr>
      <t xml:space="preserve">  - Confirm status &lt;&gt; Confirmed</t>
    </r>
    <r>
      <rPr>
        <sz val="10"/>
        <rFont val="Arial"/>
        <family val="2"/>
      </rPr>
      <t xml:space="preserve">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</si>
  <si>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</t>
    </r>
    <r>
      <rPr>
        <sz val="10"/>
        <color rgb="FFFF0000"/>
        <rFont val="Arial"/>
        <family val="2"/>
      </rPr>
      <t xml:space="preserve">  - Status of stock leaves &lt;&gt; Normal</t>
    </r>
    <r>
      <rPr>
        <sz val="10"/>
        <rFont val="Arial"/>
        <family val="2"/>
      </rPr>
      <t xml:space="preserve">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</si>
  <si>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</t>
    </r>
    <r>
      <rPr>
        <sz val="10"/>
        <color rgb="FFFF0000"/>
        <rFont val="Arial"/>
        <family val="2"/>
      </rPr>
      <t xml:space="preserve">  - NOT belong to teller does this transaction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</si>
  <si>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Deposit type: Fixed deposit
  - Deposit sub type: Prepaid fixed depsoit account  
</t>
    </r>
    <r>
      <rPr>
        <sz val="10"/>
        <rFont val="Arial"/>
        <family val="2"/>
      </rPr>
      <t xml:space="preserve">  - Deposit status: New/ Normal/ Dormant/ Maturity
  - Have no passbook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</si>
  <si>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Deposit type &lt;&gt; Fixed deposit</t>
    </r>
    <r>
      <rPr>
        <sz val="10"/>
        <rFont val="Arial"/>
        <family val="2"/>
      </rPr>
      <t xml:space="preserve">  
  - Deposit status: New/ Normal/ Dormant/ Maturity
  - Have no passbook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</si>
  <si>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</t>
    </r>
    <r>
      <rPr>
        <sz val="10"/>
        <color rgb="FFFF0000"/>
        <rFont val="Arial"/>
        <family val="2"/>
      </rPr>
      <t xml:space="preserve">  - Deposit status &lt;&gt; New/ Normal/ Dormant/ Maturity</t>
    </r>
    <r>
      <rPr>
        <sz val="10"/>
        <rFont val="Arial"/>
        <family val="2"/>
      </rPr>
      <t xml:space="preserve">
  - Have no passbook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</si>
  <si>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</t>
    </r>
    <r>
      <rPr>
        <sz val="10"/>
        <color rgb="FFFF0000"/>
        <rFont val="Arial"/>
        <family val="2"/>
      </rPr>
      <t xml:space="preserve">  - Has passbook with status is Normal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</si>
  <si>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</t>
    </r>
    <r>
      <rPr>
        <sz val="10"/>
        <color rgb="FFFF0000"/>
        <rFont val="Arial"/>
        <family val="2"/>
      </rPr>
      <t xml:space="preserve">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Cash</t>
    </r>
    <r>
      <rPr>
        <sz val="10"/>
        <color rgb="FFFF0000"/>
        <rFont val="Arial"/>
        <family val="2"/>
      </rPr>
      <t xml:space="preserve">
  - User has NO right to do transaction related to cash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</si>
  <si>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Status is New/ Normal/ Actived
  - Have no passbook
  - Same branch with stock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Deposit type: Fixed deposit</t>
    </r>
    <r>
      <rPr>
        <sz val="10"/>
        <rFont val="Arial"/>
        <family val="2"/>
      </rPr>
      <t xml:space="preserve">
  - Deposit status: Normal
  - Available balance &gt;= total fee amount
  - Same currency with account is issued stock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</si>
  <si>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Current/ Saving
</t>
    </r>
    <r>
      <rPr>
        <sz val="10"/>
        <color rgb="FFFF0000"/>
        <rFont val="Arial"/>
        <family val="2"/>
      </rPr>
      <t xml:space="preserve">  - Deposit status &lt;&gt; Normal</t>
    </r>
    <r>
      <rPr>
        <sz val="10"/>
        <rFont val="Arial"/>
        <family val="2"/>
      </rPr>
      <t xml:space="preserve">
  - Available balance &gt;= Total fee amount
  - Same currency with account is issued stock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</si>
  <si>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 is Current/ Saving
  - Deposit status: Normal
</t>
    </r>
    <r>
      <rPr>
        <sz val="10"/>
        <color rgb="FFFF0000"/>
        <rFont val="Arial"/>
        <family val="2"/>
      </rPr>
      <t xml:space="preserve">  - Available balance &lt; total fee amount</t>
    </r>
    <r>
      <rPr>
        <sz val="10"/>
        <rFont val="Arial"/>
        <family val="2"/>
      </rPr>
      <t xml:space="preserve">
  - Same currency with account is issued stock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</si>
  <si>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 is Current/ Saving
  - Deposit status: Normal
  - Available balance &gt;= Total fee amount
</t>
    </r>
    <r>
      <rPr>
        <sz val="10"/>
        <color rgb="FFFF0000"/>
        <rFont val="Arial"/>
        <family val="2"/>
      </rPr>
      <t xml:space="preserve">  - Currency different with account is issued stock</t>
    </r>
  </si>
  <si>
    <r>
      <t>Books exist: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Posting side: Credit</t>
    </r>
    <r>
      <rPr>
        <sz val="10"/>
        <rFont val="Arial"/>
        <family val="2"/>
      </rPr>
      <t xml:space="preserve">
  - Account level: 9
  - GL currency = Deposit currency
  - Account group &lt;&gt; Cash
  - Direct posting: Yes</t>
    </r>
  </si>
  <si>
    <r>
      <t>Books exist: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Posting side: Debit/ Both
</t>
    </r>
    <r>
      <rPr>
        <sz val="10"/>
        <color rgb="FFFF0000"/>
        <rFont val="Arial"/>
        <family val="2"/>
      </rPr>
      <t xml:space="preserve">  - Account level &lt;&gt; 9</t>
    </r>
    <r>
      <rPr>
        <sz val="10"/>
        <rFont val="Arial"/>
        <family val="2"/>
      </rPr>
      <t xml:space="preserve">
  - GL currency = Deposit currency
  - Account group &lt;&gt; Cash
  - Direct posting: Yes</t>
    </r>
  </si>
  <si>
    <r>
      <t>Books exist: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Posting side: Debit/ Both
  - Account level: 9
</t>
    </r>
    <r>
      <rPr>
        <sz val="10"/>
        <color rgb="FFFF0000"/>
        <rFont val="Arial"/>
        <family val="2"/>
      </rPr>
      <t xml:space="preserve">  - GL currency &lt;&gt; Deposit currency
</t>
    </r>
    <r>
      <rPr>
        <sz val="10"/>
        <rFont val="Arial"/>
        <family val="2"/>
      </rPr>
      <t xml:space="preserve">  - Account group &lt;&gt; Cash
  - Direct posting: Yes</t>
    </r>
  </si>
  <si>
    <r>
      <t>Books exist: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Posting side: Debit/ Both
  - Account level: 9
  - GL currency = Deposit currency
</t>
    </r>
    <r>
      <rPr>
        <sz val="10"/>
        <color rgb="FFFF0000"/>
        <rFont val="Arial"/>
        <family val="2"/>
      </rPr>
      <t xml:space="preserve">  - Account group: Cash</t>
    </r>
    <r>
      <rPr>
        <sz val="10"/>
        <rFont val="Arial"/>
        <family val="2"/>
      </rPr>
      <t xml:space="preserve">
  - Direct posting: Yes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</si>
  <si>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 &lt;&gt; Prepaid fixed depsoit account
  - Deposit status: New/ Normal/ Dormant/ Maturity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Posting side: Debit/ Both
  - Account level: 9
  - GL currency = Deposit currency
  - Account group &lt;&gt; Cash
</t>
    </r>
    <r>
      <rPr>
        <sz val="10"/>
        <color rgb="FFFF0000"/>
        <rFont val="Arial"/>
        <family val="2"/>
      </rPr>
      <t xml:space="preserve">  - Direct posting &lt;&gt; Yes</t>
    </r>
  </si>
  <si>
    <t>Cerfiticate serial is empty</t>
  </si>
  <si>
    <t>Cerfiticate serial does not exist</t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</si>
  <si>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Deposit status: New/ Normal/ Dormant/ Maturity
  - Have no receipt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color rgb="FF00B0F0"/>
        <rFont val="Arial"/>
        <family val="2"/>
      </rPr>
      <t xml:space="preserve">  - Posting side: Debit/ Both
  - Account level: 9
  - GL currency = Deposit currency
  - Account group &lt;&gt; Cash
  - Direct posting: Yes
</t>
    </r>
    <r>
      <rPr>
        <sz val="10"/>
        <rFont val="Arial"/>
        <family val="2"/>
      </rPr>
      <t xml:space="preserve">  
1. Open "Fixed deposit receipt issued" screen
2. Input Account number
3. Input Cerfiticate serial
4. Add fee
5. Click Accept</t>
    </r>
  </si>
  <si>
    <r>
      <t>Books exist: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Deposit status: New/ Normal/ Dormant/ Maturity
  - Have no receipt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Cash</t>
    </r>
    <r>
      <rPr>
        <b/>
        <sz val="10"/>
        <rFont val="Arial"/>
        <family val="2"/>
      </rPr>
      <t xml:space="preserve">
</t>
    </r>
    <r>
      <rPr>
        <sz val="10"/>
        <color rgb="FF00B0F0"/>
        <rFont val="Arial"/>
        <family val="2"/>
      </rPr>
      <t xml:space="preserve">  - User has right to do transaction related to cash</t>
    </r>
    <r>
      <rPr>
        <sz val="10"/>
        <rFont val="Arial"/>
        <family val="2"/>
      </rPr>
      <t xml:space="preserve">
1. Open "Fixed deposit receipt issued" screen
2. Input Account number
3. Input Cerfiticate serial
4. Add fee
5. Click Accept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</si>
  <si>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Deposit status: New/ Normal/ Dormant/ Maturity
</t>
    </r>
    <r>
      <rPr>
        <sz val="10"/>
        <color rgb="FF00B0F0"/>
        <rFont val="Arial"/>
        <family val="2"/>
      </rPr>
      <t xml:space="preserve">  - Already has receipt with status &lt;&gt; Normal</t>
    </r>
    <r>
      <rPr>
        <sz val="10"/>
        <rFont val="Arial"/>
        <family val="2"/>
      </rPr>
      <t xml:space="preserve">
1. Open "Fixed deposit receipt issued" screen
2. Input Account number
3. Input Cerfiticate serial
4. Click Accept</t>
    </r>
  </si>
  <si>
    <r>
      <t>Books exist: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Deposit status: New/ Normal/ Dormant/ Maturity
</t>
    </r>
    <r>
      <rPr>
        <sz val="10"/>
        <color rgb="FF00B0F0"/>
        <rFont val="Arial"/>
        <family val="2"/>
      </rPr>
      <t xml:space="preserve">  - Have no receipt</t>
    </r>
    <r>
      <rPr>
        <sz val="10"/>
        <rFont val="Arial"/>
        <family val="2"/>
      </rPr>
      <t xml:space="preserve">
1. Open "Fixed deposit receipt issued" screen
2. Input Account number
3. Input Cerfiticate serial
4. Click Accept</t>
    </r>
  </si>
  <si>
    <t>DPT_CER_008</t>
  </si>
  <si>
    <r>
      <t>Books exist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Stock type: &lt;&gt; Receipt</t>
    </r>
    <r>
      <rPr>
        <sz val="10"/>
        <rFont val="Arial"/>
        <family val="2"/>
      </rPr>
      <t xml:space="preserve">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Deposit status: New/ Normal/ Dormant/ Maturity
  - Have no receipt</t>
    </r>
  </si>
  <si>
    <r>
      <t>Books exist</t>
    </r>
    <r>
      <rPr>
        <sz val="10"/>
        <rFont val="Arial"/>
        <family val="2"/>
      </rPr>
      <t xml:space="preserve">
  - Stock type: Receipt
</t>
    </r>
    <r>
      <rPr>
        <sz val="10"/>
        <color rgb="FFFF0000"/>
        <rFont val="Arial"/>
        <family val="2"/>
      </rPr>
      <t xml:space="preserve">  - Book status &lt;&gt;  Assigned to teller</t>
    </r>
    <r>
      <rPr>
        <sz val="10"/>
        <rFont val="Arial"/>
        <family val="2"/>
      </rPr>
      <t xml:space="preserve">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Deposit status: New/ Normal/ Dormant/ Maturity
  - Have no receipt</t>
    </r>
  </si>
  <si>
    <r>
      <t>Books exist</t>
    </r>
    <r>
      <rPr>
        <sz val="10"/>
        <rFont val="Arial"/>
        <family val="2"/>
      </rPr>
      <t xml:space="preserve">
  - Stock type: Receipt
  - Book status: Assigned to teller
</t>
    </r>
    <r>
      <rPr>
        <sz val="10"/>
        <color rgb="FFFF0000"/>
        <rFont val="Arial"/>
        <family val="2"/>
      </rPr>
      <t xml:space="preserve">  - Confirm status &lt;&gt; Confirmed</t>
    </r>
    <r>
      <rPr>
        <sz val="10"/>
        <rFont val="Arial"/>
        <family val="2"/>
      </rPr>
      <t xml:space="preserve">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Deposit status: New/ Normal/ Dormant/ Maturity
  - Have no receipt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</si>
  <si>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</t>
    </r>
    <r>
      <rPr>
        <sz val="10"/>
        <color rgb="FFFF0000"/>
        <rFont val="Arial"/>
        <family val="2"/>
      </rPr>
      <t xml:space="preserve">  - Status of stock leaves &lt;&gt; Normal</t>
    </r>
    <r>
      <rPr>
        <sz val="10"/>
        <rFont val="Arial"/>
        <family val="2"/>
      </rPr>
      <t xml:space="preserve">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Deposit status: New/ Normal/ Dormant/ Maturity
  - Have no receipt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</si>
  <si>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</t>
    </r>
    <r>
      <rPr>
        <sz val="10"/>
        <color rgb="FFFF0000"/>
        <rFont val="Arial"/>
        <family val="2"/>
      </rPr>
      <t xml:space="preserve">  - NOT belong to teller does this transaction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Deposit status: New/ Normal/ Dormant/ Maturity
  - Have no receipt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</si>
  <si>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Deposit type: Fixed deposit
  - Deposit sub type &lt;&gt; Prepaid fixed depsoit account
</t>
    </r>
    <r>
      <rPr>
        <sz val="10"/>
        <rFont val="Arial"/>
        <family val="2"/>
      </rPr>
      <t xml:space="preserve">  - Deposit status: New/ Normal/ Dormant/ Maturity
  - Have no receipt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</si>
  <si>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</t>
    </r>
    <r>
      <rPr>
        <sz val="10"/>
        <color rgb="FFFF0000"/>
        <rFont val="Arial"/>
        <family val="2"/>
      </rPr>
      <t xml:space="preserve">  - Deposit status &lt;&gt; New/ Normal/ Dormant/ Maturity</t>
    </r>
    <r>
      <rPr>
        <sz val="10"/>
        <rFont val="Arial"/>
        <family val="2"/>
      </rPr>
      <t xml:space="preserve">
  - Have no receipt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</si>
  <si>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Deposit type &lt;&gt; Fixed deposit</t>
    </r>
    <r>
      <rPr>
        <sz val="10"/>
        <rFont val="Arial"/>
        <family val="2"/>
      </rPr>
      <t xml:space="preserve">
  - Deposit status: New/ Normal/ Dormant/ Maturity
  - Have no receipt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</si>
  <si>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</t>
    </r>
    <r>
      <rPr>
        <sz val="10"/>
        <color rgb="FFFF0000"/>
        <rFont val="Arial"/>
        <family val="2"/>
      </rPr>
      <t xml:space="preserve">  - Has receipt with status is Normal</t>
    </r>
    <r>
      <rPr>
        <sz val="10"/>
        <rFont val="Arial"/>
        <family val="2"/>
      </rPr>
      <t xml:space="preserve">
  - Same branch with stock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</si>
  <si>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Have no receipt
</t>
    </r>
    <r>
      <rPr>
        <b/>
        <sz val="10"/>
        <rFont val="Arial"/>
        <family val="2"/>
      </rPr>
      <t>Fee collect method is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Cash</t>
    </r>
    <r>
      <rPr>
        <sz val="10"/>
        <color rgb="FFFF0000"/>
        <rFont val="Arial"/>
        <family val="2"/>
      </rPr>
      <t xml:space="preserve">
  - User has NO right to do transaction related to cash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</si>
  <si>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Deposit status: New/ Normal/ Dormant/ Maturity
  - Have no receipt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color rgb="FF00B0F0"/>
        <rFont val="Arial"/>
        <family val="2"/>
      </rPr>
      <t xml:space="preserve">  - Deposit type: Current
  - Deposit status: Normal
  - Available balance &gt;= Total fee amount
  - Same currency with account is issued stock
</t>
    </r>
    <r>
      <rPr>
        <sz val="10"/>
        <rFont val="Arial"/>
        <family val="2"/>
      </rPr>
      <t xml:space="preserve">  
1. Open "Fixed deposit receipt issued" screen
2. Input Account number
3. Input Cerfiticate serial
4. Add fee
5. Click Accept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</si>
  <si>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Deposit status: New/ Normal/ Dormant/ Maturity
  - Have no receipt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color rgb="FF00B0F0"/>
        <rFont val="Arial"/>
        <family val="2"/>
      </rPr>
      <t xml:space="preserve">  - Deposit type: Saving
  - Deposit status: Normal
  - Available balance &gt;= Total fee amount
  - Same currency with account is issued stock
</t>
    </r>
    <r>
      <rPr>
        <sz val="10"/>
        <rFont val="Arial"/>
        <family val="2"/>
      </rPr>
      <t xml:space="preserve">  
1. Open "Fixed deposit receipt issued" screen
2. Input Account number
3. Input Cerfiticate serial
4. Add fee
5. Click Accept</t>
    </r>
  </si>
  <si>
    <r>
      <t>Books exist: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Have no receipt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Deposit type: Fixed deposit</t>
    </r>
    <r>
      <rPr>
        <sz val="10"/>
        <rFont val="Arial"/>
        <family val="2"/>
      </rPr>
      <t xml:space="preserve">
  - Deposit status: Normal
  - Available balance &gt;= Total fee amount
  - Same currency with account is issued stock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</si>
  <si>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Have no receipt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 is Current/ Saving
  - Deposit status: Normal
  - Available balance &gt;= Total fee amount
</t>
    </r>
    <r>
      <rPr>
        <sz val="10"/>
        <color rgb="FFFF0000"/>
        <rFont val="Arial"/>
        <family val="2"/>
      </rPr>
      <t xml:space="preserve">  - Currency different with account is issued stock</t>
    </r>
  </si>
  <si>
    <r>
      <t>Books exist: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Have no receipt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 is Current/ Saving
  - Deposit status: Normal
</t>
    </r>
    <r>
      <rPr>
        <sz val="10"/>
        <color rgb="FFFF0000"/>
        <rFont val="Arial"/>
        <family val="2"/>
      </rPr>
      <t xml:space="preserve">  - Available balance &lt; Total fee amount</t>
    </r>
    <r>
      <rPr>
        <sz val="10"/>
        <rFont val="Arial"/>
        <family val="2"/>
      </rPr>
      <t xml:space="preserve">
  - Same currency with account is issued stock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</si>
  <si>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Have no receipt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Deposit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Deposit type: Current/ Saving
</t>
    </r>
    <r>
      <rPr>
        <sz val="10"/>
        <color rgb="FFFF0000"/>
        <rFont val="Arial"/>
        <family val="2"/>
      </rPr>
      <t xml:space="preserve">  - Deposit status &lt;&gt; Normal</t>
    </r>
    <r>
      <rPr>
        <sz val="10"/>
        <rFont val="Arial"/>
        <family val="2"/>
      </rPr>
      <t xml:space="preserve">
  - Available balance &gt;= total fee amount
  - Same currency with account is issued stock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</si>
  <si>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Have no receipt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Posting side: Credit
</t>
    </r>
    <r>
      <rPr>
        <sz val="10"/>
        <rFont val="Arial"/>
        <family val="2"/>
      </rPr>
      <t xml:space="preserve">  - Account level: 9
  - GL currency = Deposit currency
  - Account group &lt;&gt; Cash
  - Direct posting: Yes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</si>
  <si>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Have no receipt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Posting side: Debit/ Both
</t>
    </r>
    <r>
      <rPr>
        <sz val="10"/>
        <color rgb="FFFF0000"/>
        <rFont val="Arial"/>
        <family val="2"/>
      </rPr>
      <t xml:space="preserve">  - Account level &lt;&gt; 9</t>
    </r>
    <r>
      <rPr>
        <sz val="10"/>
        <rFont val="Arial"/>
        <family val="2"/>
      </rPr>
      <t xml:space="preserve">
  - GL currency = Deposit currency
  - Account group &lt;&gt; Cash
  - Direct posting: Yes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</si>
  <si>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Have no receipt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Posting side: Debit/ Both
  - Account level: 9
</t>
    </r>
    <r>
      <rPr>
        <sz val="10"/>
        <color rgb="FFFF0000"/>
        <rFont val="Arial"/>
        <family val="2"/>
      </rPr>
      <t xml:space="preserve">  - GL currency &lt;&gt; Deposit currency</t>
    </r>
    <r>
      <rPr>
        <sz val="10"/>
        <rFont val="Arial"/>
        <family val="2"/>
      </rPr>
      <t xml:space="preserve">
  - Account group &lt;&gt; Cash
  - Direct posting: Yes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</si>
  <si>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Have no receipt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Posting side: Debit/ Both
  - Account level: 9
  - GL currency = Deposit currency
</t>
    </r>
    <r>
      <rPr>
        <sz val="10"/>
        <color rgb="FFFF0000"/>
        <rFont val="Arial"/>
        <family val="2"/>
      </rPr>
      <t xml:space="preserve">  - Account group: Cash
</t>
    </r>
    <r>
      <rPr>
        <sz val="10"/>
        <rFont val="Arial"/>
        <family val="2"/>
      </rPr>
      <t xml:space="preserve">  - Direct posting: Yes</t>
    </r>
  </si>
  <si>
    <r>
      <t>Books exist</t>
    </r>
    <r>
      <rPr>
        <sz val="10"/>
        <rFont val="Arial"/>
        <family val="2"/>
      </rPr>
      <t xml:space="preserve">
  - Stock type: Receipt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Fixed deposit
  - Deposit sub type: Prepaid fixed depsoit account
  - Have no receipt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Posting side: Debit/ Both
  - Account level: 9
  - GL currency = Deposit currency
  - Account group &lt;&gt; Cash
</t>
    </r>
    <r>
      <rPr>
        <sz val="10"/>
        <color rgb="FFFF0000"/>
        <rFont val="Arial"/>
        <family val="2"/>
      </rPr>
      <t xml:space="preserve">  - Direct posting &lt;&gt; Yes</t>
    </r>
  </si>
  <si>
    <t>DPT_CER_030</t>
  </si>
  <si>
    <t>Cheque no is empty</t>
  </si>
  <si>
    <t>Cheque no does not exist</t>
  </si>
  <si>
    <t>Cheque amount &lt;= 0</t>
  </si>
  <si>
    <r>
      <rPr>
        <b/>
        <sz val="10"/>
        <rFont val="Arial"/>
        <family val="2"/>
      </rPr>
      <t xml:space="preserve">Cheque account:
</t>
    </r>
    <r>
      <rPr>
        <sz val="10"/>
        <rFont val="Arial"/>
        <family val="2"/>
      </rPr>
      <t xml:space="preserve">  - Status of stock leaves: Unpaid</t>
    </r>
    <r>
      <rPr>
        <b/>
        <sz val="10"/>
        <rFont val="Arial"/>
        <family val="2"/>
      </rPr>
      <t xml:space="preserve">
Deposit account:
</t>
    </r>
    <r>
      <rPr>
        <sz val="10"/>
        <rFont val="Arial"/>
        <family val="2"/>
      </rPr>
      <t xml:space="preserve">  - Deposit status: Normal
  - 0 &lt; Withdrawal amount &lt;= Available balance
</t>
    </r>
    <r>
      <rPr>
        <b/>
        <sz val="10"/>
        <rFont val="Arial"/>
        <family val="2"/>
      </rPr>
      <t xml:space="preserve">Teller does this transaction:
</t>
    </r>
    <r>
      <rPr>
        <sz val="10"/>
        <color rgb="FFFF0000"/>
        <rFont val="Arial"/>
        <family val="2"/>
      </rPr>
      <t xml:space="preserve">  - User has NO right to do transaction related to cash</t>
    </r>
    <r>
      <rPr>
        <sz val="10"/>
        <rFont val="Arial"/>
        <family val="2"/>
      </rPr>
      <t xml:space="preserve">
  - User must have enough cash to withdraw  </t>
    </r>
  </si>
  <si>
    <r>
      <rPr>
        <b/>
        <sz val="10"/>
        <rFont val="Arial"/>
        <family val="2"/>
      </rPr>
      <t xml:space="preserve">Cheque account:
</t>
    </r>
    <r>
      <rPr>
        <sz val="10"/>
        <rFont val="Arial"/>
        <family val="2"/>
      </rPr>
      <t xml:space="preserve">  - Status of stock leaves: Unpaid</t>
    </r>
    <r>
      <rPr>
        <b/>
        <sz val="10"/>
        <rFont val="Arial"/>
        <family val="2"/>
      </rPr>
      <t xml:space="preserve">
Deposit account:
</t>
    </r>
    <r>
      <rPr>
        <sz val="10"/>
        <rFont val="Arial"/>
        <family val="2"/>
      </rPr>
      <t xml:space="preserve">  - Deposit status: Normal
  - 0 &lt; Withdrawal amount &lt;= Available balance
</t>
    </r>
    <r>
      <rPr>
        <b/>
        <sz val="10"/>
        <rFont val="Arial"/>
        <family val="2"/>
      </rPr>
      <t xml:space="preserve">Teller does this transaction:
</t>
    </r>
    <r>
      <rPr>
        <sz val="10"/>
        <rFont val="Arial"/>
        <family val="2"/>
      </rPr>
      <t xml:space="preserve">  - User has right to do transaction related to cash
</t>
    </r>
    <r>
      <rPr>
        <sz val="10"/>
        <color rgb="FFFF0000"/>
        <rFont val="Arial"/>
        <family val="2"/>
      </rPr>
      <t xml:space="preserve">  - User has NOT enough cash to withdraw  </t>
    </r>
  </si>
  <si>
    <r>
      <t xml:space="preserve"> </t>
    </r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Status of stock leaves &lt;&gt; Unpaid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Normal
  - 0 &lt; Withdrawal amount &lt;= Available balance
</t>
    </r>
    <r>
      <rPr>
        <b/>
        <sz val="10"/>
        <rFont val="Arial"/>
        <family val="2"/>
      </rPr>
      <t xml:space="preserve">Teller does this transaction
</t>
    </r>
    <r>
      <rPr>
        <sz val="10"/>
        <rFont val="Arial"/>
        <family val="2"/>
      </rPr>
      <t xml:space="preserve">  - User has right to do transaction related to cash
  - User must have enough cash to withdraw </t>
    </r>
  </si>
  <si>
    <r>
      <rPr>
        <b/>
        <sz val="10"/>
        <rFont val="Arial"/>
        <family val="2"/>
      </rPr>
      <t>Cheque account: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Deposit status &lt;&gt; Normal</t>
    </r>
    <r>
      <rPr>
        <sz val="10"/>
        <rFont val="Arial"/>
        <family val="2"/>
      </rPr>
      <t xml:space="preserve">
  - 0 &lt; Withdrawal amount &lt;= Available balance
</t>
    </r>
    <r>
      <rPr>
        <b/>
        <sz val="10"/>
        <rFont val="Arial"/>
        <family val="2"/>
      </rPr>
      <t>Teller does this transaction</t>
    </r>
    <r>
      <rPr>
        <sz val="10"/>
        <rFont val="Arial"/>
        <family val="2"/>
      </rPr>
      <t xml:space="preserve">
  - User has right to do transaction related to cash
  - User must have enough cash to withdraw  </t>
    </r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</si>
  <si>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Account status: Normal
</t>
    </r>
    <r>
      <rPr>
        <sz val="10"/>
        <color rgb="FFFF0000"/>
        <rFont val="Arial"/>
        <family val="2"/>
      </rPr>
      <t xml:space="preserve">  - Withdrawal amount &gt; Available balance
</t>
    </r>
    <r>
      <rPr>
        <b/>
        <sz val="10"/>
        <rFont val="Arial"/>
        <family val="2"/>
      </rPr>
      <t>Teller does this transaction</t>
    </r>
    <r>
      <rPr>
        <sz val="10"/>
        <rFont val="Arial"/>
        <family val="2"/>
      </rPr>
      <t xml:space="preserve">
  - User has right to do transaction related to cash
  - User must have enough cash to withdraw</t>
    </r>
  </si>
  <si>
    <t>Credit accounting is empty</t>
  </si>
  <si>
    <t>Credit accounting does not exist</t>
  </si>
  <si>
    <t>DPT_CWM_014</t>
  </si>
  <si>
    <t>DPT_CWM_015</t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</si>
  <si>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Normal
  - 0 &lt; Withdrawal amount &lt;= Available balance
</t>
    </r>
    <r>
      <rPr>
        <b/>
        <sz val="10"/>
        <rFont val="Arial"/>
        <family val="2"/>
      </rPr>
      <t>GL account</t>
    </r>
    <r>
      <rPr>
        <sz val="10"/>
        <rFont val="Arial"/>
        <family val="2"/>
      </rPr>
      <t xml:space="preserve">
  - Posting side: Credit/ Both
  - Account level: 9
  - GL currency = Deposit currency
  - Account group &lt;&gt; Cash
  - Direct posting: Yes
1. Open "Misellaneous debit by cheque" screen
2. Input Cheque no
3. Input Cheque amount
4. Input Credit accounting
5. Click accept</t>
    </r>
  </si>
  <si>
    <r>
      <rPr>
        <b/>
        <sz val="10"/>
        <rFont val="Arial"/>
        <family val="2"/>
      </rPr>
      <t>Cheque account: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Status of stock leaves &lt;&gt; Unpaid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status: Normal
  - 0 &lt; Withdrawal amount &lt;= Available balance
</t>
    </r>
    <r>
      <rPr>
        <b/>
        <sz val="10"/>
        <rFont val="Arial"/>
        <family val="2"/>
      </rPr>
      <t>GL account:</t>
    </r>
    <r>
      <rPr>
        <sz val="10"/>
        <rFont val="Arial"/>
        <family val="2"/>
      </rPr>
      <t xml:space="preserve">
  - Posting side: Credit/ Both
  - Account level: 9
  - GL currency = Deposit currency
  - Account group &lt;&gt; Cash
  - Direct posting: Yes</t>
    </r>
  </si>
  <si>
    <r>
      <rPr>
        <b/>
        <sz val="10"/>
        <rFont val="Arial"/>
        <family val="2"/>
      </rPr>
      <t>Cheque account: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Deposit status &lt;&gt; Normal</t>
    </r>
    <r>
      <rPr>
        <sz val="10"/>
        <rFont val="Arial"/>
        <family val="2"/>
      </rPr>
      <t xml:space="preserve">
  - 0 &lt; Withdrawal amount &lt;= Available balance
</t>
    </r>
    <r>
      <rPr>
        <b/>
        <sz val="10"/>
        <rFont val="Arial"/>
        <family val="2"/>
      </rPr>
      <t>GL account:</t>
    </r>
    <r>
      <rPr>
        <sz val="10"/>
        <rFont val="Arial"/>
        <family val="2"/>
      </rPr>
      <t xml:space="preserve">
  - Posting side: Credit/ Both
  - Account level: 9
  - GL currency = Deposit currency
  - Account group &lt;&gt; Cash
  - Direct posting: Yes</t>
    </r>
  </si>
  <si>
    <r>
      <rPr>
        <b/>
        <sz val="10"/>
        <rFont val="Arial"/>
        <family val="2"/>
      </rPr>
      <t>Cheque account: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status: Normal
</t>
    </r>
    <r>
      <rPr>
        <sz val="10"/>
        <color rgb="FFFF0000"/>
        <rFont val="Arial"/>
        <family val="2"/>
      </rPr>
      <t xml:space="preserve">  - Withdrawal amount &gt; Available balance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GL account:</t>
    </r>
    <r>
      <rPr>
        <sz val="10"/>
        <rFont val="Arial"/>
        <family val="2"/>
      </rPr>
      <t xml:space="preserve">
  - Posting side: Credit/ Both
  - Account level: 9
  - GL currency = Deposit currency
  - Account group &lt;&gt; Cash
  - Direct posting: Yes</t>
    </r>
  </si>
  <si>
    <r>
      <rPr>
        <b/>
        <sz val="10"/>
        <rFont val="Arial"/>
        <family val="2"/>
      </rPr>
      <t>Cheque account: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status: Normal
  - 0 &lt; Withdrawal amount &lt;= Available balance
</t>
    </r>
    <r>
      <rPr>
        <b/>
        <sz val="10"/>
        <rFont val="Arial"/>
        <family val="2"/>
      </rPr>
      <t>GL account: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Posting side: Debit</t>
    </r>
    <r>
      <rPr>
        <sz val="10"/>
        <rFont val="Arial"/>
        <family val="2"/>
      </rPr>
      <t xml:space="preserve">
  - Account level: 9
  - GL currency = Deposit currency
  - Account group &lt;&gt; Cash
  - Direct posting: Yes</t>
    </r>
  </si>
  <si>
    <r>
      <rPr>
        <b/>
        <sz val="10"/>
        <rFont val="Arial"/>
        <family val="2"/>
      </rPr>
      <t>Cheque account: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status: Normal
  - 0 &lt; Withdrawal amount &lt;= Available balance
</t>
    </r>
    <r>
      <rPr>
        <b/>
        <sz val="10"/>
        <rFont val="Arial"/>
        <family val="2"/>
      </rPr>
      <t>GL account:</t>
    </r>
    <r>
      <rPr>
        <sz val="10"/>
        <rFont val="Arial"/>
        <family val="2"/>
      </rPr>
      <t xml:space="preserve">
  - Posting side: Credit/ Both
</t>
    </r>
    <r>
      <rPr>
        <sz val="10"/>
        <color rgb="FFFF0000"/>
        <rFont val="Arial"/>
        <family val="2"/>
      </rPr>
      <t xml:space="preserve">  - Account level &lt;&gt; 9</t>
    </r>
    <r>
      <rPr>
        <sz val="10"/>
        <rFont val="Arial"/>
        <family val="2"/>
      </rPr>
      <t xml:space="preserve">
  - GL currency = Deposit currency
  - Account group &lt;&gt; Cash
  - Direct posting: Yes</t>
    </r>
  </si>
  <si>
    <r>
      <rPr>
        <b/>
        <sz val="10"/>
        <rFont val="Arial"/>
        <family val="2"/>
      </rPr>
      <t>Cheque account: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status: Normal
  - 0 &lt; Withdrawal amount &lt;= Available balance
</t>
    </r>
    <r>
      <rPr>
        <b/>
        <sz val="10"/>
        <rFont val="Arial"/>
        <family val="2"/>
      </rPr>
      <t>GL account:</t>
    </r>
    <r>
      <rPr>
        <sz val="10"/>
        <rFont val="Arial"/>
        <family val="2"/>
      </rPr>
      <t xml:space="preserve">
  - Posting side: Credit/ Both
  - Account level: 9
</t>
    </r>
    <r>
      <rPr>
        <sz val="10"/>
        <color rgb="FFFF0000"/>
        <rFont val="Arial"/>
        <family val="2"/>
      </rPr>
      <t xml:space="preserve">  - GL currency &lt;&gt; Deposit currency
</t>
    </r>
    <r>
      <rPr>
        <sz val="10"/>
        <rFont val="Arial"/>
        <family val="2"/>
      </rPr>
      <t xml:space="preserve">  - Account group &lt;&gt; Cash
  - Direct posting: Yes</t>
    </r>
  </si>
  <si>
    <r>
      <rPr>
        <b/>
        <sz val="10"/>
        <rFont val="Arial"/>
        <family val="2"/>
      </rPr>
      <t>Cheque account: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status: Normal
  - 0 &lt; Withdrawal amount &lt;= Available balance
</t>
    </r>
    <r>
      <rPr>
        <b/>
        <sz val="10"/>
        <rFont val="Arial"/>
        <family val="2"/>
      </rPr>
      <t>GL account:</t>
    </r>
    <r>
      <rPr>
        <sz val="10"/>
        <rFont val="Arial"/>
        <family val="2"/>
      </rPr>
      <t xml:space="preserve">
  - Posting side: Credit/ Both
  - Account level: 9
  - GL currency = Deposit currency
</t>
    </r>
    <r>
      <rPr>
        <sz val="10"/>
        <color rgb="FFFF0000"/>
        <rFont val="Arial"/>
        <family val="2"/>
      </rPr>
      <t xml:space="preserve">  - Account group: Cash</t>
    </r>
    <r>
      <rPr>
        <sz val="10"/>
        <rFont val="Arial"/>
        <family val="2"/>
      </rPr>
      <t xml:space="preserve">
  - Direct posting: Yes</t>
    </r>
  </si>
  <si>
    <r>
      <rPr>
        <b/>
        <sz val="10"/>
        <rFont val="Arial"/>
        <family val="2"/>
      </rPr>
      <t>Cheque account: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status: Normal
  - 0 &lt; Withdrawal amount &lt;= Available balance
</t>
    </r>
    <r>
      <rPr>
        <b/>
        <sz val="10"/>
        <rFont val="Arial"/>
        <family val="2"/>
      </rPr>
      <t>GL account:</t>
    </r>
    <r>
      <rPr>
        <sz val="10"/>
        <rFont val="Arial"/>
        <family val="2"/>
      </rPr>
      <t xml:space="preserve">
  - Posting side: Credit/ Both
  - Account level: 9
  - GL currency = Deposit currency
  - Account group &lt;&gt; Cash
</t>
    </r>
    <r>
      <rPr>
        <sz val="10"/>
        <color rgb="FFFF0000"/>
        <rFont val="Arial"/>
        <family val="2"/>
      </rPr>
      <t xml:space="preserve">  - Direct posting &lt;&gt; Yes</t>
    </r>
  </si>
  <si>
    <t>DPT_CDT_015</t>
  </si>
  <si>
    <t>DPT_CDT_016</t>
  </si>
  <si>
    <t>DPT_CDT_017</t>
  </si>
  <si>
    <t>DPT_CDT_018</t>
  </si>
  <si>
    <t>Credit account is empty</t>
  </si>
  <si>
    <t>Credit account does not exist</t>
  </si>
  <si>
    <t>Debit amount &lt;= 0</t>
  </si>
  <si>
    <t>Accept for Dormant account</t>
  </si>
  <si>
    <t>System shows popup approve</t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</si>
  <si>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</t>
    </r>
    <r>
      <rPr>
        <sz val="10"/>
        <color rgb="FF00B0F0"/>
        <rFont val="Arial"/>
        <family val="2"/>
      </rPr>
      <t>Dormant</t>
    </r>
    <r>
      <rPr>
        <sz val="10"/>
        <rFont val="Arial"/>
        <family val="2"/>
      </rPr>
      <t xml:space="preserve">
  - 0 &lt; Withdrawal amount &lt;= Available balance
</t>
    </r>
    <r>
      <rPr>
        <b/>
        <sz val="10"/>
        <rFont val="Arial"/>
        <family val="2"/>
      </rPr>
      <t>Credit account</t>
    </r>
    <r>
      <rPr>
        <sz val="10"/>
        <rFont val="Arial"/>
        <family val="2"/>
      </rPr>
      <t xml:space="preserve">
  - Deposit type: Current/ Saving/ Fixed deposit
  - Deposit sub type &lt;&gt; Shwe Cash call deposit account
  - Deposit status: New/ Normal
1. Open "Deposit by cheque" screen
2. Input Cheque no
3. Input Cheque amount
4. Input Credit account
5. Click accept</t>
    </r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</si>
  <si>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</t>
    </r>
    <r>
      <rPr>
        <sz val="10"/>
        <color rgb="FF00B0F0"/>
        <rFont val="Arial"/>
        <family val="2"/>
      </rPr>
      <t>Normal</t>
    </r>
    <r>
      <rPr>
        <sz val="10"/>
        <rFont val="Arial"/>
        <family val="2"/>
      </rPr>
      <t xml:space="preserve">
  - 0 &lt; Withdrawal amount &lt;= Available balance
</t>
    </r>
    <r>
      <rPr>
        <b/>
        <sz val="10"/>
        <rFont val="Arial"/>
        <family val="2"/>
      </rPr>
      <t>Credit account</t>
    </r>
    <r>
      <rPr>
        <sz val="10"/>
        <rFont val="Arial"/>
        <family val="2"/>
      </rPr>
      <t xml:space="preserve">
  - Deposit type: </t>
    </r>
    <r>
      <rPr>
        <sz val="10"/>
        <color rgb="FF00B0F0"/>
        <rFont val="Arial"/>
        <family val="2"/>
      </rPr>
      <t>Current/ Saving
  - Deposit sub type &lt;&gt; Shwe Cash call deposit account</t>
    </r>
    <r>
      <rPr>
        <sz val="10"/>
        <rFont val="Arial"/>
        <family val="2"/>
      </rPr>
      <t xml:space="preserve">
  - Deposit status: </t>
    </r>
    <r>
      <rPr>
        <sz val="10"/>
        <color rgb="FF00B0F0"/>
        <rFont val="Arial"/>
        <family val="2"/>
      </rPr>
      <t>New</t>
    </r>
    <r>
      <rPr>
        <sz val="10"/>
        <rFont val="Arial"/>
        <family val="2"/>
      </rPr>
      <t xml:space="preserve">
1. Open "Deposit by cheque" screen
2. Input Cheque no
3. Input Cheque amount
4. Input Credit account
5. Click accept</t>
    </r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</si>
  <si>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</t>
    </r>
    <r>
      <rPr>
        <sz val="10"/>
        <color rgb="FF00B0F0"/>
        <rFont val="Arial"/>
        <family val="2"/>
      </rPr>
      <t>Normal</t>
    </r>
    <r>
      <rPr>
        <sz val="10"/>
        <rFont val="Arial"/>
        <family val="2"/>
      </rPr>
      <t xml:space="preserve">
  - 0 &lt; Withdrawal amount &lt;= Available balance
</t>
    </r>
    <r>
      <rPr>
        <b/>
        <sz val="10"/>
        <rFont val="Arial"/>
        <family val="2"/>
      </rPr>
      <t>Credit account</t>
    </r>
    <r>
      <rPr>
        <sz val="10"/>
        <rFont val="Arial"/>
        <family val="2"/>
      </rPr>
      <t xml:space="preserve">
  - Deposit type: </t>
    </r>
    <r>
      <rPr>
        <sz val="10"/>
        <color rgb="FF00B0F0"/>
        <rFont val="Arial"/>
        <family val="2"/>
      </rPr>
      <t>Fixed deposit</t>
    </r>
    <r>
      <rPr>
        <sz val="10"/>
        <rFont val="Arial"/>
        <family val="2"/>
      </rPr>
      <t xml:space="preserve">
  - Deposit status: </t>
    </r>
    <r>
      <rPr>
        <sz val="10"/>
        <color rgb="FF00B0F0"/>
        <rFont val="Arial"/>
        <family val="2"/>
      </rPr>
      <t>New</t>
    </r>
    <r>
      <rPr>
        <sz val="10"/>
        <rFont val="Arial"/>
        <family val="2"/>
      </rPr>
      <t xml:space="preserve">
1. Open "Deposit by cheque" screen
2. Input Cheque no
3. Input Cheque amount
4. Input Credit account
5. Click accept</t>
    </r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</si>
  <si>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</t>
    </r>
    <r>
      <rPr>
        <sz val="10"/>
        <color rgb="FF00B0F0"/>
        <rFont val="Arial"/>
        <family val="2"/>
      </rPr>
      <t>Normal</t>
    </r>
    <r>
      <rPr>
        <sz val="10"/>
        <rFont val="Arial"/>
        <family val="2"/>
      </rPr>
      <t xml:space="preserve">
  - 0 &lt; Withdrawal amount &lt;= Available balance
</t>
    </r>
    <r>
      <rPr>
        <b/>
        <sz val="10"/>
        <rFont val="Arial"/>
        <family val="2"/>
      </rPr>
      <t>Credit account</t>
    </r>
    <r>
      <rPr>
        <sz val="10"/>
        <rFont val="Arial"/>
        <family val="2"/>
      </rPr>
      <t xml:space="preserve">
  - Deposit type: </t>
    </r>
    <r>
      <rPr>
        <sz val="10"/>
        <color rgb="FF00B0F0"/>
        <rFont val="Arial"/>
        <family val="2"/>
      </rPr>
      <t>Current/ Saving
  - Deposit sub type &lt;&gt; Shwe Cash call deposit account</t>
    </r>
    <r>
      <rPr>
        <sz val="10"/>
        <rFont val="Arial"/>
        <family val="2"/>
      </rPr>
      <t xml:space="preserve">
  - Deposit status: </t>
    </r>
    <r>
      <rPr>
        <sz val="10"/>
        <color rgb="FF00B0F0"/>
        <rFont val="Arial"/>
        <family val="2"/>
      </rPr>
      <t>Normal</t>
    </r>
    <r>
      <rPr>
        <sz val="10"/>
        <rFont val="Arial"/>
        <family val="2"/>
      </rPr>
      <t xml:space="preserve">
1. Open "Deposit by cheque" screen
2. Input Cheque no
3. Input Cheque amount
4. Input Credit account
5. Click accept</t>
    </r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</si>
  <si>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</t>
    </r>
    <r>
      <rPr>
        <sz val="10"/>
        <color rgb="FF00B0F0"/>
        <rFont val="Arial"/>
        <family val="2"/>
      </rPr>
      <t>Normal</t>
    </r>
    <r>
      <rPr>
        <sz val="10"/>
        <rFont val="Arial"/>
        <family val="2"/>
      </rPr>
      <t xml:space="preserve">
  - 0 &lt; Withdrawal amount &lt;= Available balance
</t>
    </r>
    <r>
      <rPr>
        <b/>
        <sz val="10"/>
        <rFont val="Arial"/>
        <family val="2"/>
      </rPr>
      <t>Credit account</t>
    </r>
    <r>
      <rPr>
        <sz val="10"/>
        <rFont val="Arial"/>
        <family val="2"/>
      </rPr>
      <t xml:space="preserve">
  - Deposit type: </t>
    </r>
    <r>
      <rPr>
        <sz val="10"/>
        <color rgb="FF00B0F0"/>
        <rFont val="Arial"/>
        <family val="2"/>
      </rPr>
      <t>Fixed deposit</t>
    </r>
    <r>
      <rPr>
        <sz val="10"/>
        <rFont val="Arial"/>
        <family val="2"/>
      </rPr>
      <t xml:space="preserve">
  - Deposit status: </t>
    </r>
    <r>
      <rPr>
        <sz val="10"/>
        <color rgb="FF00B0F0"/>
        <rFont val="Arial"/>
        <family val="2"/>
      </rPr>
      <t>Normal</t>
    </r>
    <r>
      <rPr>
        <sz val="10"/>
        <rFont val="Arial"/>
        <family val="2"/>
      </rPr>
      <t xml:space="preserve">
1. Open "Deposit by cheque" screen
2. Input Cheque no
3. Input Cheque amount
4. Input Credit account
5. Click accept</t>
    </r>
  </si>
  <si>
    <r>
      <rPr>
        <b/>
        <sz val="10"/>
        <rFont val="Arial"/>
        <family val="2"/>
      </rPr>
      <t>Cheque account: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account:</t>
    </r>
    <r>
      <rPr>
        <sz val="10"/>
        <rFont val="Arial"/>
        <family val="2"/>
      </rPr>
      <t xml:space="preserve">
  - Deposit status: Normal/ Dormant
  - 0 &lt; Withdrawal amount &lt;= Available balance
</t>
    </r>
    <r>
      <rPr>
        <b/>
        <sz val="10"/>
        <rFont val="Arial"/>
        <family val="2"/>
      </rPr>
      <t>Credit account: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Deposit type: Saving
  - Deposit sub type: Shwe cash call deposit account</t>
    </r>
    <r>
      <rPr>
        <sz val="10"/>
        <rFont val="Arial"/>
        <family val="2"/>
      </rPr>
      <t xml:space="preserve">
  - Deposit status: New/ Normal</t>
    </r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</si>
  <si>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Normal/ Dormant
  - 0 &lt; Withdrawal amount &lt;= Available balance
</t>
    </r>
    <r>
      <rPr>
        <b/>
        <sz val="10"/>
        <rFont val="Arial"/>
        <family val="2"/>
      </rPr>
      <t>Credit account</t>
    </r>
    <r>
      <rPr>
        <sz val="10"/>
        <rFont val="Arial"/>
        <family val="2"/>
      </rPr>
      <t xml:space="preserve">
  - Deposit type: Current/ Saving (not Shwe cash call)/ Fixed deposit
</t>
    </r>
    <r>
      <rPr>
        <sz val="10"/>
        <color rgb="FFFF0000"/>
        <rFont val="Arial"/>
        <family val="2"/>
      </rPr>
      <t xml:space="preserve">  - Deposit status &lt;&gt; New/ Normal</t>
    </r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</si>
  <si>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Normal/ Dormant
</t>
    </r>
    <r>
      <rPr>
        <sz val="10"/>
        <color rgb="FFFF0000"/>
        <rFont val="Arial"/>
        <family val="2"/>
      </rPr>
      <t xml:space="preserve">  - Withdrawal amount &gt; Available balance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Credit account</t>
    </r>
    <r>
      <rPr>
        <sz val="10"/>
        <rFont val="Arial"/>
        <family val="2"/>
      </rPr>
      <t xml:space="preserve">
  - Deposit type: Current/ Saving (not Shwe cash call)/ Fixed deposit
  - Deposit status: New/ Normal</t>
    </r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</si>
  <si>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Deposit status &lt;&gt; Normal/ Dormant</t>
    </r>
    <r>
      <rPr>
        <sz val="10"/>
        <rFont val="Arial"/>
        <family val="2"/>
      </rPr>
      <t xml:space="preserve">
  - 0 &lt; Withdrawal amount &lt;= Available balance
</t>
    </r>
    <r>
      <rPr>
        <b/>
        <sz val="10"/>
        <rFont val="Arial"/>
        <family val="2"/>
      </rPr>
      <t>Credit account</t>
    </r>
    <r>
      <rPr>
        <sz val="10"/>
        <rFont val="Arial"/>
        <family val="2"/>
      </rPr>
      <t xml:space="preserve">
  - Deposit type: Current/ Saving (not Shwe cash call)/ Fixed deposit
  - Deposit status: New/ Normal</t>
    </r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</si>
  <si>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Status of stock leaves &lt;&gt; Unpaid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Normal/ Dormant
  - 0 &lt; Withdrawal amount &lt;= Available balance
</t>
    </r>
    <r>
      <rPr>
        <b/>
        <sz val="10"/>
        <rFont val="Arial"/>
        <family val="2"/>
      </rPr>
      <t>Credit account</t>
    </r>
    <r>
      <rPr>
        <sz val="10"/>
        <rFont val="Arial"/>
        <family val="2"/>
      </rPr>
      <t xml:space="preserve">
  - Deposit type: Current/ Saving (not Shwe cash call)/ Fixed deposit
  - Deposit status: New/ Normal
  - Same branch with debit account</t>
    </r>
  </si>
  <si>
    <t>- Add fee for transaction
- Fee belongs to transaction and same currency</t>
  </si>
  <si>
    <t>DPT_CWM_016</t>
  </si>
  <si>
    <t>Action</t>
  </si>
  <si>
    <t>Update data</t>
  </si>
  <si>
    <t>Update related table</t>
  </si>
  <si>
    <t>o9accounting</t>
  </si>
  <si>
    <t>o9admin</t>
  </si>
  <si>
    <t>o9cash</t>
  </si>
  <si>
    <t>o9deposit</t>
  </si>
  <si>
    <t>Table name</t>
  </si>
  <si>
    <t>GLEntries</t>
  </si>
  <si>
    <t>Insert new row</t>
  </si>
  <si>
    <t>TransactionJournalDone</t>
  </si>
  <si>
    <t>CashList</t>
  </si>
  <si>
    <t>- CurrencyCode already existed: Update old row (update CurrentBalance)
- CurrencyCode does not exist: Insert new row</t>
  </si>
  <si>
    <t>DepositAccount</t>
  </si>
  <si>
    <t>AccountBalance</t>
  </si>
  <si>
    <t>Update old row (update Balance)</t>
  </si>
  <si>
    <t>Transaction</t>
  </si>
  <si>
    <t>CashStatement</t>
  </si>
  <si>
    <t>- CashierCode, CurrencyCode, CashType and ValueDate already existed: Update old row (update CashAmount)
- CashierCode, CurrencyCode, CashType and ValueDate do not exist: Insert new row</t>
  </si>
  <si>
    <t>DepositStatement</t>
  </si>
  <si>
    <t>AccountStatement</t>
  </si>
  <si>
    <t>TransactionDetail</t>
  </si>
  <si>
    <t>CashTransaction</t>
  </si>
  <si>
    <t>DepositHistory</t>
  </si>
  <si>
    <t>DepositAccountTrans</t>
  </si>
  <si>
    <t>Update old row (update CurrentBalance)</t>
  </si>
  <si>
    <t>Update old row
  - DepositStatus (if prevoius status is New)
  - Psts
  - CurrentBalance, WithdrawAmount, WeekDebit, MonthDebit, QuarterDebit, SemiAnnualDebit, YearDebit
  - LastTransactionDate, UpdatedOnUtc
  - LastChangeDormantToNormalDate (if previous status is Dormant)
Update old row (if withdraw by deposit)
  - DepositStatus (if prevoius status is New)
  - Psts
  - CurrentBalance, DepositAmount, WeekCredit, MonthCredit, QuarterCredit, SemiAnnualCredit, YearCredit
  - LastTransactionDate, UpdatedOnUtc</t>
  </si>
  <si>
    <t>Issue stock</t>
  </si>
  <si>
    <t>Stock inventory</t>
  </si>
  <si>
    <t>Update old row
  - BookStatus
  - RefAccountNo
  - StockLeavesStatus, Pslsts (if stock type is Cheque)</t>
  </si>
  <si>
    <r>
      <rPr>
        <b/>
        <sz val="11"/>
        <color theme="1"/>
        <rFont val="Arial"/>
        <family val="2"/>
      </rPr>
      <t>Stock inventory</t>
    </r>
    <r>
      <rPr>
        <sz val="11"/>
        <color theme="1"/>
        <rFont val="Arial"/>
        <family val="2"/>
      </rPr>
      <t xml:space="preserve">
  - Book status: Normal
  - Ref. account No.: Deposit issued stock
  - Stock leaves status = Pslsts: change all leaves to Unpaid (if stock type is Cheque)
</t>
    </r>
    <r>
      <rPr>
        <b/>
        <sz val="11"/>
        <color theme="1"/>
        <rFont val="Arial"/>
        <family val="2"/>
      </rPr>
      <t>Deposit account (if stock type is not Cheque)</t>
    </r>
    <r>
      <rPr>
        <sz val="11"/>
        <color theme="1"/>
        <rFont val="Arial"/>
        <family val="2"/>
      </rPr>
      <t xml:space="preserve">
  - Passbook or receipt number: Serial no
  - Udfield1: Execution id of transaction
</t>
    </r>
    <r>
      <rPr>
        <b/>
        <sz val="11"/>
        <color theme="1"/>
        <rFont val="Arial"/>
        <family val="2"/>
      </rPr>
      <t xml:space="preserve">Fee collect method is cash
</t>
    </r>
    <r>
      <rPr>
        <sz val="11"/>
        <color theme="1"/>
        <rFont val="Arial"/>
        <family val="2"/>
      </rPr>
      <t xml:space="preserve">  - Increase Customer deposit, Total In, Closing balance of Cash flow
</t>
    </r>
    <r>
      <rPr>
        <b/>
        <sz val="11"/>
        <color theme="1"/>
        <rFont val="Arial"/>
        <family val="2"/>
      </rPr>
      <t>Fee collect method is deposit</t>
    </r>
    <r>
      <rPr>
        <sz val="11"/>
        <color theme="1"/>
        <rFont val="Arial"/>
        <family val="2"/>
      </rPr>
      <t xml:space="preserve">
  - Decrease Current balance, Available balance
  - Increase Withdraw Amount, Week Debit, Month Debit, Quarter Debit, Semi - Annual Debit and Year Debit
</t>
    </r>
    <r>
      <rPr>
        <b/>
        <sz val="11"/>
        <color theme="1"/>
        <rFont val="Arial"/>
        <family val="2"/>
      </rPr>
      <t>Fee collect method is GL</t>
    </r>
    <r>
      <rPr>
        <sz val="11"/>
        <color theme="1"/>
        <rFont val="Arial"/>
        <family val="2"/>
      </rPr>
      <t xml:space="preserve">
  - Decrease GL Balance</t>
    </r>
  </si>
  <si>
    <t>Withdraw money by cheque</t>
  </si>
  <si>
    <r>
      <rPr>
        <b/>
        <sz val="11"/>
        <color theme="1"/>
        <rFont val="Arial"/>
        <family val="2"/>
      </rPr>
      <t>Stock inventory</t>
    </r>
    <r>
      <rPr>
        <sz val="11"/>
        <color theme="1"/>
        <rFont val="Arial"/>
        <family val="2"/>
      </rPr>
      <t xml:space="preserve">
  - Stock leaves status: Paid
'</t>
    </r>
    <r>
      <rPr>
        <b/>
        <sz val="11"/>
        <color theme="1"/>
        <rFont val="Arial"/>
        <family val="2"/>
      </rPr>
      <t>Deposit account</t>
    </r>
    <r>
      <rPr>
        <sz val="11"/>
        <color theme="1"/>
        <rFont val="Arial"/>
      </rPr>
      <t xml:space="preserve">
  - Decrease Current balance, Available balance
  - Increase Withdraw Amount, Week Debit, Month Debit, Quarter Debit, Semi - Annual Debit and Year Debit
</t>
    </r>
    <r>
      <rPr>
        <b/>
        <sz val="11"/>
        <color theme="1"/>
        <rFont val="Arial"/>
        <family val="2"/>
      </rPr>
      <t>Withdraw by cash</t>
    </r>
    <r>
      <rPr>
        <sz val="11"/>
        <color theme="1"/>
        <rFont val="Arial"/>
      </rPr>
      <t xml:space="preserve">
  - Increase Customer withdrawal, Total Out, decrease Closing balance of Cash flow
</t>
    </r>
    <r>
      <rPr>
        <b/>
        <sz val="11"/>
        <color theme="1"/>
        <rFont val="Arial"/>
        <family val="2"/>
      </rPr>
      <t>Withdraw by deposit</t>
    </r>
    <r>
      <rPr>
        <sz val="11"/>
        <color theme="1"/>
        <rFont val="Arial"/>
      </rPr>
      <t xml:space="preserve">
  - Increase Current balance, Available balance
  - Increase Deposit Amount, Week Credit, Month Credit, Quarter Credit, Semi - Annual Credit and Year Credit
</t>
    </r>
    <r>
      <rPr>
        <b/>
        <sz val="11"/>
        <color theme="1"/>
        <rFont val="Arial"/>
        <family val="2"/>
      </rPr>
      <t>Withdraw by GL</t>
    </r>
    <r>
      <rPr>
        <sz val="11"/>
        <color theme="1"/>
        <rFont val="Arial"/>
      </rPr>
      <t xml:space="preserve">
  - Increase GL Balance</t>
    </r>
  </si>
  <si>
    <t>Update old row (if stock type is not Cheque)
  - PassbookOrReceiptNumber
  - Udfield1
Update old row (if withdraw by deposit)
  - DepositStatus (if prevoius status is New)
  - Psts
  - CurrentBalance, DepositAmount, WeekCredit, MonthCredit, QuarterCredit, SemiAnnualCredit, YearCredit
  - LastTransactionDate, UpdatedOnUtc</t>
  </si>
  <si>
    <t>Update old row
  - StockLeavesStatus</t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</si>
  <si>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Normal
</t>
    </r>
    <r>
      <rPr>
        <sz val="11"/>
        <color rgb="FF00B0F0"/>
        <rFont val="Arial"/>
        <family val="2"/>
      </rPr>
      <t xml:space="preserve">  - 0 &lt; Withdrawal amount &lt;= Available balance</t>
    </r>
    <r>
      <rPr>
        <sz val="11"/>
        <rFont val="Arial"/>
        <family val="2"/>
      </rPr>
      <t xml:space="preserve">
</t>
    </r>
    <r>
      <rPr>
        <b/>
        <sz val="10"/>
        <rFont val="Arial"/>
        <family val="2"/>
      </rPr>
      <t>Teller does this transaction</t>
    </r>
    <r>
      <rPr>
        <sz val="10"/>
        <rFont val="Arial"/>
        <family val="2"/>
      </rPr>
      <t xml:space="preserve">
  - User has right to do transaction related to cash
  - User must have enough cash to withdraw  
1. Open "Cash withdrawal by cheque" screen
2. Input Cheque no
3. Input Cheque amount
4. Click accept</t>
    </r>
  </si>
  <si>
    <t>DPT_CWC_012</t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</si>
  <si>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Normal
</t>
    </r>
    <r>
      <rPr>
        <sz val="11"/>
        <color rgb="FF00B0F0"/>
        <rFont val="Arial"/>
        <family val="2"/>
      </rPr>
      <t xml:space="preserve"> - Available balance of master &lt; Withdrawal amount &lt;= Available balance of linkage
  - Has linkage account for fund transfer
</t>
    </r>
    <r>
      <rPr>
        <b/>
        <sz val="11"/>
        <rFont val="Arial"/>
        <family val="2"/>
      </rPr>
      <t>Linkage account</t>
    </r>
    <r>
      <rPr>
        <sz val="11"/>
        <color rgb="FF00B0F0"/>
        <rFont val="Arial"/>
        <family val="2"/>
      </rPr>
      <t xml:space="preserve">
  - Deposit type: Saving
  - Deposit status: Normal
  - Linkage class: Auto fund transfer</t>
    </r>
    <r>
      <rPr>
        <sz val="11"/>
        <rFont val="Arial"/>
        <family val="2"/>
      </rPr>
      <t xml:space="preserve">
</t>
    </r>
    <r>
      <rPr>
        <b/>
        <sz val="10"/>
        <rFont val="Arial"/>
        <family val="2"/>
      </rPr>
      <t>Teller does this transaction</t>
    </r>
    <r>
      <rPr>
        <sz val="10"/>
        <rFont val="Arial"/>
        <family val="2"/>
      </rPr>
      <t xml:space="preserve">
  - User has right to do transaction related to cash
  - User must have enough cash to withdraw  
1. Open "Cash withdrawal by cheque" screen
2. Input Cheque no
3. Input Cheque amount
4. Click accept</t>
    </r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</si>
  <si>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Normal
</t>
    </r>
    <r>
      <rPr>
        <sz val="11"/>
        <color rgb="FFFF0000"/>
        <rFont val="Arial"/>
        <family val="2"/>
      </rPr>
      <t xml:space="preserve"> - Available balance of master &lt; Withdrawal amount &lt;= Available balance of linkage
  - Has linkage account for fund transfer
</t>
    </r>
    <r>
      <rPr>
        <b/>
        <sz val="11"/>
        <rFont val="Arial"/>
        <family val="2"/>
      </rPr>
      <t>Linkage account</t>
    </r>
    <r>
      <rPr>
        <sz val="11"/>
        <rFont val="Arial"/>
        <family val="2"/>
      </rPr>
      <t xml:space="preserve">
</t>
    </r>
    <r>
      <rPr>
        <sz val="11"/>
        <color rgb="FFFF0000"/>
        <rFont val="Arial"/>
        <family val="2"/>
      </rPr>
      <t xml:space="preserve">  - Deposit type &lt;&gt; Saving</t>
    </r>
    <r>
      <rPr>
        <sz val="11"/>
        <rFont val="Arial"/>
        <family val="2"/>
      </rPr>
      <t xml:space="preserve">
  - Deposit status: Normal
  - Linkage class: Auto fund transfer
</t>
    </r>
    <r>
      <rPr>
        <b/>
        <sz val="10"/>
        <rFont val="Arial"/>
        <family val="2"/>
      </rPr>
      <t>Teller does this transaction</t>
    </r>
    <r>
      <rPr>
        <sz val="10"/>
        <rFont val="Arial"/>
        <family val="2"/>
      </rPr>
      <t xml:space="preserve">
  - User has right to do transaction related to cash
  - User must have enough cash to withdraw  
1. Open "Cash withdrawal by cheque" screen
2. Input Cheque no
3. Input Cheque amount
4. Click accept</t>
    </r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</si>
  <si>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Normal
</t>
    </r>
    <r>
      <rPr>
        <sz val="11"/>
        <color rgb="FFFF0000"/>
        <rFont val="Arial"/>
        <family val="2"/>
      </rPr>
      <t xml:space="preserve"> - Available balance of master &lt; Withdrawal amount &lt;= Available balance of linkage
  - Has linkage account for fund transfer
</t>
    </r>
    <r>
      <rPr>
        <b/>
        <sz val="11"/>
        <rFont val="Arial"/>
        <family val="2"/>
      </rPr>
      <t>Linkage account</t>
    </r>
    <r>
      <rPr>
        <sz val="11"/>
        <rFont val="Arial"/>
        <family val="2"/>
      </rPr>
      <t xml:space="preserve">
  - Deposit type: Saving
</t>
    </r>
    <r>
      <rPr>
        <sz val="11"/>
        <color rgb="FFFF0000"/>
        <rFont val="Arial"/>
        <family val="2"/>
      </rPr>
      <t xml:space="preserve">  - Deposit status &lt;&gt; Normal</t>
    </r>
    <r>
      <rPr>
        <sz val="11"/>
        <rFont val="Arial"/>
        <family val="2"/>
      </rPr>
      <t xml:space="preserve">
  - Linkage class: Auto fund transfer
</t>
    </r>
    <r>
      <rPr>
        <b/>
        <sz val="10"/>
        <rFont val="Arial"/>
        <family val="2"/>
      </rPr>
      <t>Teller does this transaction</t>
    </r>
    <r>
      <rPr>
        <sz val="10"/>
        <rFont val="Arial"/>
        <family val="2"/>
      </rPr>
      <t xml:space="preserve">
  - User has right to do transaction related to cash
  - User must have enough cash to withdraw  
1. Open "Cash withdrawal by cheque" screen
2. Input Cheque no
3. Input Cheque amount
4. Click accept</t>
    </r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</si>
  <si>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Normal
</t>
    </r>
    <r>
      <rPr>
        <sz val="11"/>
        <color rgb="FFFF0000"/>
        <rFont val="Arial"/>
        <family val="2"/>
      </rPr>
      <t xml:space="preserve"> - Available balance of master &lt; Withdrawal amount &lt;= Available balance of linkage
  - Has linkage account for fund transfer
</t>
    </r>
    <r>
      <rPr>
        <b/>
        <sz val="11"/>
        <rFont val="Arial"/>
        <family val="2"/>
      </rPr>
      <t>Linkage account</t>
    </r>
    <r>
      <rPr>
        <sz val="11"/>
        <rFont val="Arial"/>
        <family val="2"/>
      </rPr>
      <t xml:space="preserve">
  - Deposit type: Saving
  - Deposit status: Normal
</t>
    </r>
    <r>
      <rPr>
        <sz val="11"/>
        <color rgb="FFFF0000"/>
        <rFont val="Arial"/>
        <family val="2"/>
      </rPr>
      <t xml:space="preserve">  - Linkage class &lt;&gt; Auto fund transfer</t>
    </r>
    <r>
      <rPr>
        <sz val="11"/>
        <rFont val="Arial"/>
        <family val="2"/>
      </rPr>
      <t xml:space="preserve">
</t>
    </r>
    <r>
      <rPr>
        <b/>
        <sz val="10"/>
        <rFont val="Arial"/>
        <family val="2"/>
      </rPr>
      <t>Teller does this transaction</t>
    </r>
    <r>
      <rPr>
        <sz val="10"/>
        <rFont val="Arial"/>
        <family val="2"/>
      </rPr>
      <t xml:space="preserve">
  - User has right to do transaction related to cash
  - User must have enough cash to withdraw  
1. Open "Cash withdrawal by cheque" screen
2. Input Cheque no
3. Input Cheque amount
4. Click accept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</si>
  <si>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</t>
    </r>
    <r>
      <rPr>
        <sz val="10"/>
        <color rgb="FFFF0000"/>
        <rFont val="Arial"/>
        <family val="2"/>
      </rPr>
      <t xml:space="preserve">  - NOT belong to teller does this transaction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1. Open "Deposit savings book issue" screen
2. Input Account number
3. Input Serial no
4. Click Accept</t>
    </r>
  </si>
  <si>
    <t>(vẫn fail đối với stock có status là Stop payment)</t>
  </si>
  <si>
    <t>DPT_CWC_013</t>
  </si>
  <si>
    <t>DPT_CWC_014</t>
  </si>
  <si>
    <t>DPT_CWC_015</t>
  </si>
  <si>
    <t>DPT_CWC_016</t>
  </si>
  <si>
    <r>
      <rPr>
        <b/>
        <sz val="10"/>
        <rFont val="Arial"/>
        <family val="2"/>
      </rPr>
      <t>Cheque account</t>
    </r>
    <r>
      <rPr>
        <sz val="10"/>
        <rFont val="Arial"/>
        <family val="2"/>
      </rPr>
      <t xml:space="preserve">
  - Status of stock leaves: Unpaid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status: Normal
</t>
    </r>
    <r>
      <rPr>
        <sz val="11"/>
        <color rgb="FF00B0F0"/>
        <rFont val="Arial"/>
        <family val="2"/>
      </rPr>
      <t xml:space="preserve">  - 0 &lt; Withdrawal amount &lt;= Available balance
  - Currency &lt;&gt; MMK</t>
    </r>
    <r>
      <rPr>
        <sz val="11"/>
        <rFont val="Arial"/>
        <family val="2"/>
      </rPr>
      <t xml:space="preserve">
</t>
    </r>
    <r>
      <rPr>
        <b/>
        <sz val="10"/>
        <rFont val="Arial"/>
        <family val="2"/>
      </rPr>
      <t>Teller does this transaction</t>
    </r>
    <r>
      <rPr>
        <sz val="10"/>
        <rFont val="Arial"/>
        <family val="2"/>
      </rPr>
      <t xml:space="preserve">
  - User has right to do transaction related to cash
  - User must have enough cash to withdraw  
1. Open "Cash withdrawal by cheque" screen
2. Input Cheque no
3. Input Cheque amount
4. Click accept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</si>
  <si>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00B0F0"/>
        <rFont val="Arial"/>
        <family val="2"/>
      </rPr>
      <t>Accounting</t>
    </r>
    <r>
      <rPr>
        <b/>
        <sz val="10"/>
        <rFont val="Arial"/>
        <family val="2"/>
      </rPr>
      <t xml:space="preserve">
</t>
    </r>
    <r>
      <rPr>
        <sz val="10"/>
        <color rgb="FF00B0F0"/>
        <rFont val="Arial"/>
        <family val="2"/>
      </rPr>
      <t xml:space="preserve">  - Posting side: Debit/ Both
  - Account level: 9
  - GL currency = Deposit currency
  - Account group &lt;&gt; Cash
  - Direct posting: Yes
  - Branch account = Branch teller
</t>
    </r>
    <r>
      <rPr>
        <sz val="10"/>
        <rFont val="Arial"/>
        <family val="2"/>
      </rPr>
      <t xml:space="preserve">  
1. Open "Deposit savings book issue" screen
2. Input Account number
3. Input Serial no
4. Add fee
5. Click Accept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</si>
  <si>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 xml:space="preserve">Accounting
</t>
    </r>
    <r>
      <rPr>
        <sz val="10"/>
        <rFont val="Arial"/>
        <family val="2"/>
      </rPr>
      <t xml:space="preserve">  - </t>
    </r>
    <r>
      <rPr>
        <sz val="10"/>
        <color rgb="FFFF0000"/>
        <rFont val="Arial"/>
        <family val="2"/>
      </rPr>
      <t>Posting side: Credit</t>
    </r>
    <r>
      <rPr>
        <sz val="10"/>
        <rFont val="Arial"/>
        <family val="2"/>
      </rPr>
      <t xml:space="preserve">
  - Account level: 9
  - GL currency = Deposit currency
  - Account group &lt;&gt; Cash
  - Direct posting: Yes
  - Branch account = Branch teller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</si>
  <si>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 xml:space="preserve">Accounting
</t>
    </r>
    <r>
      <rPr>
        <sz val="10"/>
        <rFont val="Arial"/>
        <family val="2"/>
      </rPr>
      <t xml:space="preserve">  - Posting side: Debit/ Both
  - </t>
    </r>
    <r>
      <rPr>
        <sz val="10"/>
        <color rgb="FFFF0000"/>
        <rFont val="Arial"/>
        <family val="2"/>
      </rPr>
      <t>Account level &lt;&gt; 9</t>
    </r>
    <r>
      <rPr>
        <sz val="10"/>
        <rFont val="Arial"/>
        <family val="2"/>
      </rPr>
      <t xml:space="preserve">
  - GL currency = Deposit currency
  - Account group &lt;&gt; Cash
  - Direct posting: Yes
  - Branch account = Branch teller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</si>
  <si>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 xml:space="preserve">Accounting
</t>
    </r>
    <r>
      <rPr>
        <sz val="10"/>
        <rFont val="Arial"/>
        <family val="2"/>
      </rPr>
      <t xml:space="preserve">  - Posting side: Debit/ Both
  - Account level: 9
</t>
    </r>
    <r>
      <rPr>
        <sz val="10"/>
        <color rgb="FFFF0000"/>
        <rFont val="Arial"/>
        <family val="2"/>
      </rPr>
      <t xml:space="preserve">  - GL currency &lt;&gt; Deposit currency
</t>
    </r>
    <r>
      <rPr>
        <sz val="10"/>
        <rFont val="Arial"/>
        <family val="2"/>
      </rPr>
      <t xml:space="preserve">  - Account group &lt;&gt; Cash
  - Direct posting: Yes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Branch account = Branch teller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</si>
  <si>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 xml:space="preserve">Accounting
</t>
    </r>
    <r>
      <rPr>
        <sz val="10"/>
        <rFont val="Arial"/>
        <family val="2"/>
      </rPr>
      <t xml:space="preserve">  - Posting side: Debit/ Both
  - Account level: 9
  - GL currency = Deposit currency
</t>
    </r>
    <r>
      <rPr>
        <sz val="10"/>
        <color rgb="FFFF0000"/>
        <rFont val="Arial"/>
        <family val="2"/>
      </rPr>
      <t xml:space="preserve">  - Account group: Cash</t>
    </r>
    <r>
      <rPr>
        <sz val="10"/>
        <rFont val="Arial"/>
        <family val="2"/>
      </rPr>
      <t xml:space="preserve">
  - Direct posting: Yes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Branch account = Branch teller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</si>
  <si>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 xml:space="preserve">Accounting
</t>
    </r>
    <r>
      <rPr>
        <sz val="10"/>
        <rFont val="Arial"/>
        <family val="2"/>
      </rPr>
      <t xml:space="preserve">  - Posting side: Debit/ Both
  - Account level: 9
  - GL currency = Deposit currency
  - Account group &lt;&gt; Cash
</t>
    </r>
    <r>
      <rPr>
        <sz val="10"/>
        <color rgb="FFFF0000"/>
        <rFont val="Arial"/>
        <family val="2"/>
      </rPr>
      <t xml:space="preserve">  - Direct posting &lt;&gt; Yes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- Branch account = Branch teller</t>
    </r>
  </si>
  <si>
    <r>
      <t>Books exist</t>
    </r>
    <r>
      <rPr>
        <sz val="10"/>
        <rFont val="Arial"/>
        <family val="2"/>
      </rPr>
      <t xml:space="preserve">
  - Stock type: Passbook
  - Book status: Assigned to teller
  - Confirm status: Confirmed
  - Status of stock leaves: Normal
  - Belongs to teller does this transaction
</t>
    </r>
    <r>
      <rPr>
        <b/>
        <sz val="10"/>
        <rFont val="Arial"/>
        <family val="2"/>
      </rPr>
      <t>Deposit account</t>
    </r>
    <r>
      <rPr>
        <sz val="10"/>
        <rFont val="Arial"/>
        <family val="2"/>
      </rPr>
      <t xml:space="preserve">
  - Deposit type: Saving
  - Deposit status: New/ Normal/ Dormant
  - Have no passbook
</t>
    </r>
    <r>
      <rPr>
        <b/>
        <sz val="10"/>
        <rFont val="Arial"/>
        <family val="2"/>
      </rPr>
      <t xml:space="preserve">Fee collect method is </t>
    </r>
    <r>
      <rPr>
        <b/>
        <sz val="10"/>
        <color rgb="FFFF0000"/>
        <rFont val="Arial"/>
        <family val="2"/>
      </rPr>
      <t xml:space="preserve">Accounting
</t>
    </r>
    <r>
      <rPr>
        <sz val="10"/>
        <rFont val="Arial"/>
        <family val="2"/>
      </rPr>
      <t xml:space="preserve">  - Posting side: Debit/ Both
  - Account level: 9
  - GL currency = Deposit currency
  - Account group &lt;&gt; Cash
  - Direct posting: Yes</t>
    </r>
    <r>
      <rPr>
        <b/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  - Branch account &lt;&gt; Branch teller</t>
    </r>
  </si>
  <si>
    <t>check theo hiện trạng trên prod đang không validate</t>
  </si>
  <si>
    <t>DPT_CIS_022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</si>
</sst>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0"/>
      <color rgb="FF0000FF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Arial"/>
      <family val="2"/>
    </font>
    <font>
      <b/>
      <sz val="15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rgb="FF00B0F0"/>
      <name val="Arial"/>
      <family val="2"/>
    </font>
    <font>
      <b/>
      <sz val="10"/>
      <color rgb="FF00B0F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4"/>
      <name val="Arial"/>
      <family val="2"/>
    </font>
    <font>
      <sz val="11"/>
      <color rgb="FF00B0F0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16624"/>
        <bgColor rgb="FFF16624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E36C09"/>
        <bgColor rgb="FFE36C09"/>
      </patternFill>
    </fill>
    <fill>
      <patternFill patternType="solid">
        <fgColor rgb="FFFABF8F"/>
        <bgColor rgb="FFFABF8F"/>
      </patternFill>
    </fill>
    <fill>
      <patternFill patternType="solid">
        <fgColor theme="4"/>
        <bgColor theme="4"/>
      </patternFill>
    </fill>
    <fill>
      <patternFill patternType="solid">
        <fgColor rgb="FFB2A1C7"/>
        <bgColor rgb="FFB2A1C7"/>
      </patternFill>
    </fill>
    <fill>
      <patternFill patternType="solid">
        <fgColor rgb="FFFFCC66"/>
        <bgColor rgb="FFFFCC66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rgb="FFFBD4B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6">
    <xf numFmtId="0" fontId="0" fillId="0" borderId="0"/>
    <xf numFmtId="0" fontId="16" fillId="0" borderId="1" applyNumberFormat="0" applyFill="0" applyBorder="0" applyAlignment="0" applyProtection="0"/>
    <xf numFmtId="0" fontId="22" fillId="13" borderId="1" applyNumberFormat="0" applyBorder="0" applyAlignment="0" applyProtection="0"/>
    <xf numFmtId="0" fontId="23" fillId="0" borderId="1"/>
    <xf numFmtId="0" fontId="1" fillId="15" borderId="1" applyNumberFormat="0" applyBorder="0" applyAlignment="0" applyProtection="0"/>
    <xf numFmtId="0" fontId="1" fillId="14" borderId="1" applyNumberFormat="0" applyBorder="0" applyAlignment="0" applyProtection="0"/>
  </cellStyleXfs>
  <cellXfs count="171">
    <xf numFmtId="0" fontId="0" fillId="0" borderId="0" xfId="0" applyFont="1" applyAlignment="1"/>
    <xf numFmtId="0" fontId="2" fillId="0" borderId="0" xfId="0" applyFont="1"/>
    <xf numFmtId="0" fontId="5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4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14" fontId="2" fillId="2" borderId="10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0" borderId="16" xfId="0" applyFont="1" applyBorder="1"/>
    <xf numFmtId="0" fontId="8" fillId="0" borderId="15" xfId="0" applyFont="1" applyBorder="1" applyAlignment="1">
      <alignment horizontal="left" vertical="center" wrapText="1"/>
    </xf>
    <xf numFmtId="16" fontId="8" fillId="0" borderId="15" xfId="0" applyNumberFormat="1" applyFont="1" applyBorder="1" applyAlignment="1">
      <alignment vertical="center" wrapText="1"/>
    </xf>
    <xf numFmtId="0" fontId="8" fillId="4" borderId="15" xfId="0" applyFont="1" applyFill="1" applyBorder="1" applyAlignment="1">
      <alignment vertical="center"/>
    </xf>
    <xf numFmtId="0" fontId="8" fillId="5" borderId="15" xfId="0" applyFont="1" applyFill="1" applyBorder="1" applyAlignment="1">
      <alignment vertical="center" wrapText="1"/>
    </xf>
    <xf numFmtId="0" fontId="8" fillId="5" borderId="15" xfId="0" applyFont="1" applyFill="1" applyBorder="1" applyAlignment="1">
      <alignment vertical="center"/>
    </xf>
    <xf numFmtId="0" fontId="8" fillId="6" borderId="15" xfId="0" applyFont="1" applyFill="1" applyBorder="1" applyAlignment="1">
      <alignment vertical="center"/>
    </xf>
    <xf numFmtId="0" fontId="2" fillId="4" borderId="15" xfId="0" applyFont="1" applyFill="1" applyBorder="1"/>
    <xf numFmtId="10" fontId="2" fillId="4" borderId="15" xfId="0" applyNumberFormat="1" applyFont="1" applyFill="1" applyBorder="1"/>
    <xf numFmtId="0" fontId="2" fillId="5" borderId="15" xfId="0" applyFont="1" applyFill="1" applyBorder="1"/>
    <xf numFmtId="10" fontId="2" fillId="5" borderId="15" xfId="0" applyNumberFormat="1" applyFont="1" applyFill="1" applyBorder="1"/>
    <xf numFmtId="0" fontId="2" fillId="7" borderId="15" xfId="0" applyFont="1" applyFill="1" applyBorder="1"/>
    <xf numFmtId="10" fontId="2" fillId="7" borderId="15" xfId="0" applyNumberFormat="1" applyFont="1" applyFill="1" applyBorder="1"/>
    <xf numFmtId="0" fontId="2" fillId="6" borderId="15" xfId="0" applyFont="1" applyFill="1" applyBorder="1"/>
    <xf numFmtId="10" fontId="2" fillId="6" borderId="15" xfId="0" applyNumberFormat="1" applyFont="1" applyFill="1" applyBorder="1"/>
    <xf numFmtId="0" fontId="10" fillId="0" borderId="0" xfId="0" applyFont="1" applyAlignment="1">
      <alignment horizontal="center" vertical="center"/>
    </xf>
    <xf numFmtId="0" fontId="11" fillId="3" borderId="15" xfId="0" applyFont="1" applyFill="1" applyBorder="1" applyAlignment="1">
      <alignment horizontal="left" vertical="center" wrapText="1"/>
    </xf>
    <xf numFmtId="0" fontId="11" fillId="3" borderId="15" xfId="0" applyFont="1" applyFill="1" applyBorder="1" applyAlignment="1">
      <alignment horizontal="center" vertical="center" wrapText="1"/>
    </xf>
    <xf numFmtId="49" fontId="11" fillId="3" borderId="15" xfId="0" applyNumberFormat="1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10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/>
    <xf numFmtId="0" fontId="9" fillId="4" borderId="15" xfId="0" applyFont="1" applyFill="1" applyBorder="1" applyAlignment="1">
      <alignment horizontal="center" vertical="center"/>
    </xf>
    <xf numFmtId="10" fontId="9" fillId="4" borderId="1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2" fillId="0" borderId="15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18" xfId="0" applyFont="1" applyBorder="1" applyAlignment="1">
      <alignment horizontal="left" vertical="center" wrapText="1"/>
    </xf>
    <xf numFmtId="0" fontId="16" fillId="0" borderId="18" xfId="0" quotePrefix="1" applyFont="1" applyBorder="1" applyAlignment="1">
      <alignment vertical="center" wrapText="1"/>
    </xf>
    <xf numFmtId="14" fontId="2" fillId="0" borderId="18" xfId="0" applyNumberFormat="1" applyFont="1" applyBorder="1" applyAlignment="1">
      <alignment horizontal="center" vertical="center" wrapText="1"/>
    </xf>
    <xf numFmtId="14" fontId="2" fillId="0" borderId="18" xfId="0" applyNumberFormat="1" applyFont="1" applyBorder="1" applyAlignment="1">
      <alignment horizontal="left" vertical="center" wrapText="1"/>
    </xf>
    <xf numFmtId="0" fontId="2" fillId="0" borderId="0" xfId="0" applyFont="1" applyAlignment="1"/>
    <xf numFmtId="0" fontId="2" fillId="2" borderId="18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vertical="center" wrapText="1"/>
    </xf>
    <xf numFmtId="0" fontId="2" fillId="0" borderId="0" xfId="0" applyFont="1" applyFill="1"/>
    <xf numFmtId="0" fontId="2" fillId="0" borderId="0" xfId="0" applyFont="1" applyFill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horizontal="center" vertical="center" wrapText="1"/>
    </xf>
    <xf numFmtId="14" fontId="2" fillId="0" borderId="18" xfId="0" applyNumberFormat="1" applyFont="1" applyBorder="1" applyAlignment="1">
      <alignment horizontal="center" vertical="center"/>
    </xf>
    <xf numFmtId="0" fontId="0" fillId="0" borderId="0" xfId="0"/>
    <xf numFmtId="0" fontId="2" fillId="0" borderId="18" xfId="0" applyFont="1" applyFill="1" applyBorder="1" applyAlignment="1">
      <alignment vertical="center" wrapText="1"/>
    </xf>
    <xf numFmtId="0" fontId="0" fillId="0" borderId="1" xfId="0" applyFont="1" applyBorder="1" applyAlignment="1"/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11" fillId="8" borderId="18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top" wrapText="1"/>
    </xf>
    <xf numFmtId="0" fontId="11" fillId="9" borderId="18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18" fillId="10" borderId="18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vertical="top" wrapTex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0" borderId="18" xfId="0" applyFont="1" applyBorder="1" applyAlignment="1">
      <alignment vertical="center" wrapText="1"/>
    </xf>
    <xf numFmtId="0" fontId="16" fillId="0" borderId="18" xfId="1" applyBorder="1" applyAlignment="1">
      <alignment horizontal="left" vertical="center" wrapText="1"/>
    </xf>
    <xf numFmtId="0" fontId="17" fillId="0" borderId="18" xfId="0" quotePrefix="1" applyFont="1" applyFill="1" applyBorder="1" applyAlignment="1">
      <alignment vertical="top" wrapText="1"/>
    </xf>
    <xf numFmtId="0" fontId="16" fillId="0" borderId="18" xfId="0" quotePrefix="1" applyFont="1" applyFill="1" applyBorder="1" applyAlignment="1">
      <alignment vertical="top" wrapText="1"/>
    </xf>
    <xf numFmtId="0" fontId="9" fillId="11" borderId="18" xfId="0" applyFont="1" applyFill="1" applyBorder="1" applyAlignment="1">
      <alignment horizontal="left" vertical="center" wrapText="1"/>
    </xf>
    <xf numFmtId="0" fontId="9" fillId="11" borderId="18" xfId="0" applyFont="1" applyFill="1" applyBorder="1" applyAlignment="1">
      <alignment vertical="center" wrapText="1"/>
    </xf>
    <xf numFmtId="0" fontId="9" fillId="11" borderId="18" xfId="0" applyFont="1" applyFill="1" applyBorder="1" applyAlignment="1">
      <alignment vertical="center"/>
    </xf>
    <xf numFmtId="0" fontId="16" fillId="0" borderId="18" xfId="1" applyFill="1" applyBorder="1" applyAlignment="1">
      <alignment horizontal="left" vertical="center" wrapText="1"/>
    </xf>
    <xf numFmtId="0" fontId="16" fillId="0" borderId="18" xfId="1" quotePrefix="1" applyBorder="1" applyAlignment="1">
      <alignment horizontal="left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left" vertical="center" wrapText="1"/>
    </xf>
    <xf numFmtId="14" fontId="16" fillId="0" borderId="18" xfId="0" applyNumberFormat="1" applyFont="1" applyBorder="1" applyAlignment="1">
      <alignment horizontal="left" vertical="center" wrapText="1"/>
    </xf>
    <xf numFmtId="0" fontId="9" fillId="5" borderId="18" xfId="0" applyFont="1" applyFill="1" applyBorder="1" applyAlignment="1">
      <alignment horizontal="left" vertical="center" wrapText="1"/>
    </xf>
    <xf numFmtId="0" fontId="9" fillId="5" borderId="18" xfId="0" applyFont="1" applyFill="1" applyBorder="1" applyAlignment="1">
      <alignment vertical="center"/>
    </xf>
    <xf numFmtId="0" fontId="9" fillId="5" borderId="18" xfId="0" applyFont="1" applyFill="1" applyBorder="1" applyAlignment="1">
      <alignment vertical="center" wrapText="1"/>
    </xf>
    <xf numFmtId="0" fontId="9" fillId="5" borderId="18" xfId="0" applyFont="1" applyFill="1" applyBorder="1" applyAlignment="1">
      <alignment vertical="top" wrapText="1"/>
    </xf>
    <xf numFmtId="0" fontId="9" fillId="5" borderId="18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left" vertical="center" wrapText="1"/>
    </xf>
    <xf numFmtId="0" fontId="9" fillId="12" borderId="18" xfId="0" applyFont="1" applyFill="1" applyBorder="1" applyAlignment="1">
      <alignment vertical="center" wrapText="1"/>
    </xf>
    <xf numFmtId="0" fontId="2" fillId="0" borderId="18" xfId="0" quotePrefix="1" applyFont="1" applyBorder="1" applyAlignment="1">
      <alignment vertical="center" wrapText="1"/>
    </xf>
    <xf numFmtId="0" fontId="2" fillId="0" borderId="18" xfId="0" applyFont="1" applyBorder="1" applyAlignment="1">
      <alignment vertical="center"/>
    </xf>
    <xf numFmtId="0" fontId="21" fillId="0" borderId="18" xfId="0" applyFont="1" applyBorder="1" applyAlignment="1">
      <alignment horizontal="left" vertical="center" wrapText="1"/>
    </xf>
    <xf numFmtId="0" fontId="23" fillId="0" borderId="1" xfId="3"/>
    <xf numFmtId="0" fontId="25" fillId="14" borderId="18" xfId="5" applyFont="1" applyBorder="1" applyAlignment="1">
      <alignment vertical="center"/>
    </xf>
    <xf numFmtId="0" fontId="25" fillId="14" borderId="23" xfId="5" applyFont="1" applyBorder="1" applyAlignment="1">
      <alignment vertical="center"/>
    </xf>
    <xf numFmtId="0" fontId="23" fillId="0" borderId="30" xfId="3" applyBorder="1" applyAlignment="1">
      <alignment vertical="top"/>
    </xf>
    <xf numFmtId="0" fontId="23" fillId="0" borderId="33" xfId="3" applyBorder="1"/>
    <xf numFmtId="0" fontId="23" fillId="0" borderId="34" xfId="3" applyBorder="1"/>
    <xf numFmtId="0" fontId="23" fillId="0" borderId="34" xfId="3" applyBorder="1" applyAlignment="1">
      <alignment vertical="top"/>
    </xf>
    <xf numFmtId="0" fontId="23" fillId="0" borderId="35" xfId="3" applyBorder="1" applyAlignment="1">
      <alignment vertical="top"/>
    </xf>
    <xf numFmtId="0" fontId="0" fillId="0" borderId="27" xfId="0" applyBorder="1" applyAlignment="1">
      <alignment vertical="top" wrapText="1"/>
    </xf>
    <xf numFmtId="0" fontId="0" fillId="0" borderId="30" xfId="0" applyBorder="1" applyAlignment="1">
      <alignment vertical="top"/>
    </xf>
    <xf numFmtId="0" fontId="0" fillId="0" borderId="31" xfId="0" applyBorder="1" applyAlignment="1">
      <alignment vertical="top"/>
    </xf>
    <xf numFmtId="0" fontId="0" fillId="0" borderId="30" xfId="0" applyBorder="1"/>
    <xf numFmtId="0" fontId="0" fillId="0" borderId="34" xfId="0" applyBorder="1"/>
    <xf numFmtId="0" fontId="0" fillId="0" borderId="35" xfId="0" applyBorder="1" applyAlignment="1">
      <alignment vertical="top"/>
    </xf>
    <xf numFmtId="0" fontId="23" fillId="0" borderId="28" xfId="0" applyFont="1" applyBorder="1" applyAlignment="1">
      <alignment vertical="top" wrapText="1"/>
    </xf>
    <xf numFmtId="0" fontId="23" fillId="0" borderId="27" xfId="0" applyFont="1" applyBorder="1" applyAlignment="1">
      <alignment vertical="top" wrapText="1"/>
    </xf>
    <xf numFmtId="0" fontId="23" fillId="0" borderId="30" xfId="0" applyFont="1" applyBorder="1" applyAlignment="1">
      <alignment vertical="top"/>
    </xf>
    <xf numFmtId="0" fontId="0" fillId="0" borderId="18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quotePrefix="1" applyBorder="1" applyAlignment="1">
      <alignment vertical="top" wrapText="1"/>
    </xf>
    <xf numFmtId="0" fontId="0" fillId="0" borderId="18" xfId="0" applyBorder="1"/>
    <xf numFmtId="0" fontId="0" fillId="0" borderId="18" xfId="0" applyBorder="1" applyAlignment="1">
      <alignment vertical="top"/>
    </xf>
    <xf numFmtId="0" fontId="0" fillId="0" borderId="29" xfId="0" applyBorder="1" applyAlignment="1">
      <alignment vertical="top"/>
    </xf>
    <xf numFmtId="0" fontId="0" fillId="0" borderId="29" xfId="0" applyBorder="1"/>
    <xf numFmtId="0" fontId="0" fillId="0" borderId="30" xfId="0" applyBorder="1" applyAlignment="1">
      <alignment vertical="top" wrapText="1"/>
    </xf>
    <xf numFmtId="0" fontId="0" fillId="0" borderId="39" xfId="0" applyBorder="1"/>
    <xf numFmtId="0" fontId="23" fillId="0" borderId="31" xfId="0" applyFont="1" applyBorder="1" applyAlignment="1">
      <alignment vertical="top" wrapText="1"/>
    </xf>
    <xf numFmtId="0" fontId="0" fillId="0" borderId="39" xfId="0" applyBorder="1" applyAlignment="1">
      <alignment vertical="top"/>
    </xf>
    <xf numFmtId="0" fontId="0" fillId="0" borderId="40" xfId="0" applyBorder="1"/>
    <xf numFmtId="0" fontId="2" fillId="0" borderId="1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7" fillId="0" borderId="13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9" fillId="0" borderId="13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Font="1" applyAlignment="1"/>
    <xf numFmtId="0" fontId="9" fillId="7" borderId="13" xfId="0" applyFont="1" applyFill="1" applyBorder="1" applyAlignment="1">
      <alignment horizontal="left"/>
    </xf>
    <xf numFmtId="0" fontId="9" fillId="4" borderId="13" xfId="0" applyFont="1" applyFill="1" applyBorder="1" applyAlignment="1">
      <alignment horizontal="center"/>
    </xf>
    <xf numFmtId="0" fontId="23" fillId="0" borderId="24" xfId="3" applyBorder="1" applyAlignment="1">
      <alignment horizontal="left" vertical="top" wrapText="1"/>
    </xf>
    <xf numFmtId="0" fontId="23" fillId="0" borderId="32" xfId="3" applyBorder="1" applyAlignment="1">
      <alignment horizontal="left" vertical="top" wrapText="1"/>
    </xf>
    <xf numFmtId="0" fontId="23" fillId="0" borderId="25" xfId="3" quotePrefix="1" applyBorder="1" applyAlignment="1">
      <alignment horizontal="left" vertical="top" wrapText="1"/>
    </xf>
    <xf numFmtId="0" fontId="23" fillId="0" borderId="33" xfId="3" quotePrefix="1" applyBorder="1" applyAlignment="1">
      <alignment horizontal="left" vertical="top" wrapText="1"/>
    </xf>
    <xf numFmtId="0" fontId="23" fillId="0" borderId="36" xfId="3" applyBorder="1" applyAlignment="1">
      <alignment horizontal="left" vertical="top" wrapText="1"/>
    </xf>
    <xf numFmtId="0" fontId="23" fillId="0" borderId="37" xfId="0" quotePrefix="1" applyFont="1" applyBorder="1" applyAlignment="1">
      <alignment horizontal="left" vertical="top" wrapText="1"/>
    </xf>
    <xf numFmtId="0" fontId="0" fillId="0" borderId="38" xfId="0" quotePrefix="1" applyBorder="1" applyAlignment="1">
      <alignment horizontal="left" vertical="top" wrapText="1"/>
    </xf>
    <xf numFmtId="0" fontId="0" fillId="0" borderId="25" xfId="0" quotePrefix="1" applyBorder="1" applyAlignment="1">
      <alignment horizontal="left" vertical="top" wrapText="1"/>
    </xf>
    <xf numFmtId="0" fontId="0" fillId="0" borderId="33" xfId="0" quotePrefix="1" applyBorder="1" applyAlignment="1">
      <alignment horizontal="left" vertical="top" wrapText="1"/>
    </xf>
    <xf numFmtId="0" fontId="24" fillId="13" borderId="19" xfId="2" applyFont="1" applyBorder="1" applyAlignment="1">
      <alignment horizontal="center" vertical="center"/>
    </xf>
    <xf numFmtId="0" fontId="24" fillId="13" borderId="22" xfId="2" applyFont="1" applyBorder="1" applyAlignment="1">
      <alignment horizontal="center" vertical="center"/>
    </xf>
    <xf numFmtId="0" fontId="24" fillId="13" borderId="20" xfId="2" applyFont="1" applyBorder="1" applyAlignment="1">
      <alignment horizontal="center" vertical="center"/>
    </xf>
    <xf numFmtId="0" fontId="24" fillId="13" borderId="18" xfId="2" applyFont="1" applyBorder="1" applyAlignment="1">
      <alignment horizontal="center" vertical="center"/>
    </xf>
    <xf numFmtId="0" fontId="24" fillId="13" borderId="21" xfId="2" applyFont="1" applyBorder="1" applyAlignment="1">
      <alignment horizontal="center" vertical="center"/>
    </xf>
    <xf numFmtId="0" fontId="25" fillId="15" borderId="18" xfId="4" applyFont="1" applyBorder="1" applyAlignment="1">
      <alignment horizontal="center" vertical="center"/>
    </xf>
    <xf numFmtId="0" fontId="25" fillId="15" borderId="23" xfId="4" applyFont="1" applyBorder="1" applyAlignment="1">
      <alignment horizontal="center" vertical="center"/>
    </xf>
  </cellXfs>
  <cellStyles count="6">
    <cellStyle name="20% - Accent1 2" xfId="5" xr:uid="{6D3A8ED5-0838-405E-8945-1C31057973E1}"/>
    <cellStyle name="60% - Accent1 2" xfId="4" xr:uid="{2133EB01-189F-4B1F-8494-D2E5392E9B98}"/>
    <cellStyle name="Accent1 2" xfId="2" xr:uid="{5706360F-4367-4304-A095-F75DD5392AAB}"/>
    <cellStyle name="Normal" xfId="0" builtinId="0"/>
    <cellStyle name="Normal 2" xfId="1" xr:uid="{81C46D34-5A1A-4B72-8E87-499A7D5415A8}"/>
    <cellStyle name="Normal 3" xfId="3" xr:uid="{AF3C66A6-AD71-43AC-A559-F85F3F71A4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ITS\Working\Markets\Myanmar\TF\Testing\TF_Test%20Case_%20ILC%20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"/>
      <sheetName val="Scenario Test"/>
      <sheetName val="Data"/>
      <sheetName val="Common"/>
      <sheetName val="Test Case_ILC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3">
          <cell r="H13" t="str">
            <v>Pass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E15" sqref="E15"/>
    </sheetView>
  </sheetViews>
  <sheetFormatPr defaultColWidth="12.59765625" defaultRowHeight="15" customHeight="1" x14ac:dyDescent="0.25"/>
  <cols>
    <col min="1" max="1" width="11.69921875" customWidth="1"/>
    <col min="2" max="2" width="11.09765625" customWidth="1"/>
    <col min="3" max="3" width="13.5" customWidth="1"/>
    <col min="4" max="4" width="9.59765625" customWidth="1"/>
    <col min="5" max="5" width="13.5" customWidth="1"/>
    <col min="6" max="6" width="60.8984375" customWidth="1"/>
    <col min="7" max="26" width="8.59765625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.4" customHeight="1" x14ac:dyDescent="0.4">
      <c r="A4" s="145" t="s">
        <v>254</v>
      </c>
      <c r="B4" s="146"/>
      <c r="C4" s="146"/>
      <c r="D4" s="146"/>
      <c r="E4" s="146"/>
      <c r="F4" s="14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"/>
      <c r="B5" s="3"/>
      <c r="C5" s="3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3"/>
      <c r="B6" s="3"/>
      <c r="C6" s="3"/>
      <c r="D6" s="5" t="s">
        <v>253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3" t="s">
        <v>0</v>
      </c>
      <c r="B7" s="3"/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6" t="s">
        <v>1</v>
      </c>
      <c r="B8" s="7" t="s">
        <v>2</v>
      </c>
      <c r="C8" s="7" t="s">
        <v>3</v>
      </c>
      <c r="D8" s="7" t="s">
        <v>4</v>
      </c>
      <c r="E8" s="7" t="s">
        <v>5</v>
      </c>
      <c r="F8" s="8" t="s">
        <v>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9">
        <v>1</v>
      </c>
      <c r="B9" s="10" t="s">
        <v>144</v>
      </c>
      <c r="C9" s="11">
        <v>45635</v>
      </c>
      <c r="D9" s="10" t="s">
        <v>127</v>
      </c>
      <c r="E9" s="11"/>
      <c r="F9" s="12" t="s">
        <v>252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8" x14ac:dyDescent="0.25">
      <c r="A10" s="9"/>
      <c r="B10" s="10"/>
      <c r="C10" s="11"/>
      <c r="D10" s="10"/>
      <c r="E10" s="11"/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8" x14ac:dyDescent="0.25">
      <c r="A11" s="9"/>
      <c r="B11" s="10"/>
      <c r="C11" s="11"/>
      <c r="D11" s="10"/>
      <c r="E11" s="11"/>
      <c r="F11" s="1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5"/>
      <c r="B12" s="16"/>
      <c r="C12" s="10"/>
      <c r="D12" s="16"/>
      <c r="E12" s="10"/>
      <c r="F12" s="1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5"/>
      <c r="B13" s="16"/>
      <c r="C13" s="10"/>
      <c r="D13" s="16"/>
      <c r="E13" s="10"/>
      <c r="F13" s="1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7"/>
      <c r="B14" s="18"/>
      <c r="C14" s="19"/>
      <c r="D14" s="18"/>
      <c r="E14" s="19"/>
      <c r="F14" s="2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1"/>
      <c r="C17" s="1"/>
      <c r="D17" s="1"/>
      <c r="E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4:F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G28" sqref="G28"/>
    </sheetView>
  </sheetViews>
  <sheetFormatPr defaultColWidth="12.59765625" defaultRowHeight="15" customHeight="1" x14ac:dyDescent="0.25"/>
  <cols>
    <col min="1" max="1" width="9" customWidth="1"/>
    <col min="2" max="2" width="20.3984375" customWidth="1"/>
    <col min="3" max="3" width="9.09765625" customWidth="1"/>
    <col min="4" max="6" width="9" customWidth="1"/>
    <col min="7" max="26" width="8.59765625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47" t="s">
        <v>247</v>
      </c>
      <c r="C2" s="14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21" t="s">
        <v>248</v>
      </c>
      <c r="C3" s="2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21" t="s">
        <v>249</v>
      </c>
      <c r="C4" s="2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21" t="s">
        <v>29</v>
      </c>
      <c r="C5" s="23">
        <f>'Scenario Test'!J29</f>
        <v>172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24"/>
      <c r="C6" s="24"/>
      <c r="D6" s="24"/>
      <c r="E6" s="1"/>
      <c r="F6" s="2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47" t="s">
        <v>250</v>
      </c>
      <c r="C7" s="149"/>
      <c r="D7" s="149"/>
      <c r="E7" s="149"/>
      <c r="F7" s="14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25" t="s">
        <v>7</v>
      </c>
      <c r="C8" s="26"/>
      <c r="D8" s="26"/>
      <c r="E8" s="26"/>
      <c r="F8" s="2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7" t="s">
        <v>8</v>
      </c>
      <c r="C9" s="27">
        <f>COUNTIFS(TestCase!$G:$G,$B$9,TestCase!$J:$J,C8)</f>
        <v>0</v>
      </c>
      <c r="D9" s="27">
        <f>COUNTIFS(TestCase!$G:$G,$B$9,TestCase!$J:$J,D8)</f>
        <v>0</v>
      </c>
      <c r="E9" s="27">
        <f>COUNTIFS(TestCase!$G:$G,$B$9,TestCase!$J:$J,E8)</f>
        <v>0</v>
      </c>
      <c r="F9" s="27">
        <f>COUNTIFS(TestCase!$G:$G,$B$9,TestCase!$J:$J,F8)</f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27" t="s">
        <v>9</v>
      </c>
      <c r="C10" s="27">
        <f>COUNTIFS(TestCase!$G:$G,$B$10,TestCase!$J:$J,C8)</f>
        <v>0</v>
      </c>
      <c r="D10" s="27">
        <f>COUNTIFS(TestCase!$G:$G,$B$10,TestCase!$J:$J,D8)</f>
        <v>0</v>
      </c>
      <c r="E10" s="27">
        <f>COUNTIFS(TestCase!$G:$G,$B$10,TestCase!$J:$J,E8)</f>
        <v>0</v>
      </c>
      <c r="F10" s="27">
        <f>COUNTIFS(TestCase!$G:$G,$B$10,TestCase!$J:$J,F8)</f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27" t="s">
        <v>10</v>
      </c>
      <c r="C11" s="27">
        <f>COUNTIFS(TestCase!$G:$G,$B$11,TestCase!$J:$J,C8)</f>
        <v>0</v>
      </c>
      <c r="D11" s="27">
        <f>COUNTIFS(TestCase!$G:$G,$B$11,TestCase!$J:$J,D8)</f>
        <v>0</v>
      </c>
      <c r="E11" s="27">
        <f>COUNTIFS(TestCase!$G:$G,$B$11,TestCase!$J:$J,E8)</f>
        <v>0</v>
      </c>
      <c r="F11" s="27">
        <f>COUNTIFS(TestCase!$G:$G,$B$11,TestCase!$J:$J,F8)</f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27" t="s">
        <v>11</v>
      </c>
      <c r="C12" s="27">
        <f>COUNTIFS(TestCase!$G:$G,$B$12,TestCase!$K:$K,C8)</f>
        <v>0</v>
      </c>
      <c r="D12" s="27">
        <f>COUNTIFS(TestCase!$G:$G,$B$12,TestCase!$K:$K,D8)</f>
        <v>0</v>
      </c>
      <c r="E12" s="27">
        <f>COUNTIFS(TestCase!$G:$G,$B$12,TestCase!$K:$K,E8)</f>
        <v>0</v>
      </c>
      <c r="F12" s="27">
        <f>COUNTIFS(TestCase!$G:$G,$B$12,TestCase!$K:$K,F8)</f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27" t="s">
        <v>12</v>
      </c>
      <c r="C13" s="27">
        <f>COUNTIFS(TestCase!$G:$G,$B$13,TestCase!$K:$K,C8)</f>
        <v>0</v>
      </c>
      <c r="D13" s="27">
        <f>COUNTIFS(TestCase!$G:$G,$B$13,TestCase!$K:$K,D8)</f>
        <v>0</v>
      </c>
      <c r="E13" s="27">
        <f>COUNTIFS(TestCase!$G:$G,$B$13,TestCase!$K:$K,E8)</f>
        <v>0</v>
      </c>
      <c r="F13" s="27">
        <f>COUNTIFS(TestCase!$G:$G,$B$13,TestCase!$K:$K,F8)</f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28" t="s">
        <v>13</v>
      </c>
      <c r="C14" s="29">
        <f>SUM(C9:C13)</f>
        <v>0</v>
      </c>
      <c r="D14" s="29">
        <f>SUM(D9:D13)</f>
        <v>0</v>
      </c>
      <c r="E14" s="29">
        <f>SUM(E9:E13)</f>
        <v>0</v>
      </c>
      <c r="F14" s="29">
        <f>SUM(F9:F13)</f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30" t="s">
        <v>14</v>
      </c>
      <c r="C15" s="30">
        <f>$C$5-C14</f>
        <v>172</v>
      </c>
      <c r="D15" s="30">
        <f>C15-D14</f>
        <v>172</v>
      </c>
      <c r="E15" s="30">
        <f>D15-E14</f>
        <v>172</v>
      </c>
      <c r="F15" s="30">
        <f>E15-F14</f>
        <v>172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147" t="s">
        <v>251</v>
      </c>
      <c r="C17" s="149"/>
      <c r="D17" s="149"/>
      <c r="E17" s="149"/>
      <c r="F17" s="14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25" t="s">
        <v>7</v>
      </c>
      <c r="C18" s="26"/>
      <c r="D18" s="26"/>
      <c r="E18" s="26"/>
      <c r="F18" s="2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27" t="s">
        <v>8</v>
      </c>
      <c r="C19" s="27">
        <f>COUNTIFS(TestCase!$G:$G,$B$19,TestCase!$K:$K,C18)</f>
        <v>0</v>
      </c>
      <c r="D19" s="27">
        <f>COUNTIFS(TestCase!$G:$G,$B$19,TestCase!$K:$K,D18)</f>
        <v>0</v>
      </c>
      <c r="E19" s="27">
        <f>COUNTIFS(TestCase!$G:$G,$B$19,TestCase!$K:$K,E18)</f>
        <v>0</v>
      </c>
      <c r="F19" s="27">
        <f>COUNTIFS(TestCase!$G:$G,$B$19,TestCase!$K:$K,F18)</f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7" t="s">
        <v>9</v>
      </c>
      <c r="C20" s="27">
        <f>COUNTIFS(TestCase!$G:$G,$B$20,TestCase!$K:$K,C18)</f>
        <v>0</v>
      </c>
      <c r="D20" s="27">
        <f>COUNTIFS(TestCase!$G:$G,$B$20,TestCase!$K:$K,D18)</f>
        <v>0</v>
      </c>
      <c r="E20" s="27">
        <f>COUNTIFS(TestCase!$G:$G,$B$20,TestCase!$K:$K,E18)</f>
        <v>0</v>
      </c>
      <c r="F20" s="27">
        <f>COUNTIFS(TestCase!$G:$G,$B$20,TestCase!$K:$K,F18)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7" t="s">
        <v>10</v>
      </c>
      <c r="C21" s="27">
        <f>COUNTIFS(TestCase!$G:$G,$B$21,TestCase!$K:$K,C18)</f>
        <v>0</v>
      </c>
      <c r="D21" s="27">
        <f>COUNTIFS(TestCase!$G:$G,$B$21,TestCase!$K:$K,D18)</f>
        <v>0</v>
      </c>
      <c r="E21" s="27">
        <f>COUNTIFS(TestCase!$G:$G,$B$21,TestCase!$K:$K,E18)</f>
        <v>0</v>
      </c>
      <c r="F21" s="27">
        <f>COUNTIFS(TestCase!$G:$G,$B$21,TestCase!$K:$K,F18)</f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7" t="s">
        <v>11</v>
      </c>
      <c r="C22" s="27">
        <f>COUNTIFS(TestCase!$G:$G,$B$22,TestCase!$K:$K,C18)</f>
        <v>0</v>
      </c>
      <c r="D22" s="27">
        <f>COUNTIFS(TestCase!$G:$G,$B$22,TestCase!$K:$K,D18)</f>
        <v>0</v>
      </c>
      <c r="E22" s="27">
        <f>COUNTIFS(TestCase!$G:$G,$B$22,TestCase!$K:$K,E18)</f>
        <v>0</v>
      </c>
      <c r="F22" s="27">
        <f>COUNTIFS(TestCase!$G:$G,$B$22,TestCase!$K:$K,F18)</f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7" t="s">
        <v>12</v>
      </c>
      <c r="C23" s="27">
        <f>COUNTIFS(TestCase!$G:$G,$B$23,TestCase!$K:$K,C18)</f>
        <v>0</v>
      </c>
      <c r="D23" s="27">
        <f>COUNTIFS(TestCase!$G:$G,$B$23,TestCase!$K:$K,D18)</f>
        <v>0</v>
      </c>
      <c r="E23" s="27">
        <f>COUNTIFS(TestCase!$G:$G,$B$23,TestCase!$K:$K,E18)</f>
        <v>0</v>
      </c>
      <c r="F23" s="27">
        <f>COUNTIFS(TestCase!$G:$G,$B$23,TestCase!$K:$K,F18)</f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8" t="s">
        <v>13</v>
      </c>
      <c r="C24" s="29">
        <f>SUM(C19:C23)</f>
        <v>0</v>
      </c>
      <c r="D24" s="29">
        <f>SUM(D19:D23)</f>
        <v>0</v>
      </c>
      <c r="E24" s="29">
        <f>SUM(E19:E23)</f>
        <v>0</v>
      </c>
      <c r="F24" s="29">
        <f>SUM(F19:F23)</f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30" t="s">
        <v>14</v>
      </c>
      <c r="C25" s="30">
        <f>$C$5-C24</f>
        <v>172</v>
      </c>
      <c r="D25" s="30">
        <f>C25-D24</f>
        <v>172</v>
      </c>
      <c r="E25" s="30">
        <f>D25-E24</f>
        <v>172</v>
      </c>
      <c r="F25" s="30">
        <f>E25-F24</f>
        <v>172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50" t="s">
        <v>15</v>
      </c>
      <c r="C27" s="14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31" t="s">
        <v>16</v>
      </c>
      <c r="C28" s="32">
        <f>'Scenario Test'!K29</f>
        <v>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31" t="s">
        <v>17</v>
      </c>
      <c r="C29" s="32">
        <f>'Scenario Test'!L29</f>
        <v>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33" t="s">
        <v>18</v>
      </c>
      <c r="C30" s="34">
        <f>'Scenario Test'!N29</f>
        <v>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33" t="s">
        <v>19</v>
      </c>
      <c r="C31" s="34">
        <f>'Scenario Test'!O29</f>
        <v>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35" t="s">
        <v>20</v>
      </c>
      <c r="C32" s="36">
        <f>'Scenario Test'!P29</f>
        <v>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37" t="s">
        <v>21</v>
      </c>
      <c r="C33" s="38">
        <f>'Scenario Test'!M29</f>
        <v>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50" t="s">
        <v>22</v>
      </c>
      <c r="C35" s="14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31" t="s">
        <v>8</v>
      </c>
      <c r="C36" s="31">
        <f>'Scenario Test'!C29</f>
        <v>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31" t="s">
        <v>9</v>
      </c>
      <c r="C37" s="31">
        <f>'Scenario Test'!D29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33" t="s">
        <v>10</v>
      </c>
      <c r="C38" s="33">
        <f>'Scenario Test'!F29</f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33" t="s">
        <v>11</v>
      </c>
      <c r="C39" s="33">
        <f>'Scenario Test'!G29</f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35" t="s">
        <v>12</v>
      </c>
      <c r="C40" s="35">
        <f>'Scenario Test'!H29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37" t="s">
        <v>23</v>
      </c>
      <c r="C41" s="37">
        <f>'Scenario Test'!E29</f>
        <v>172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C2"/>
    <mergeCell ref="B7:F7"/>
    <mergeCell ref="B17:F17"/>
    <mergeCell ref="B27:C27"/>
    <mergeCell ref="B35:C3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showGridLines="0" workbookViewId="0">
      <selection activeCell="Q11" sqref="Q11"/>
    </sheetView>
  </sheetViews>
  <sheetFormatPr defaultColWidth="12.59765625" defaultRowHeight="15" customHeight="1" x14ac:dyDescent="0.25"/>
  <cols>
    <col min="1" max="1" width="14.3984375" customWidth="1"/>
    <col min="2" max="2" width="49.69921875" customWidth="1"/>
    <col min="3" max="3" width="4.5" customWidth="1"/>
    <col min="4" max="6" width="5.59765625" customWidth="1"/>
    <col min="7" max="7" width="7.5" customWidth="1"/>
    <col min="8" max="8" width="9.5" customWidth="1"/>
    <col min="9" max="9" width="5.59765625" customWidth="1"/>
    <col min="10" max="10" width="9" customWidth="1"/>
    <col min="11" max="12" width="7" customWidth="1"/>
    <col min="13" max="13" width="7.8984375" customWidth="1"/>
    <col min="14" max="14" width="7" customWidth="1"/>
    <col min="15" max="15" width="9.3984375" customWidth="1"/>
    <col min="16" max="16" width="10" customWidth="1"/>
    <col min="17" max="17" width="13.09765625" style="62" bestFit="1" customWidth="1"/>
    <col min="18" max="18" width="7.5" customWidth="1"/>
    <col min="19" max="19" width="8.19921875" customWidth="1"/>
    <col min="20" max="20" width="20.3984375" customWidth="1"/>
    <col min="21" max="26" width="13.5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51" t="s">
        <v>24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40" t="s">
        <v>25</v>
      </c>
      <c r="B4" s="40" t="s">
        <v>26</v>
      </c>
      <c r="C4" s="41" t="s">
        <v>8</v>
      </c>
      <c r="D4" s="41" t="s">
        <v>9</v>
      </c>
      <c r="E4" s="41" t="s">
        <v>27</v>
      </c>
      <c r="F4" s="41" t="s">
        <v>10</v>
      </c>
      <c r="G4" s="41" t="s">
        <v>11</v>
      </c>
      <c r="H4" s="41" t="s">
        <v>12</v>
      </c>
      <c r="I4" s="41" t="s">
        <v>28</v>
      </c>
      <c r="J4" s="41" t="s">
        <v>29</v>
      </c>
      <c r="K4" s="41" t="s">
        <v>16</v>
      </c>
      <c r="L4" s="41" t="s">
        <v>17</v>
      </c>
      <c r="M4" s="41" t="s">
        <v>30</v>
      </c>
      <c r="N4" s="41" t="s">
        <v>31</v>
      </c>
      <c r="O4" s="41" t="s">
        <v>19</v>
      </c>
      <c r="P4" s="41" t="s">
        <v>20</v>
      </c>
      <c r="Q4" s="42" t="s">
        <v>32</v>
      </c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53" t="s">
        <v>33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57" t="s">
        <v>58</v>
      </c>
      <c r="B6" s="44" t="s">
        <v>132</v>
      </c>
      <c r="C6" s="45">
        <f>COUNTIFS(TestCase!$A:$A,A6,TestCase!$G:$G,$C$4)</f>
        <v>0</v>
      </c>
      <c r="D6" s="45">
        <f>COUNTIFS(TestCase!$A:$A,A6,TestCase!$G:$G,$D$4)</f>
        <v>0</v>
      </c>
      <c r="E6" s="45">
        <f>COUNTIFS(TestCase!$A:$A,A6,TestCase!$G:$G,$E$4)</f>
        <v>0</v>
      </c>
      <c r="F6" s="45">
        <f>COUNTIFS(TestCase!$A:$A,A6,TestCase!$G:$G,$F$4)</f>
        <v>0</v>
      </c>
      <c r="G6" s="45">
        <f>COUNTIFS(TestCase!$A:$A,A6,TestCase!$G:$G,$G$4)</f>
        <v>0</v>
      </c>
      <c r="H6" s="45">
        <f>COUNTIFS(TestCase!$A:$A,A6,TestCase!$G:$G,$H$4)</f>
        <v>0</v>
      </c>
      <c r="I6" s="45">
        <f>COUNTIFS(TestCase!$A:$A,A6,TestCase!$G:$G,$I$4)</f>
        <v>0</v>
      </c>
      <c r="J6" s="45">
        <f t="shared" ref="J6:J25" si="0">SUM(C6:H6)</f>
        <v>0</v>
      </c>
      <c r="K6" s="46">
        <f t="shared" ref="K6:K25" si="1">IFERROR(ROUND(C6/J6,4),0)</f>
        <v>0</v>
      </c>
      <c r="L6" s="46">
        <f t="shared" ref="L6:L25" si="2">IFERROR(ROUND(D6/J6,4),0)</f>
        <v>0</v>
      </c>
      <c r="M6" s="46">
        <f t="shared" ref="M6:M25" si="3">IFERROR(ROUND(E6/J6,4),0)</f>
        <v>0</v>
      </c>
      <c r="N6" s="46">
        <f t="shared" ref="N6:N25" si="4">IFERROR(ROUND(F6/J6,4),0)</f>
        <v>0</v>
      </c>
      <c r="O6" s="46">
        <f t="shared" ref="O6:O25" si="5">IFERROR(ROUND(G6/J6,4),0)</f>
        <v>0</v>
      </c>
      <c r="P6" s="46">
        <f t="shared" ref="P6:P25" si="6">IFERROR(ROUND(H6/$J$6,4),0)</f>
        <v>0</v>
      </c>
      <c r="Q6" s="46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57" t="s">
        <v>59</v>
      </c>
      <c r="B7" s="47" t="s">
        <v>131</v>
      </c>
      <c r="C7" s="45">
        <f>COUNTIFS(TestCase!$A:$A,A7,TestCase!$G:$G,$C$4)</f>
        <v>0</v>
      </c>
      <c r="D7" s="45">
        <f>COUNTIFS(TestCase!$A:$A,A7,TestCase!$G:$G,$D$4)</f>
        <v>0</v>
      </c>
      <c r="E7" s="45">
        <f>COUNTIFS(TestCase!$A:$A,A7,TestCase!$G:$G,$E$4)</f>
        <v>0</v>
      </c>
      <c r="F7" s="45">
        <f>COUNTIFS(TestCase!$A:$A,A7,TestCase!$G:$G,$F$4)</f>
        <v>0</v>
      </c>
      <c r="G7" s="45">
        <f>COUNTIFS(TestCase!$A:$A,A7,TestCase!$G:$G,$G$4)</f>
        <v>0</v>
      </c>
      <c r="H7" s="45">
        <f>COUNTIFS(TestCase!$A:$A,A7,TestCase!$G:$G,$H$4)</f>
        <v>0</v>
      </c>
      <c r="I7" s="45">
        <f>COUNTIFS(TestCase!$A:$A,A7,TestCase!$G:$G,$I$4)</f>
        <v>0</v>
      </c>
      <c r="J7" s="45">
        <f t="shared" si="0"/>
        <v>0</v>
      </c>
      <c r="K7" s="46">
        <f t="shared" si="1"/>
        <v>0</v>
      </c>
      <c r="L7" s="46">
        <f t="shared" si="2"/>
        <v>0</v>
      </c>
      <c r="M7" s="46">
        <f t="shared" si="3"/>
        <v>0</v>
      </c>
      <c r="N7" s="46">
        <f t="shared" si="4"/>
        <v>0</v>
      </c>
      <c r="O7" s="46">
        <f t="shared" si="5"/>
        <v>0</v>
      </c>
      <c r="P7" s="46">
        <f t="shared" si="6"/>
        <v>0</v>
      </c>
      <c r="Q7" s="46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57" t="s">
        <v>60</v>
      </c>
      <c r="B8" s="47" t="s">
        <v>130</v>
      </c>
      <c r="C8" s="45">
        <f>COUNTIFS(TestCase!$A:$A,A8,TestCase!$G:$G,$C$4)</f>
        <v>0</v>
      </c>
      <c r="D8" s="45">
        <f>COUNTIFS(TestCase!$A:$A,A8,TestCase!$G:$G,$D$4)</f>
        <v>0</v>
      </c>
      <c r="E8" s="45">
        <f>COUNTIFS(TestCase!$A:$A,A8,TestCase!$G:$G,$E$4)</f>
        <v>0</v>
      </c>
      <c r="F8" s="45">
        <f>COUNTIFS(TestCase!$A:$A,A8,TestCase!$G:$G,$F$4)</f>
        <v>0</v>
      </c>
      <c r="G8" s="45">
        <f>COUNTIFS(TestCase!$A:$A,A8,TestCase!$G:$G,$G$4)</f>
        <v>0</v>
      </c>
      <c r="H8" s="45">
        <f>COUNTIFS(TestCase!$A:$A,A8,TestCase!$G:$G,$H$4)</f>
        <v>0</v>
      </c>
      <c r="I8" s="45">
        <f>COUNTIFS(TestCase!$A:$A,A8,TestCase!$G:$G,$I$4)</f>
        <v>0</v>
      </c>
      <c r="J8" s="45">
        <f t="shared" si="0"/>
        <v>0</v>
      </c>
      <c r="K8" s="46">
        <f t="shared" si="1"/>
        <v>0</v>
      </c>
      <c r="L8" s="46">
        <f t="shared" si="2"/>
        <v>0</v>
      </c>
      <c r="M8" s="46">
        <f t="shared" si="3"/>
        <v>0</v>
      </c>
      <c r="N8" s="46">
        <f t="shared" si="4"/>
        <v>0</v>
      </c>
      <c r="O8" s="46">
        <f t="shared" si="5"/>
        <v>0</v>
      </c>
      <c r="P8" s="46">
        <f t="shared" si="6"/>
        <v>0</v>
      </c>
      <c r="Q8" s="46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57" t="s">
        <v>61</v>
      </c>
      <c r="B9" s="47" t="s">
        <v>129</v>
      </c>
      <c r="C9" s="45">
        <f>COUNTIFS(TestCase!$A:$A,A9,TestCase!$G:$G,$C$4)</f>
        <v>0</v>
      </c>
      <c r="D9" s="45">
        <f>COUNTIFS(TestCase!$A:$A,A9,TestCase!$G:$G,$D$4)</f>
        <v>0</v>
      </c>
      <c r="E9" s="45">
        <f>COUNTIFS(TestCase!$A:$A,A9,TestCase!$G:$G,$E$4)</f>
        <v>0</v>
      </c>
      <c r="F9" s="45">
        <f>COUNTIFS(TestCase!$A:$A,A9,TestCase!$G:$G,$F$4)</f>
        <v>0</v>
      </c>
      <c r="G9" s="45">
        <f>COUNTIFS(TestCase!$A:$A,A9,TestCase!$G:$G,$G$4)</f>
        <v>0</v>
      </c>
      <c r="H9" s="45">
        <f>COUNTIFS(TestCase!$A:$A,A9,TestCase!$G:$G,$H$4)</f>
        <v>0</v>
      </c>
      <c r="I9" s="45">
        <f>COUNTIFS(TestCase!$A:$A,A9,TestCase!$G:$G,$I$4)</f>
        <v>0</v>
      </c>
      <c r="J9" s="45">
        <f t="shared" si="0"/>
        <v>0</v>
      </c>
      <c r="K9" s="46">
        <f t="shared" si="1"/>
        <v>0</v>
      </c>
      <c r="L9" s="46">
        <f t="shared" si="2"/>
        <v>0</v>
      </c>
      <c r="M9" s="46">
        <f t="shared" si="3"/>
        <v>0</v>
      </c>
      <c r="N9" s="46">
        <f t="shared" si="4"/>
        <v>0</v>
      </c>
      <c r="O9" s="46">
        <f t="shared" si="5"/>
        <v>0</v>
      </c>
      <c r="P9" s="46">
        <f t="shared" si="6"/>
        <v>0</v>
      </c>
      <c r="Q9" s="46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57" t="s">
        <v>62</v>
      </c>
      <c r="B10" s="47" t="s">
        <v>128</v>
      </c>
      <c r="C10" s="45">
        <f>COUNTIFS(TestCase!$A:$A,A10,TestCase!$G:$G,$C$4)</f>
        <v>0</v>
      </c>
      <c r="D10" s="45">
        <f>COUNTIFS(TestCase!$A:$A,A10,TestCase!$G:$G,$D$4)</f>
        <v>0</v>
      </c>
      <c r="E10" s="45">
        <f>COUNTIFS(TestCase!$A:$A,A10,TestCase!$G:$G,$E$4)</f>
        <v>0</v>
      </c>
      <c r="F10" s="45">
        <f>COUNTIFS(TestCase!$A:$A,A10,TestCase!$G:$G,$F$4)</f>
        <v>0</v>
      </c>
      <c r="G10" s="45">
        <f>COUNTIFS(TestCase!$A:$A,A10,TestCase!$G:$G,$G$4)</f>
        <v>0</v>
      </c>
      <c r="H10" s="45">
        <f>COUNTIFS(TestCase!$A:$A,A10,TestCase!$G:$G,$H$4)</f>
        <v>0</v>
      </c>
      <c r="I10" s="45">
        <f>COUNTIFS(TestCase!$A:$A,A10,TestCase!$G:$G,$I$4)</f>
        <v>0</v>
      </c>
      <c r="J10" s="45">
        <f t="shared" si="0"/>
        <v>0</v>
      </c>
      <c r="K10" s="46">
        <f t="shared" si="1"/>
        <v>0</v>
      </c>
      <c r="L10" s="46">
        <f t="shared" si="2"/>
        <v>0</v>
      </c>
      <c r="M10" s="46">
        <f t="shared" si="3"/>
        <v>0</v>
      </c>
      <c r="N10" s="46">
        <f t="shared" si="4"/>
        <v>0</v>
      </c>
      <c r="O10" s="46">
        <f t="shared" si="5"/>
        <v>0</v>
      </c>
      <c r="P10" s="46">
        <f t="shared" si="6"/>
        <v>0</v>
      </c>
      <c r="Q10" s="46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57" t="s">
        <v>63</v>
      </c>
      <c r="B11" s="47" t="s">
        <v>133</v>
      </c>
      <c r="C11" s="45">
        <f>COUNTIFS(TestCase!$A:$A,A11,TestCase!$G:$G,$C$4)</f>
        <v>0</v>
      </c>
      <c r="D11" s="45">
        <f>COUNTIFS(TestCase!$A:$A,A11,TestCase!$G:$G,$D$4)</f>
        <v>0</v>
      </c>
      <c r="E11" s="45">
        <f>COUNTIFS(TestCase!$A:$A,A11,TestCase!$G:$G,$E$4)</f>
        <v>0</v>
      </c>
      <c r="F11" s="45">
        <f>COUNTIFS(TestCase!$A:$A,A11,TestCase!$G:$G,$F$4)</f>
        <v>0</v>
      </c>
      <c r="G11" s="45">
        <f>COUNTIFS(TestCase!$A:$A,A11,TestCase!$G:$G,$G$4)</f>
        <v>0</v>
      </c>
      <c r="H11" s="45">
        <f>COUNTIFS(TestCase!$A:$A,A11,TestCase!$G:$G,$H$4)</f>
        <v>0</v>
      </c>
      <c r="I11" s="45">
        <f>COUNTIFS(TestCase!$A:$A,A11,TestCase!$G:$G,$I$4)</f>
        <v>0</v>
      </c>
      <c r="J11" s="45">
        <f t="shared" si="0"/>
        <v>0</v>
      </c>
      <c r="K11" s="46">
        <f t="shared" si="1"/>
        <v>0</v>
      </c>
      <c r="L11" s="46">
        <f t="shared" si="2"/>
        <v>0</v>
      </c>
      <c r="M11" s="46">
        <f t="shared" si="3"/>
        <v>0</v>
      </c>
      <c r="N11" s="46">
        <f t="shared" si="4"/>
        <v>0</v>
      </c>
      <c r="O11" s="46">
        <f t="shared" si="5"/>
        <v>0</v>
      </c>
      <c r="P11" s="46">
        <f t="shared" si="6"/>
        <v>0</v>
      </c>
      <c r="Q11" s="46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57" t="s">
        <v>64</v>
      </c>
      <c r="B12" s="47" t="s">
        <v>134</v>
      </c>
      <c r="C12" s="45">
        <f>COUNTIFS(TestCase!$A:$A,A12,TestCase!$G:$G,$C$4)</f>
        <v>0</v>
      </c>
      <c r="D12" s="45">
        <f>COUNTIFS(TestCase!$A:$A,A12,TestCase!$G:$G,$D$4)</f>
        <v>0</v>
      </c>
      <c r="E12" s="45">
        <f>COUNTIFS(TestCase!$A:$A,A12,TestCase!$G:$G,$E$4)</f>
        <v>38</v>
      </c>
      <c r="F12" s="45">
        <f>COUNTIFS(TestCase!$A:$A,A12,TestCase!$G:$G,$F$4)</f>
        <v>0</v>
      </c>
      <c r="G12" s="45">
        <f>COUNTIFS(TestCase!$A:$A,A12,TestCase!$G:$G,$G$4)</f>
        <v>0</v>
      </c>
      <c r="H12" s="45">
        <f>COUNTIFS(TestCase!$A:$A,A12,TestCase!$G:$G,$H$4)</f>
        <v>0</v>
      </c>
      <c r="I12" s="45">
        <f>COUNTIFS(TestCase!$A:$A,A12,TestCase!$G:$G,$I$4)</f>
        <v>0</v>
      </c>
      <c r="J12" s="45">
        <f t="shared" si="0"/>
        <v>38</v>
      </c>
      <c r="K12" s="46">
        <f t="shared" si="1"/>
        <v>0</v>
      </c>
      <c r="L12" s="46">
        <f t="shared" si="2"/>
        <v>0</v>
      </c>
      <c r="M12" s="46">
        <f t="shared" si="3"/>
        <v>1</v>
      </c>
      <c r="N12" s="46">
        <f t="shared" si="4"/>
        <v>0</v>
      </c>
      <c r="O12" s="46">
        <f t="shared" si="5"/>
        <v>0</v>
      </c>
      <c r="P12" s="46">
        <f t="shared" si="6"/>
        <v>0</v>
      </c>
      <c r="Q12" s="46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57" t="s">
        <v>65</v>
      </c>
      <c r="B13" s="47" t="s">
        <v>135</v>
      </c>
      <c r="C13" s="45">
        <f>COUNTIFS(TestCase!$A:$A,A13,TestCase!$G:$G,$C$4)</f>
        <v>0</v>
      </c>
      <c r="D13" s="45">
        <f>COUNTIFS(TestCase!$A:$A,A13,TestCase!$G:$G,$D$4)</f>
        <v>0</v>
      </c>
      <c r="E13" s="45">
        <f>COUNTIFS(TestCase!$A:$A,A13,TestCase!$G:$G,$E$4)</f>
        <v>30</v>
      </c>
      <c r="F13" s="45">
        <f>COUNTIFS(TestCase!$A:$A,A13,TestCase!$G:$G,$F$4)</f>
        <v>0</v>
      </c>
      <c r="G13" s="45">
        <f>COUNTIFS(TestCase!$A:$A,A13,TestCase!$G:$G,$G$4)</f>
        <v>0</v>
      </c>
      <c r="H13" s="45">
        <f>COUNTIFS(TestCase!$A:$A,A13,TestCase!$G:$G,$H$4)</f>
        <v>0</v>
      </c>
      <c r="I13" s="45">
        <f>COUNTIFS(TestCase!$A:$A,A13,TestCase!$G:$G,$I$4)</f>
        <v>0</v>
      </c>
      <c r="J13" s="45">
        <f t="shared" si="0"/>
        <v>30</v>
      </c>
      <c r="K13" s="46">
        <f t="shared" si="1"/>
        <v>0</v>
      </c>
      <c r="L13" s="46">
        <f t="shared" si="2"/>
        <v>0</v>
      </c>
      <c r="M13" s="46">
        <f t="shared" si="3"/>
        <v>1</v>
      </c>
      <c r="N13" s="46">
        <f t="shared" si="4"/>
        <v>0</v>
      </c>
      <c r="O13" s="46">
        <f t="shared" si="5"/>
        <v>0</v>
      </c>
      <c r="P13" s="46">
        <f t="shared" si="6"/>
        <v>0</v>
      </c>
      <c r="Q13" s="46"/>
      <c r="R13" s="1"/>
      <c r="S13" s="1"/>
      <c r="T13" s="1"/>
      <c r="U13" s="1"/>
      <c r="V13" s="1"/>
      <c r="W13" s="1"/>
      <c r="X13" s="1"/>
      <c r="Y13" s="1"/>
      <c r="Z13" s="1"/>
    </row>
    <row r="14" spans="1:26" s="91" customFormat="1" ht="12.75" customHeight="1" x14ac:dyDescent="0.25">
      <c r="A14" s="57" t="s">
        <v>198</v>
      </c>
      <c r="B14" s="47" t="s">
        <v>199</v>
      </c>
      <c r="C14" s="45">
        <f>COUNTIFS(TestCase!$A:$A,A14,TestCase!$G:$G,$C$4)</f>
        <v>0</v>
      </c>
      <c r="D14" s="45">
        <f>COUNTIFS(TestCase!$A:$A,A14,TestCase!$G:$G,$D$4)</f>
        <v>0</v>
      </c>
      <c r="E14" s="45">
        <f>COUNTIFS(TestCase!$A:$A,A14,TestCase!$G:$G,$E$4)</f>
        <v>29</v>
      </c>
      <c r="F14" s="45">
        <f>COUNTIFS(TestCase!$A:$A,A14,TestCase!$G:$G,$F$4)</f>
        <v>0</v>
      </c>
      <c r="G14" s="45">
        <f>COUNTIFS(TestCase!$A:$A,A14,TestCase!$G:$G,$G$4)</f>
        <v>0</v>
      </c>
      <c r="H14" s="45">
        <f>COUNTIFS(TestCase!$A:$A,A14,TestCase!$G:$G,$H$4)</f>
        <v>0</v>
      </c>
      <c r="I14" s="45">
        <f>COUNTIFS(TestCase!$A:$A,A14,TestCase!$G:$G,$I$4)</f>
        <v>0</v>
      </c>
      <c r="J14" s="45">
        <f>SUM(C14:H14)</f>
        <v>29</v>
      </c>
      <c r="K14" s="46">
        <f>IFERROR(ROUND(C14/J14,4),0)</f>
        <v>0</v>
      </c>
      <c r="L14" s="46">
        <f>IFERROR(ROUND(D14/J14,4),0)</f>
        <v>0</v>
      </c>
      <c r="M14" s="46">
        <f>IFERROR(ROUND(E14/J14,4),0)</f>
        <v>1</v>
      </c>
      <c r="N14" s="46">
        <f>IFERROR(ROUND(F14/J14,4),0)</f>
        <v>0</v>
      </c>
      <c r="O14" s="46">
        <f>IFERROR(ROUND(G14/J14,4),0)</f>
        <v>0</v>
      </c>
      <c r="P14" s="46">
        <f>IFERROR(ROUND(H14/$J$6,4),0)</f>
        <v>0</v>
      </c>
      <c r="Q14" s="46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57" t="s">
        <v>66</v>
      </c>
      <c r="B15" s="47" t="s">
        <v>136</v>
      </c>
      <c r="C15" s="45">
        <f>COUNTIFS(TestCase!$A:$A,A15,TestCase!$G:$G,$C$4)</f>
        <v>0</v>
      </c>
      <c r="D15" s="45">
        <f>COUNTIFS(TestCase!$A:$A,A15,TestCase!$G:$G,$D$4)</f>
        <v>0</v>
      </c>
      <c r="E15" s="45">
        <f>COUNTIFS(TestCase!$A:$A,A15,TestCase!$G:$G,$E$4)</f>
        <v>30</v>
      </c>
      <c r="F15" s="45">
        <f>COUNTIFS(TestCase!$A:$A,A15,TestCase!$G:$G,$F$4)</f>
        <v>0</v>
      </c>
      <c r="G15" s="45">
        <f>COUNTIFS(TestCase!$A:$A,A15,TestCase!$G:$G,$G$4)</f>
        <v>0</v>
      </c>
      <c r="H15" s="45">
        <f>COUNTIFS(TestCase!$A:$A,A15,TestCase!$G:$G,$H$4)</f>
        <v>0</v>
      </c>
      <c r="I15" s="45">
        <f>COUNTIFS(TestCase!$A:$A,A15,TestCase!$G:$G,$I$4)</f>
        <v>0</v>
      </c>
      <c r="J15" s="45">
        <f t="shared" si="0"/>
        <v>30</v>
      </c>
      <c r="K15" s="46">
        <f t="shared" si="1"/>
        <v>0</v>
      </c>
      <c r="L15" s="46">
        <f t="shared" si="2"/>
        <v>0</v>
      </c>
      <c r="M15" s="46">
        <f t="shared" si="3"/>
        <v>1</v>
      </c>
      <c r="N15" s="46">
        <f t="shared" si="4"/>
        <v>0</v>
      </c>
      <c r="O15" s="46">
        <f t="shared" si="5"/>
        <v>0</v>
      </c>
      <c r="P15" s="46">
        <f t="shared" si="6"/>
        <v>0</v>
      </c>
      <c r="Q15" s="46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57" t="s">
        <v>67</v>
      </c>
      <c r="B16" s="47" t="s">
        <v>137</v>
      </c>
      <c r="C16" s="45">
        <f>COUNTIFS(TestCase!$A:$A,A16,TestCase!$G:$G,$C$4)</f>
        <v>0</v>
      </c>
      <c r="D16" s="45">
        <f>COUNTIFS(TestCase!$A:$A,A16,TestCase!$G:$G,$D$4)</f>
        <v>0</v>
      </c>
      <c r="E16" s="45">
        <f>COUNTIFS(TestCase!$A:$A,A16,TestCase!$G:$G,$E$4)</f>
        <v>0</v>
      </c>
      <c r="F16" s="45">
        <f>COUNTIFS(TestCase!$A:$A,A16,TestCase!$G:$G,$F$4)</f>
        <v>0</v>
      </c>
      <c r="G16" s="45">
        <f>COUNTIFS(TestCase!$A:$A,A16,TestCase!$G:$G,$G$4)</f>
        <v>0</v>
      </c>
      <c r="H16" s="45">
        <f>COUNTIFS(TestCase!$A:$A,A16,TestCase!$G:$G,$H$4)</f>
        <v>0</v>
      </c>
      <c r="I16" s="45">
        <f>COUNTIFS(TestCase!$A:$A,A16,TestCase!$G:$G,$I$4)</f>
        <v>0</v>
      </c>
      <c r="J16" s="45">
        <f t="shared" si="0"/>
        <v>0</v>
      </c>
      <c r="K16" s="46">
        <f t="shared" si="1"/>
        <v>0</v>
      </c>
      <c r="L16" s="46">
        <f t="shared" si="2"/>
        <v>0</v>
      </c>
      <c r="M16" s="46">
        <f t="shared" si="3"/>
        <v>0</v>
      </c>
      <c r="N16" s="46">
        <f t="shared" si="4"/>
        <v>0</v>
      </c>
      <c r="O16" s="46">
        <f t="shared" si="5"/>
        <v>0</v>
      </c>
      <c r="P16" s="46">
        <f t="shared" si="6"/>
        <v>0</v>
      </c>
      <c r="Q16" s="46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57" t="s">
        <v>68</v>
      </c>
      <c r="B17" s="47" t="s">
        <v>138</v>
      </c>
      <c r="C17" s="45">
        <f>COUNTIFS(TestCase!$A:$A,A17,TestCase!$G:$G,$C$4)</f>
        <v>0</v>
      </c>
      <c r="D17" s="45">
        <f>COUNTIFS(TestCase!$A:$A,A17,TestCase!$G:$G,$D$4)</f>
        <v>0</v>
      </c>
      <c r="E17" s="45">
        <f>COUNTIFS(TestCase!$A:$A,A17,TestCase!$G:$G,$E$4)</f>
        <v>0</v>
      </c>
      <c r="F17" s="45">
        <f>COUNTIFS(TestCase!$A:$A,A17,TestCase!$G:$G,$F$4)</f>
        <v>0</v>
      </c>
      <c r="G17" s="45">
        <f>COUNTIFS(TestCase!$A:$A,A17,TestCase!$G:$G,$G$4)</f>
        <v>0</v>
      </c>
      <c r="H17" s="45">
        <f>COUNTIFS(TestCase!$A:$A,A17,TestCase!$G:$G,$H$4)</f>
        <v>0</v>
      </c>
      <c r="I17" s="45">
        <f>COUNTIFS(TestCase!$A:$A,A17,TestCase!$G:$G,$I$4)</f>
        <v>0</v>
      </c>
      <c r="J17" s="45">
        <f t="shared" si="0"/>
        <v>0</v>
      </c>
      <c r="K17" s="46">
        <f t="shared" si="1"/>
        <v>0</v>
      </c>
      <c r="L17" s="46">
        <f t="shared" si="2"/>
        <v>0</v>
      </c>
      <c r="M17" s="46">
        <f t="shared" si="3"/>
        <v>0</v>
      </c>
      <c r="N17" s="46">
        <f t="shared" si="4"/>
        <v>0</v>
      </c>
      <c r="O17" s="46">
        <f t="shared" si="5"/>
        <v>0</v>
      </c>
      <c r="P17" s="46">
        <f t="shared" si="6"/>
        <v>0</v>
      </c>
      <c r="Q17" s="46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57" t="s">
        <v>69</v>
      </c>
      <c r="B18" s="47" t="s">
        <v>139</v>
      </c>
      <c r="C18" s="45">
        <f>COUNTIFS(TestCase!$A:$A,A18,TestCase!$G:$G,$C$4)</f>
        <v>0</v>
      </c>
      <c r="D18" s="45">
        <f>COUNTIFS(TestCase!$A:$A,A18,TestCase!$G:$G,$D$4)</f>
        <v>0</v>
      </c>
      <c r="E18" s="45">
        <f>COUNTIFS(TestCase!$A:$A,A18,TestCase!$G:$G,$E$4)</f>
        <v>16</v>
      </c>
      <c r="F18" s="45">
        <f>COUNTIFS(TestCase!$A:$A,A18,TestCase!$G:$G,$F$4)</f>
        <v>0</v>
      </c>
      <c r="G18" s="45">
        <f>COUNTIFS(TestCase!$A:$A,A18,TestCase!$G:$G,$G$4)</f>
        <v>0</v>
      </c>
      <c r="H18" s="45">
        <f>COUNTIFS(TestCase!$A:$A,A18,TestCase!$G:$G,$H$4)</f>
        <v>0</v>
      </c>
      <c r="I18" s="45">
        <f>COUNTIFS(TestCase!$A:$A,A18,TestCase!$G:$G,$I$4)</f>
        <v>0</v>
      </c>
      <c r="J18" s="45">
        <f t="shared" si="0"/>
        <v>16</v>
      </c>
      <c r="K18" s="46">
        <f t="shared" si="1"/>
        <v>0</v>
      </c>
      <c r="L18" s="46">
        <f t="shared" si="2"/>
        <v>0</v>
      </c>
      <c r="M18" s="46">
        <f t="shared" si="3"/>
        <v>1</v>
      </c>
      <c r="N18" s="46">
        <f t="shared" si="4"/>
        <v>0</v>
      </c>
      <c r="O18" s="46">
        <f t="shared" si="5"/>
        <v>0</v>
      </c>
      <c r="P18" s="46">
        <f t="shared" si="6"/>
        <v>0</v>
      </c>
      <c r="Q18" s="46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57" t="s">
        <v>70</v>
      </c>
      <c r="B19" s="47" t="s">
        <v>140</v>
      </c>
      <c r="C19" s="45">
        <f>COUNTIFS(TestCase!$A:$A,A19,TestCase!$G:$G,$C$4)</f>
        <v>0</v>
      </c>
      <c r="D19" s="45">
        <f>COUNTIFS(TestCase!$A:$A,A19,TestCase!$G:$G,$D$4)</f>
        <v>0</v>
      </c>
      <c r="E19" s="45">
        <f>COUNTIFS(TestCase!$A:$A,A19,TestCase!$G:$G,$E$4)</f>
        <v>16</v>
      </c>
      <c r="F19" s="45">
        <f>COUNTIFS(TestCase!$A:$A,A19,TestCase!$G:$G,$F$4)</f>
        <v>0</v>
      </c>
      <c r="G19" s="45">
        <f>COUNTIFS(TestCase!$A:$A,A19,TestCase!$G:$G,$G$4)</f>
        <v>0</v>
      </c>
      <c r="H19" s="45">
        <f>COUNTIFS(TestCase!$A:$A,A19,TestCase!$G:$G,$H$4)</f>
        <v>0</v>
      </c>
      <c r="I19" s="45">
        <f>COUNTIFS(TestCase!$A:$A,A19,TestCase!$G:$G,$I$4)</f>
        <v>0</v>
      </c>
      <c r="J19" s="45">
        <f t="shared" si="0"/>
        <v>16</v>
      </c>
      <c r="K19" s="46">
        <f t="shared" si="1"/>
        <v>0</v>
      </c>
      <c r="L19" s="46">
        <f t="shared" si="2"/>
        <v>0</v>
      </c>
      <c r="M19" s="46">
        <f t="shared" si="3"/>
        <v>1</v>
      </c>
      <c r="N19" s="46">
        <f t="shared" si="4"/>
        <v>0</v>
      </c>
      <c r="O19" s="46">
        <f t="shared" si="5"/>
        <v>0</v>
      </c>
      <c r="P19" s="46">
        <f t="shared" si="6"/>
        <v>0</v>
      </c>
      <c r="Q19" s="46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57" t="s">
        <v>71</v>
      </c>
      <c r="B20" s="47" t="s">
        <v>141</v>
      </c>
      <c r="C20" s="45">
        <f>COUNTIFS(TestCase!$A:$A,A20,TestCase!$G:$G,$C$4)</f>
        <v>0</v>
      </c>
      <c r="D20" s="45">
        <f>COUNTIFS(TestCase!$A:$A,A20,TestCase!$G:$G,$D$4)</f>
        <v>0</v>
      </c>
      <c r="E20" s="45">
        <f>COUNTIFS(TestCase!$A:$A,A20,TestCase!$G:$G,$E$4)</f>
        <v>13</v>
      </c>
      <c r="F20" s="45">
        <f>COUNTIFS(TestCase!$A:$A,A20,TestCase!$G:$G,$F$4)</f>
        <v>0</v>
      </c>
      <c r="G20" s="45">
        <f>COUNTIFS(TestCase!$A:$A,A20,TestCase!$G:$G,$G$4)</f>
        <v>0</v>
      </c>
      <c r="H20" s="45">
        <f>COUNTIFS(TestCase!$A:$A,A20,TestCase!$G:$G,$H$4)</f>
        <v>0</v>
      </c>
      <c r="I20" s="45">
        <f>COUNTIFS(TestCase!$A:$A,A20,TestCase!$G:$G,$I$4)</f>
        <v>0</v>
      </c>
      <c r="J20" s="45">
        <f t="shared" si="0"/>
        <v>13</v>
      </c>
      <c r="K20" s="46">
        <f t="shared" si="1"/>
        <v>0</v>
      </c>
      <c r="L20" s="46">
        <f t="shared" si="2"/>
        <v>0</v>
      </c>
      <c r="M20" s="46">
        <f t="shared" si="3"/>
        <v>1</v>
      </c>
      <c r="N20" s="46">
        <f t="shared" si="4"/>
        <v>0</v>
      </c>
      <c r="O20" s="46">
        <f t="shared" si="5"/>
        <v>0</v>
      </c>
      <c r="P20" s="46">
        <f t="shared" si="6"/>
        <v>0</v>
      </c>
      <c r="Q20" s="46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57" t="s">
        <v>72</v>
      </c>
      <c r="B21" s="47" t="s">
        <v>142</v>
      </c>
      <c r="C21" s="45">
        <f>COUNTIFS(TestCase!$A:$A,A21,TestCase!$G:$G,$C$4)</f>
        <v>0</v>
      </c>
      <c r="D21" s="45">
        <f>COUNTIFS(TestCase!$A:$A,A21,TestCase!$G:$G,$D$4)</f>
        <v>0</v>
      </c>
      <c r="E21" s="45">
        <f>COUNTIFS(TestCase!$A:$A,A21,TestCase!$G:$G,$E$4)</f>
        <v>0</v>
      </c>
      <c r="F21" s="45">
        <f>COUNTIFS(TestCase!$A:$A,A21,TestCase!$G:$G,$F$4)</f>
        <v>0</v>
      </c>
      <c r="G21" s="45">
        <f>COUNTIFS(TestCase!$A:$A,A21,TestCase!$G:$G,$G$4)</f>
        <v>0</v>
      </c>
      <c r="H21" s="45">
        <f>COUNTIFS(TestCase!$A:$A,A21,TestCase!$G:$G,$H$4)</f>
        <v>0</v>
      </c>
      <c r="I21" s="45">
        <f>COUNTIFS(TestCase!$A:$A,A21,TestCase!$G:$G,$I$4)</f>
        <v>0</v>
      </c>
      <c r="J21" s="45">
        <f t="shared" si="0"/>
        <v>0</v>
      </c>
      <c r="K21" s="46">
        <f t="shared" si="1"/>
        <v>0</v>
      </c>
      <c r="L21" s="46">
        <f t="shared" si="2"/>
        <v>0</v>
      </c>
      <c r="M21" s="46">
        <f t="shared" si="3"/>
        <v>0</v>
      </c>
      <c r="N21" s="46">
        <f t="shared" si="4"/>
        <v>0</v>
      </c>
      <c r="O21" s="46">
        <f t="shared" si="5"/>
        <v>0</v>
      </c>
      <c r="P21" s="46">
        <f t="shared" si="6"/>
        <v>0</v>
      </c>
      <c r="Q21" s="46"/>
      <c r="R21" s="1"/>
      <c r="S21" s="1"/>
      <c r="T21" s="1"/>
      <c r="U21" s="1"/>
      <c r="V21" s="1"/>
      <c r="W21" s="1"/>
      <c r="X21" s="1"/>
      <c r="Y21" s="1"/>
      <c r="Z21" s="1"/>
    </row>
    <row r="22" spans="1:26" s="90" customFormat="1" ht="12.75" customHeight="1" x14ac:dyDescent="0.25">
      <c r="A22" s="43" t="s">
        <v>73</v>
      </c>
      <c r="B22" s="44" t="s">
        <v>143</v>
      </c>
      <c r="C22" s="45">
        <f>COUNTIFS(TestCase!$A:$A,A22,TestCase!$G:$G,$C$4)</f>
        <v>0</v>
      </c>
      <c r="D22" s="45">
        <f>COUNTIFS(TestCase!$A:$A,A22,TestCase!$G:$G,$D$4)</f>
        <v>0</v>
      </c>
      <c r="E22" s="45">
        <f>COUNTIFS(TestCase!$A:$A,A22,TestCase!$G:$G,$E$4)</f>
        <v>0</v>
      </c>
      <c r="F22" s="45">
        <f>COUNTIFS(TestCase!$A:$A,A22,TestCase!$G:$G,$F$4)</f>
        <v>0</v>
      </c>
      <c r="G22" s="45">
        <f>COUNTIFS(TestCase!$A:$A,A22,TestCase!$G:$G,$G$4)</f>
        <v>0</v>
      </c>
      <c r="H22" s="45">
        <f>COUNTIFS(TestCase!$A:$A,A22,TestCase!$G:$G,$H$4)</f>
        <v>0</v>
      </c>
      <c r="I22" s="45">
        <f>COUNTIFS(TestCase!$A:$A,A22,TestCase!$G:$G,$I$4)</f>
        <v>0</v>
      </c>
      <c r="J22" s="45">
        <f>SUM(C22:H22)</f>
        <v>0</v>
      </c>
      <c r="K22" s="46">
        <f>IFERROR(ROUND(C22/J22,4),0)</f>
        <v>0</v>
      </c>
      <c r="L22" s="46">
        <f>IFERROR(ROUND(D22/J22,4),0)</f>
        <v>0</v>
      </c>
      <c r="M22" s="46">
        <f>IFERROR(ROUND(E22/J22,4),0)</f>
        <v>0</v>
      </c>
      <c r="N22" s="46">
        <f>IFERROR(ROUND(F22/J22,4),0)</f>
        <v>0</v>
      </c>
      <c r="O22" s="46">
        <f>IFERROR(ROUND(G22/J22,4),0)</f>
        <v>0</v>
      </c>
      <c r="P22" s="46">
        <f>IFERROR(ROUND(H22/$J$6,4),0)</f>
        <v>0</v>
      </c>
      <c r="Q22" s="46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43" t="s">
        <v>180</v>
      </c>
      <c r="B23" s="47" t="s">
        <v>177</v>
      </c>
      <c r="C23" s="45">
        <f>COUNTIFS(TestCase!$A:$A,A23,TestCase!$G:$G,$C$4)</f>
        <v>0</v>
      </c>
      <c r="D23" s="45">
        <f>COUNTIFS(TestCase!$A:$A,A23,TestCase!$G:$G,$D$4)</f>
        <v>0</v>
      </c>
      <c r="E23" s="45">
        <f>COUNTIFS(TestCase!$A:$A,A23,TestCase!$G:$G,$E$4)</f>
        <v>0</v>
      </c>
      <c r="F23" s="45">
        <f>COUNTIFS(TestCase!$A:$A,A23,TestCase!$G:$G,$F$4)</f>
        <v>0</v>
      </c>
      <c r="G23" s="45">
        <f>COUNTIFS(TestCase!$A:$A,A23,TestCase!$G:$G,$G$4)</f>
        <v>0</v>
      </c>
      <c r="H23" s="45">
        <f>COUNTIFS(TestCase!$A:$A,A23,TestCase!$G:$G,$H$4)</f>
        <v>0</v>
      </c>
      <c r="I23" s="45">
        <f>COUNTIFS(TestCase!$A:$A,A23,TestCase!$G:$G,$I$4)</f>
        <v>0</v>
      </c>
      <c r="J23" s="45">
        <f t="shared" si="0"/>
        <v>0</v>
      </c>
      <c r="K23" s="46">
        <f t="shared" si="1"/>
        <v>0</v>
      </c>
      <c r="L23" s="46">
        <f t="shared" si="2"/>
        <v>0</v>
      </c>
      <c r="M23" s="46">
        <f t="shared" si="3"/>
        <v>0</v>
      </c>
      <c r="N23" s="46">
        <f t="shared" si="4"/>
        <v>0</v>
      </c>
      <c r="O23" s="46">
        <f t="shared" si="5"/>
        <v>0</v>
      </c>
      <c r="P23" s="46">
        <f t="shared" si="6"/>
        <v>0</v>
      </c>
      <c r="Q23" s="46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43" t="s">
        <v>181</v>
      </c>
      <c r="B24" s="47" t="s">
        <v>178</v>
      </c>
      <c r="C24" s="45">
        <f>COUNTIFS(TestCase!$A:$A,A24,TestCase!$G:$G,$C$4)</f>
        <v>0</v>
      </c>
      <c r="D24" s="45">
        <f>COUNTIFS(TestCase!$A:$A,A24,TestCase!$G:$G,$D$4)</f>
        <v>0</v>
      </c>
      <c r="E24" s="45">
        <f>COUNTIFS(TestCase!$A:$A,A24,TestCase!$G:$G,$E$4)</f>
        <v>0</v>
      </c>
      <c r="F24" s="45">
        <f>COUNTIFS(TestCase!$A:$A,A24,TestCase!$G:$G,$F$4)</f>
        <v>0</v>
      </c>
      <c r="G24" s="45">
        <f>COUNTIFS(TestCase!$A:$A,A24,TestCase!$G:$G,$G$4)</f>
        <v>0</v>
      </c>
      <c r="H24" s="45">
        <f>COUNTIFS(TestCase!$A:$A,A24,TestCase!$G:$G,$H$4)</f>
        <v>0</v>
      </c>
      <c r="I24" s="45">
        <f>COUNTIFS(TestCase!$A:$A,A24,TestCase!$G:$G,$I$4)</f>
        <v>0</v>
      </c>
      <c r="J24" s="45">
        <f t="shared" si="0"/>
        <v>0</v>
      </c>
      <c r="K24" s="46">
        <f t="shared" si="1"/>
        <v>0</v>
      </c>
      <c r="L24" s="46">
        <f t="shared" si="2"/>
        <v>0</v>
      </c>
      <c r="M24" s="46">
        <f t="shared" si="3"/>
        <v>0</v>
      </c>
      <c r="N24" s="46">
        <f t="shared" si="4"/>
        <v>0</v>
      </c>
      <c r="O24" s="46">
        <f t="shared" si="5"/>
        <v>0</v>
      </c>
      <c r="P24" s="46">
        <f t="shared" si="6"/>
        <v>0</v>
      </c>
      <c r="Q24" s="46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43" t="s">
        <v>182</v>
      </c>
      <c r="B25" s="44" t="s">
        <v>179</v>
      </c>
      <c r="C25" s="45">
        <f>COUNTIFS(TestCase!$A:$A,A25,TestCase!$G:$G,$C$4)</f>
        <v>0</v>
      </c>
      <c r="D25" s="45">
        <f>COUNTIFS(TestCase!$A:$A,A25,TestCase!$G:$G,$D$4)</f>
        <v>0</v>
      </c>
      <c r="E25" s="45">
        <f>COUNTIFS(TestCase!$A:$A,A25,TestCase!$G:$G,$E$4)</f>
        <v>0</v>
      </c>
      <c r="F25" s="45">
        <f>COUNTIFS(TestCase!$A:$A,A25,TestCase!$G:$G,$F$4)</f>
        <v>0</v>
      </c>
      <c r="G25" s="45">
        <f>COUNTIFS(TestCase!$A:$A,A25,TestCase!$G:$G,$G$4)</f>
        <v>0</v>
      </c>
      <c r="H25" s="45">
        <f>COUNTIFS(TestCase!$A:$A,A25,TestCase!$G:$G,$H$4)</f>
        <v>0</v>
      </c>
      <c r="I25" s="45">
        <f>COUNTIFS(TestCase!$A:$A,A25,TestCase!$G:$G,$I$4)</f>
        <v>0</v>
      </c>
      <c r="J25" s="45">
        <f t="shared" si="0"/>
        <v>0</v>
      </c>
      <c r="K25" s="46">
        <f t="shared" si="1"/>
        <v>0</v>
      </c>
      <c r="L25" s="46">
        <f t="shared" si="2"/>
        <v>0</v>
      </c>
      <c r="M25" s="46">
        <f t="shared" si="3"/>
        <v>0</v>
      </c>
      <c r="N25" s="46">
        <f t="shared" si="4"/>
        <v>0</v>
      </c>
      <c r="O25" s="46">
        <f t="shared" si="5"/>
        <v>0</v>
      </c>
      <c r="P25" s="46">
        <f t="shared" si="6"/>
        <v>0</v>
      </c>
      <c r="Q25" s="46"/>
      <c r="R25" s="1"/>
      <c r="S25" s="1"/>
      <c r="T25" s="1"/>
      <c r="U25" s="1"/>
      <c r="V25" s="1"/>
      <c r="W25" s="1"/>
      <c r="X25" s="1"/>
      <c r="Y25" s="1"/>
      <c r="Z25" s="1"/>
    </row>
    <row r="26" spans="1:26" s="92" customFormat="1" ht="12.75" customHeight="1" x14ac:dyDescent="0.25">
      <c r="A26" s="43" t="s">
        <v>241</v>
      </c>
      <c r="B26" s="47" t="s">
        <v>244</v>
      </c>
      <c r="C26" s="45">
        <f>COUNTIFS(TestCase!$A:$A,A26,TestCase!$G:$G,$C$4)</f>
        <v>0</v>
      </c>
      <c r="D26" s="45">
        <f>COUNTIFS(TestCase!$A:$A,A26,TestCase!$G:$G,$D$4)</f>
        <v>0</v>
      </c>
      <c r="E26" s="45">
        <f>COUNTIFS(TestCase!$A:$A,A26,TestCase!$G:$G,$E$4)</f>
        <v>0</v>
      </c>
      <c r="F26" s="45">
        <f>COUNTIFS(TestCase!$A:$A,A26,TestCase!$G:$G,$F$4)</f>
        <v>0</v>
      </c>
      <c r="G26" s="45">
        <f>COUNTIFS(TestCase!$A:$A,A26,TestCase!$G:$G,$G$4)</f>
        <v>0</v>
      </c>
      <c r="H26" s="45">
        <f>COUNTIFS(TestCase!$A:$A,A26,TestCase!$G:$G,$H$4)</f>
        <v>0</v>
      </c>
      <c r="I26" s="45">
        <f>COUNTIFS(TestCase!$A:$A,A26,TestCase!$G:$G,$I$4)</f>
        <v>0</v>
      </c>
      <c r="J26" s="45">
        <f>SUM(C26:H26)</f>
        <v>0</v>
      </c>
      <c r="K26" s="46">
        <f>IFERROR(ROUND(C26/J26,4),0)</f>
        <v>0</v>
      </c>
      <c r="L26" s="46">
        <f>IFERROR(ROUND(D26/J26,4),0)</f>
        <v>0</v>
      </c>
      <c r="M26" s="46">
        <f>IFERROR(ROUND(E26/J26,4),0)</f>
        <v>0</v>
      </c>
      <c r="N26" s="46">
        <f>IFERROR(ROUND(F26/J26,4),0)</f>
        <v>0</v>
      </c>
      <c r="O26" s="46">
        <f>IFERROR(ROUND(G26/J26,4),0)</f>
        <v>0</v>
      </c>
      <c r="P26" s="46">
        <f>IFERROR(ROUND(H26/$J$6,4),0)</f>
        <v>0</v>
      </c>
      <c r="Q26" s="46"/>
      <c r="R26" s="1"/>
      <c r="S26" s="1"/>
      <c r="T26" s="1"/>
      <c r="U26" s="1"/>
      <c r="V26" s="1"/>
      <c r="W26" s="1"/>
      <c r="X26" s="1"/>
      <c r="Y26" s="1"/>
      <c r="Z26" s="1"/>
    </row>
    <row r="27" spans="1:26" s="92" customFormat="1" ht="12.75" customHeight="1" x14ac:dyDescent="0.25">
      <c r="A27" s="43" t="s">
        <v>242</v>
      </c>
      <c r="B27" s="47" t="s">
        <v>245</v>
      </c>
      <c r="C27" s="45">
        <f>COUNTIFS(TestCase!$A:$A,A27,TestCase!$G:$G,$C$4)</f>
        <v>0</v>
      </c>
      <c r="D27" s="45">
        <f>COUNTIFS(TestCase!$A:$A,A27,TestCase!$G:$G,$D$4)</f>
        <v>0</v>
      </c>
      <c r="E27" s="45">
        <f>COUNTIFS(TestCase!$A:$A,A27,TestCase!$G:$G,$E$4)</f>
        <v>0</v>
      </c>
      <c r="F27" s="45">
        <f>COUNTIFS(TestCase!$A:$A,A27,TestCase!$G:$G,$F$4)</f>
        <v>0</v>
      </c>
      <c r="G27" s="45">
        <f>COUNTIFS(TestCase!$A:$A,A27,TestCase!$G:$G,$G$4)</f>
        <v>0</v>
      </c>
      <c r="H27" s="45">
        <f>COUNTIFS(TestCase!$A:$A,A27,TestCase!$G:$G,$H$4)</f>
        <v>0</v>
      </c>
      <c r="I27" s="45">
        <f>COUNTIFS(TestCase!$A:$A,A27,TestCase!$G:$G,$I$4)</f>
        <v>0</v>
      </c>
      <c r="J27" s="45">
        <f>SUM(C27:H27)</f>
        <v>0</v>
      </c>
      <c r="K27" s="46">
        <f>IFERROR(ROUND(C27/J27,4),0)</f>
        <v>0</v>
      </c>
      <c r="L27" s="46">
        <f>IFERROR(ROUND(D27/J27,4),0)</f>
        <v>0</v>
      </c>
      <c r="M27" s="46">
        <f>IFERROR(ROUND(E27/J27,4),0)</f>
        <v>0</v>
      </c>
      <c r="N27" s="46">
        <f>IFERROR(ROUND(F27/J27,4),0)</f>
        <v>0</v>
      </c>
      <c r="O27" s="46">
        <f>IFERROR(ROUND(G27/J27,4),0)</f>
        <v>0</v>
      </c>
      <c r="P27" s="46">
        <f>IFERROR(ROUND(H27/$J$6,4),0)</f>
        <v>0</v>
      </c>
      <c r="Q27" s="46"/>
      <c r="R27" s="1"/>
      <c r="S27" s="1"/>
      <c r="T27" s="1"/>
      <c r="U27" s="1"/>
      <c r="V27" s="1"/>
      <c r="W27" s="1"/>
      <c r="X27" s="1"/>
      <c r="Y27" s="1"/>
      <c r="Z27" s="1"/>
    </row>
    <row r="28" spans="1:26" s="92" customFormat="1" ht="12.75" customHeight="1" x14ac:dyDescent="0.25">
      <c r="A28" s="43" t="s">
        <v>243</v>
      </c>
      <c r="B28" s="44" t="s">
        <v>246</v>
      </c>
      <c r="C28" s="45">
        <f>COUNTIFS(TestCase!$A:$A,A28,TestCase!$G:$G,$C$4)</f>
        <v>0</v>
      </c>
      <c r="D28" s="45">
        <f>COUNTIFS(TestCase!$A:$A,A28,TestCase!$G:$G,$D$4)</f>
        <v>0</v>
      </c>
      <c r="E28" s="45">
        <f>COUNTIFS(TestCase!$A:$A,A28,TestCase!$G:$G,$E$4)</f>
        <v>0</v>
      </c>
      <c r="F28" s="45">
        <f>COUNTIFS(TestCase!$A:$A,A28,TestCase!$G:$G,$F$4)</f>
        <v>0</v>
      </c>
      <c r="G28" s="45">
        <f>COUNTIFS(TestCase!$A:$A,A28,TestCase!$G:$G,$G$4)</f>
        <v>0</v>
      </c>
      <c r="H28" s="45">
        <f>COUNTIFS(TestCase!$A:$A,A28,TestCase!$G:$G,$H$4)</f>
        <v>0</v>
      </c>
      <c r="I28" s="45">
        <f>COUNTIFS(TestCase!$A:$A,A28,TestCase!$G:$G,$I$4)</f>
        <v>0</v>
      </c>
      <c r="J28" s="45">
        <f>SUM(C28:H28)</f>
        <v>0</v>
      </c>
      <c r="K28" s="46">
        <f>IFERROR(ROUND(C28/J28,4),0)</f>
        <v>0</v>
      </c>
      <c r="L28" s="46">
        <f>IFERROR(ROUND(D28/J28,4),0)</f>
        <v>0</v>
      </c>
      <c r="M28" s="46">
        <f>IFERROR(ROUND(E28/J28,4),0)</f>
        <v>0</v>
      </c>
      <c r="N28" s="46">
        <f>IFERROR(ROUND(F28/J28,4),0)</f>
        <v>0</v>
      </c>
      <c r="O28" s="46">
        <f>IFERROR(ROUND(G28/J28,4),0)</f>
        <v>0</v>
      </c>
      <c r="P28" s="46">
        <f>IFERROR(ROUND(H28/$J$6,4),0)</f>
        <v>0</v>
      </c>
      <c r="Q28" s="46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54" t="s">
        <v>29</v>
      </c>
      <c r="B29" s="148"/>
      <c r="C29" s="48">
        <f>SUM(C6:C28)</f>
        <v>0</v>
      </c>
      <c r="D29" s="48">
        <f t="shared" ref="D29:J29" si="7">SUM(D6:D28)</f>
        <v>0</v>
      </c>
      <c r="E29" s="48">
        <f t="shared" si="7"/>
        <v>172</v>
      </c>
      <c r="F29" s="48">
        <f t="shared" si="7"/>
        <v>0</v>
      </c>
      <c r="G29" s="48">
        <f t="shared" si="7"/>
        <v>0</v>
      </c>
      <c r="H29" s="48">
        <f t="shared" si="7"/>
        <v>0</v>
      </c>
      <c r="I29" s="48">
        <f t="shared" si="7"/>
        <v>0</v>
      </c>
      <c r="J29" s="48">
        <f t="shared" si="7"/>
        <v>172</v>
      </c>
      <c r="K29" s="49">
        <f>IFERROR(100%-SUM(L29:P29),0)</f>
        <v>0</v>
      </c>
      <c r="L29" s="49">
        <f>IFERROR(ROUND(D29/$J$29,4),0)</f>
        <v>0</v>
      </c>
      <c r="M29" s="49">
        <f>IFERROR(ROUND(E29/$J$29,4),0)</f>
        <v>1</v>
      </c>
      <c r="N29" s="49">
        <f>IFERROR(ROUND(F29/$J$29,4),0)</f>
        <v>0</v>
      </c>
      <c r="O29" s="49">
        <f>IFERROR(ROUND(G29/$J$29,4),0)</f>
        <v>0</v>
      </c>
      <c r="P29" s="49">
        <f>IFERROR(ROUND(H29/$J$29,4),0)</f>
        <v>0</v>
      </c>
      <c r="Q29" s="49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50" t="s">
        <v>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50" t="s">
        <v>35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50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50" t="s">
        <v>37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51" t="s">
        <v>38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50" t="s">
        <v>39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50" t="s">
        <v>40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50" t="s">
        <v>41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3">
    <mergeCell ref="A2:Q2"/>
    <mergeCell ref="A5:Q5"/>
    <mergeCell ref="A29:B2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89"/>
  <sheetViews>
    <sheetView tabSelected="1" topLeftCell="A130" zoomScale="70" zoomScaleNormal="70" workbookViewId="0">
      <selection activeCell="F8" sqref="F8"/>
    </sheetView>
  </sheetViews>
  <sheetFormatPr defaultColWidth="12.59765625" defaultRowHeight="13.8" x14ac:dyDescent="0.25"/>
  <cols>
    <col min="1" max="1" width="11.59765625" customWidth="1"/>
    <col min="2" max="2" width="38.296875" customWidth="1"/>
    <col min="3" max="3" width="13.3984375" bestFit="1" customWidth="1"/>
    <col min="4" max="4" width="14.59765625" bestFit="1" customWidth="1"/>
    <col min="5" max="5" width="65.8984375" customWidth="1"/>
    <col min="6" max="6" width="57.3984375" customWidth="1"/>
    <col min="7" max="7" width="10.3984375" bestFit="1" customWidth="1"/>
    <col min="8" max="8" width="22.59765625" customWidth="1"/>
    <col min="9" max="9" width="14.59765625" bestFit="1" customWidth="1"/>
    <col min="10" max="11" width="13" bestFit="1" customWidth="1"/>
    <col min="12" max="13" width="13" customWidth="1"/>
    <col min="14" max="14" width="12.5" style="59" bestFit="1" customWidth="1"/>
    <col min="15" max="15" width="17.59765625" bestFit="1" customWidth="1"/>
    <col min="16" max="16" width="14.8984375" bestFit="1" customWidth="1"/>
    <col min="17" max="24" width="8.59765625" customWidth="1"/>
  </cols>
  <sheetData>
    <row r="1" spans="1:24" x14ac:dyDescent="0.25">
      <c r="A1" s="1"/>
      <c r="B1" s="1"/>
      <c r="C1" s="1"/>
      <c r="D1" s="1"/>
      <c r="E1" s="52"/>
      <c r="F1" s="1"/>
      <c r="G1" s="1"/>
      <c r="H1" s="1"/>
      <c r="I1" s="53"/>
      <c r="J1" s="53"/>
      <c r="K1" s="53"/>
      <c r="L1" s="53"/>
      <c r="M1" s="53"/>
      <c r="N1" s="53"/>
      <c r="O1" s="53"/>
      <c r="P1" s="53"/>
      <c r="Q1" s="1"/>
      <c r="R1" s="1"/>
      <c r="S1" s="1"/>
      <c r="T1" s="1"/>
      <c r="U1" s="1"/>
      <c r="V1" s="1"/>
      <c r="W1" s="1"/>
      <c r="X1" s="1"/>
    </row>
    <row r="2" spans="1:24" ht="19.2" x14ac:dyDescent="0.25">
      <c r="A2" s="54" t="s">
        <v>42</v>
      </c>
      <c r="B2" s="54"/>
      <c r="C2" s="54"/>
      <c r="D2" s="54"/>
      <c r="E2" s="55"/>
      <c r="F2" s="54"/>
      <c r="G2" s="54"/>
      <c r="J2" s="39"/>
      <c r="K2" s="39"/>
      <c r="L2" s="39"/>
      <c r="M2" s="39"/>
      <c r="N2" s="58"/>
      <c r="O2" s="39"/>
      <c r="P2" s="39"/>
      <c r="Q2" s="1"/>
      <c r="R2" s="1"/>
      <c r="S2" s="1"/>
      <c r="T2" s="1"/>
      <c r="U2" s="1"/>
      <c r="V2" s="1"/>
      <c r="W2" s="1"/>
      <c r="X2" s="1"/>
    </row>
    <row r="3" spans="1:24" ht="19.2" x14ac:dyDescent="0.25">
      <c r="A3" s="56" t="s">
        <v>43</v>
      </c>
      <c r="B3" s="54"/>
      <c r="C3" s="54"/>
      <c r="D3" s="54"/>
      <c r="E3" s="55"/>
      <c r="F3" s="54"/>
      <c r="G3" s="54"/>
      <c r="H3" s="54"/>
      <c r="I3" s="39"/>
      <c r="J3" s="39"/>
      <c r="K3" s="39"/>
      <c r="L3" s="39"/>
      <c r="M3" s="39"/>
      <c r="N3" s="58"/>
      <c r="P3" s="39"/>
      <c r="Q3" s="1"/>
      <c r="R3" s="1"/>
      <c r="S3" s="1"/>
      <c r="T3" s="1"/>
      <c r="U3" s="1"/>
      <c r="V3" s="1"/>
      <c r="W3" s="1"/>
      <c r="X3" s="1"/>
    </row>
    <row r="4" spans="1:24" x14ac:dyDescent="0.25">
      <c r="A4" s="81"/>
      <c r="B4" s="81"/>
      <c r="C4" s="74"/>
      <c r="D4" s="74"/>
      <c r="E4" s="82"/>
      <c r="F4" s="74"/>
      <c r="G4" s="73"/>
      <c r="H4" s="83"/>
      <c r="I4" s="73"/>
      <c r="J4" s="73"/>
      <c r="K4" s="73"/>
      <c r="L4" s="73"/>
      <c r="M4" s="80"/>
      <c r="N4" s="80"/>
      <c r="O4" s="80"/>
      <c r="P4" s="73"/>
      <c r="Q4" s="1"/>
      <c r="R4" s="1"/>
      <c r="S4" s="1"/>
      <c r="T4" s="1"/>
      <c r="U4" s="1"/>
      <c r="V4" s="1"/>
      <c r="W4" s="1"/>
      <c r="X4" s="1"/>
    </row>
    <row r="5" spans="1:24" ht="26.4" x14ac:dyDescent="0.25">
      <c r="A5" s="84" t="s">
        <v>25</v>
      </c>
      <c r="B5" s="84" t="s">
        <v>26</v>
      </c>
      <c r="C5" s="84" t="s">
        <v>44</v>
      </c>
      <c r="D5" s="84" t="s">
        <v>45</v>
      </c>
      <c r="E5" s="85" t="s">
        <v>46</v>
      </c>
      <c r="F5" s="86" t="s">
        <v>47</v>
      </c>
      <c r="G5" s="87" t="s">
        <v>48</v>
      </c>
      <c r="H5" s="87" t="s">
        <v>49</v>
      </c>
      <c r="I5" s="87" t="s">
        <v>50</v>
      </c>
      <c r="J5" s="87" t="s">
        <v>51</v>
      </c>
      <c r="K5" s="87" t="s">
        <v>52</v>
      </c>
      <c r="L5" s="87" t="s">
        <v>53</v>
      </c>
      <c r="M5" s="87" t="s">
        <v>54</v>
      </c>
      <c r="N5" s="88" t="s">
        <v>55</v>
      </c>
      <c r="O5" s="87" t="s">
        <v>56</v>
      </c>
      <c r="P5" s="87" t="s">
        <v>57</v>
      </c>
      <c r="Q5" s="53"/>
      <c r="R5" s="53"/>
      <c r="S5" s="53"/>
      <c r="T5" s="53"/>
      <c r="U5" s="53"/>
      <c r="V5" s="53"/>
      <c r="W5" s="53"/>
      <c r="X5" s="53"/>
    </row>
    <row r="6" spans="1:24" s="68" customFormat="1" ht="13.2" x14ac:dyDescent="0.25">
      <c r="A6" s="105" t="str">
        <f>'Scenario Test'!$A$12</f>
        <v>DPT_CIS</v>
      </c>
      <c r="B6" s="106" t="str">
        <f>VLOOKUP(TestCase!A6,'Scenario Test'!$A$4:$B$125,2,0)</f>
        <v>DPT_CIS: 11801: Cheque book issued</v>
      </c>
      <c r="C6" s="107"/>
      <c r="D6" s="107"/>
      <c r="E6" s="108"/>
      <c r="F6" s="107"/>
      <c r="G6" s="107"/>
      <c r="H6" s="107"/>
      <c r="I6" s="109"/>
      <c r="J6" s="109"/>
      <c r="K6" s="109"/>
      <c r="L6" s="109"/>
      <c r="M6" s="109"/>
      <c r="N6" s="109"/>
      <c r="O6" s="109"/>
      <c r="P6" s="109"/>
      <c r="Q6" s="1"/>
      <c r="R6" s="1"/>
      <c r="S6" s="1"/>
      <c r="T6" s="1"/>
      <c r="U6" s="1"/>
      <c r="V6" s="1"/>
      <c r="W6" s="1"/>
      <c r="X6" s="1"/>
    </row>
    <row r="7" spans="1:24" s="72" customFormat="1" ht="211.2" x14ac:dyDescent="0.25">
      <c r="A7" s="69" t="str">
        <f>'Scenario Test'!$A$12</f>
        <v>DPT_CIS</v>
      </c>
      <c r="B7" s="70" t="str">
        <f>VLOOKUP(TestCase!A7,'Scenario Test'!$A$4:$B$125,2,0)</f>
        <v>DPT_CIS: 11801: Cheque book issued</v>
      </c>
      <c r="C7" s="64" t="s">
        <v>74</v>
      </c>
      <c r="D7" s="75"/>
      <c r="E7" s="96" t="s">
        <v>286</v>
      </c>
      <c r="F7" s="93" t="s">
        <v>186</v>
      </c>
      <c r="G7" s="61" t="s">
        <v>27</v>
      </c>
      <c r="H7" s="64"/>
      <c r="I7" s="66">
        <v>45630</v>
      </c>
      <c r="J7" s="76"/>
      <c r="K7" s="76"/>
      <c r="L7" s="76"/>
      <c r="M7" s="76"/>
      <c r="N7" s="76"/>
      <c r="O7" s="66" t="s">
        <v>144</v>
      </c>
      <c r="P7" s="76"/>
      <c r="Q7" s="71"/>
      <c r="R7" s="71"/>
      <c r="S7" s="71"/>
      <c r="T7" s="71"/>
      <c r="U7" s="71"/>
      <c r="V7" s="71"/>
      <c r="W7" s="71"/>
      <c r="X7" s="71"/>
    </row>
    <row r="8" spans="1:24" s="72" customFormat="1" ht="211.2" x14ac:dyDescent="0.25">
      <c r="A8" s="69" t="str">
        <f>'Scenario Test'!$A$12</f>
        <v>DPT_CIS</v>
      </c>
      <c r="B8" s="70" t="str">
        <f>VLOOKUP(TestCase!A8,'Scenario Test'!$A$4:$B$125,2,0)</f>
        <v>DPT_CIS: 11801: Cheque book issued</v>
      </c>
      <c r="C8" s="64" t="s">
        <v>75</v>
      </c>
      <c r="D8" s="75"/>
      <c r="E8" s="96" t="s">
        <v>287</v>
      </c>
      <c r="F8" s="93" t="s">
        <v>186</v>
      </c>
      <c r="G8" s="61" t="s">
        <v>27</v>
      </c>
      <c r="H8" s="64"/>
      <c r="I8" s="66">
        <v>45630</v>
      </c>
      <c r="J8" s="76"/>
      <c r="K8" s="76"/>
      <c r="L8" s="76"/>
      <c r="M8" s="76"/>
      <c r="N8" s="76"/>
      <c r="O8" s="66" t="s">
        <v>144</v>
      </c>
      <c r="P8" s="76"/>
      <c r="Q8" s="71"/>
      <c r="R8" s="71"/>
      <c r="S8" s="71"/>
      <c r="T8" s="71"/>
      <c r="U8" s="71"/>
      <c r="V8" s="71"/>
      <c r="W8" s="71"/>
      <c r="X8" s="71"/>
    </row>
    <row r="9" spans="1:24" s="72" customFormat="1" ht="264" x14ac:dyDescent="0.25">
      <c r="A9" s="69" t="str">
        <f>'Scenario Test'!$A$12</f>
        <v>DPT_CIS</v>
      </c>
      <c r="B9" s="70" t="str">
        <f>VLOOKUP(TestCase!A9,'Scenario Test'!$A$4:$B$125,2,0)</f>
        <v>DPT_CIS: 11801: Cheque book issued</v>
      </c>
      <c r="C9" s="64" t="s">
        <v>76</v>
      </c>
      <c r="D9" s="75"/>
      <c r="E9" s="96" t="s">
        <v>288</v>
      </c>
      <c r="F9" s="93" t="s">
        <v>186</v>
      </c>
      <c r="G9" s="61" t="s">
        <v>27</v>
      </c>
      <c r="H9" s="64"/>
      <c r="I9" s="66">
        <v>45630</v>
      </c>
      <c r="J9" s="76"/>
      <c r="K9" s="76"/>
      <c r="L9" s="76"/>
      <c r="M9" s="76"/>
      <c r="N9" s="76"/>
      <c r="O9" s="66" t="s">
        <v>144</v>
      </c>
      <c r="P9" s="76"/>
      <c r="Q9" s="71"/>
      <c r="R9" s="71"/>
      <c r="S9" s="71"/>
      <c r="T9" s="71"/>
      <c r="U9" s="71"/>
      <c r="V9" s="71"/>
      <c r="W9" s="71"/>
      <c r="X9" s="71"/>
    </row>
    <row r="10" spans="1:24" s="72" customFormat="1" ht="303.60000000000002" x14ac:dyDescent="0.25">
      <c r="A10" s="69" t="str">
        <f>'Scenario Test'!$A$12</f>
        <v>DPT_CIS</v>
      </c>
      <c r="B10" s="70" t="str">
        <f>VLOOKUP(TestCase!A10,'Scenario Test'!$A$4:$B$125,2,0)</f>
        <v>DPT_CIS: 11801: Cheque book issued</v>
      </c>
      <c r="C10" s="64" t="s">
        <v>77</v>
      </c>
      <c r="D10" s="75"/>
      <c r="E10" s="96" t="s">
        <v>289</v>
      </c>
      <c r="F10" s="93" t="s">
        <v>186</v>
      </c>
      <c r="G10" s="61" t="s">
        <v>27</v>
      </c>
      <c r="H10" s="64"/>
      <c r="I10" s="66">
        <v>45630</v>
      </c>
      <c r="J10" s="76"/>
      <c r="K10" s="76"/>
      <c r="L10" s="76"/>
      <c r="M10" s="76"/>
      <c r="N10" s="76"/>
      <c r="O10" s="66" t="s">
        <v>144</v>
      </c>
      <c r="P10" s="76"/>
      <c r="Q10" s="71"/>
      <c r="R10" s="71"/>
      <c r="S10" s="71"/>
      <c r="T10" s="71"/>
      <c r="U10" s="71"/>
      <c r="V10" s="71"/>
      <c r="W10" s="71"/>
      <c r="X10" s="71"/>
    </row>
    <row r="11" spans="1:24" s="72" customFormat="1" ht="316.8" x14ac:dyDescent="0.25">
      <c r="A11" s="69" t="str">
        <f>'Scenario Test'!$A$12</f>
        <v>DPT_CIS</v>
      </c>
      <c r="B11" s="70" t="str">
        <f>VLOOKUP(TestCase!A11,'Scenario Test'!$A$4:$B$125,2,0)</f>
        <v>DPT_CIS: 11801: Cheque book issued</v>
      </c>
      <c r="C11" s="64" t="s">
        <v>78</v>
      </c>
      <c r="D11" s="75"/>
      <c r="E11" s="96" t="s">
        <v>290</v>
      </c>
      <c r="F11" s="93" t="s">
        <v>186</v>
      </c>
      <c r="G11" s="61" t="s">
        <v>27</v>
      </c>
      <c r="H11" s="64"/>
      <c r="I11" s="66">
        <v>45630</v>
      </c>
      <c r="J11" s="76"/>
      <c r="K11" s="76"/>
      <c r="L11" s="76"/>
      <c r="M11" s="76"/>
      <c r="N11" s="76"/>
      <c r="O11" s="66" t="s">
        <v>144</v>
      </c>
      <c r="P11" s="76"/>
      <c r="Q11" s="71"/>
      <c r="R11" s="71"/>
      <c r="S11" s="71"/>
      <c r="T11" s="71"/>
      <c r="U11" s="71"/>
      <c r="V11" s="71"/>
      <c r="W11" s="71"/>
      <c r="X11" s="71"/>
    </row>
    <row r="12" spans="1:24" s="72" customFormat="1" ht="330" x14ac:dyDescent="0.25">
      <c r="A12" s="69" t="str">
        <f>'Scenario Test'!$A$12</f>
        <v>DPT_CIS</v>
      </c>
      <c r="B12" s="70" t="str">
        <f>VLOOKUP(TestCase!A12,'Scenario Test'!$A$4:$B$125,2,0)</f>
        <v>DPT_CIS: 11801: Cheque book issued</v>
      </c>
      <c r="C12" s="64" t="s">
        <v>79</v>
      </c>
      <c r="D12" s="75"/>
      <c r="E12" s="96" t="s">
        <v>291</v>
      </c>
      <c r="F12" s="93" t="s">
        <v>186</v>
      </c>
      <c r="G12" s="61" t="s">
        <v>27</v>
      </c>
      <c r="H12" s="64"/>
      <c r="I12" s="66">
        <v>45630</v>
      </c>
      <c r="J12" s="76"/>
      <c r="K12" s="76"/>
      <c r="L12" s="76"/>
      <c r="M12" s="76"/>
      <c r="N12" s="76"/>
      <c r="O12" s="66" t="s">
        <v>144</v>
      </c>
      <c r="P12" s="76"/>
      <c r="Q12" s="71"/>
      <c r="R12" s="71"/>
      <c r="S12" s="71"/>
      <c r="T12" s="71"/>
      <c r="U12" s="71"/>
      <c r="V12" s="71"/>
      <c r="W12" s="71"/>
      <c r="X12" s="71"/>
    </row>
    <row r="13" spans="1:24" s="72" customFormat="1" ht="369.6" x14ac:dyDescent="0.25">
      <c r="A13" s="69" t="str">
        <f>'Scenario Test'!$A$12</f>
        <v>DPT_CIS</v>
      </c>
      <c r="B13" s="70" t="str">
        <f>VLOOKUP(TestCase!A13,'Scenario Test'!$A$4:$B$125,2,0)</f>
        <v>DPT_CIS: 11801: Cheque book issued</v>
      </c>
      <c r="C13" s="64" t="s">
        <v>80</v>
      </c>
      <c r="D13" s="75"/>
      <c r="E13" s="96" t="s">
        <v>284</v>
      </c>
      <c r="F13" s="93" t="s">
        <v>186</v>
      </c>
      <c r="G13" s="61" t="s">
        <v>27</v>
      </c>
      <c r="H13" s="64"/>
      <c r="I13" s="66">
        <v>45630</v>
      </c>
      <c r="J13" s="76"/>
      <c r="K13" s="76"/>
      <c r="L13" s="76"/>
      <c r="M13" s="76"/>
      <c r="N13" s="76"/>
      <c r="O13" s="66" t="s">
        <v>144</v>
      </c>
      <c r="P13" s="76"/>
      <c r="Q13" s="71"/>
      <c r="R13" s="71"/>
      <c r="S13" s="71"/>
      <c r="T13" s="71"/>
      <c r="U13" s="71"/>
      <c r="V13" s="71"/>
      <c r="W13" s="71"/>
      <c r="X13" s="71"/>
    </row>
    <row r="14" spans="1:24" s="1" customFormat="1" ht="26.4" x14ac:dyDescent="0.25">
      <c r="A14" s="69" t="str">
        <f>'Scenario Test'!$A$12</f>
        <v>DPT_CIS</v>
      </c>
      <c r="B14" s="70" t="str">
        <f>VLOOKUP(TestCase!A14,'Scenario Test'!$A$4:$B$125,2,0)</f>
        <v>DPT_CIS: 11801: Cheque book issued</v>
      </c>
      <c r="C14" s="64" t="s">
        <v>81</v>
      </c>
      <c r="D14" s="75"/>
      <c r="E14" s="110" t="s">
        <v>261</v>
      </c>
      <c r="F14" s="103" t="s">
        <v>183</v>
      </c>
      <c r="G14" s="61" t="s">
        <v>27</v>
      </c>
      <c r="H14" s="64"/>
      <c r="I14" s="66">
        <v>45630</v>
      </c>
      <c r="J14" s="67"/>
      <c r="K14" s="67"/>
      <c r="L14" s="67"/>
      <c r="M14" s="67"/>
      <c r="N14" s="67"/>
      <c r="O14" s="66" t="s">
        <v>144</v>
      </c>
      <c r="P14" s="64"/>
      <c r="Q14" s="63"/>
      <c r="R14" s="63"/>
      <c r="S14" s="63"/>
      <c r="T14" s="63"/>
      <c r="U14" s="63"/>
      <c r="V14" s="63"/>
      <c r="W14" s="63"/>
      <c r="X14" s="63"/>
    </row>
    <row r="15" spans="1:24" s="72" customFormat="1" ht="26.4" x14ac:dyDescent="0.25">
      <c r="A15" s="69" t="str">
        <f>'Scenario Test'!$A$12</f>
        <v>DPT_CIS</v>
      </c>
      <c r="B15" s="70" t="str">
        <f>VLOOKUP(TestCase!A15,'Scenario Test'!$A$4:$B$125,2,0)</f>
        <v>DPT_CIS: 11801: Cheque book issued</v>
      </c>
      <c r="C15" s="64" t="s">
        <v>82</v>
      </c>
      <c r="D15" s="75"/>
      <c r="E15" s="110" t="s">
        <v>260</v>
      </c>
      <c r="F15" s="103" t="s">
        <v>183</v>
      </c>
      <c r="G15" s="61" t="s">
        <v>27</v>
      </c>
      <c r="H15" s="64"/>
      <c r="I15" s="66">
        <v>45630</v>
      </c>
      <c r="J15" s="76"/>
      <c r="K15" s="76"/>
      <c r="L15" s="76"/>
      <c r="M15" s="76"/>
      <c r="N15" s="76"/>
      <c r="O15" s="66" t="s">
        <v>144</v>
      </c>
      <c r="P15" s="76"/>
      <c r="Q15" s="71"/>
      <c r="R15" s="71"/>
      <c r="S15" s="71"/>
      <c r="T15" s="71"/>
      <c r="U15" s="71"/>
      <c r="V15" s="71"/>
      <c r="W15" s="71"/>
      <c r="X15" s="71"/>
    </row>
    <row r="16" spans="1:24" s="1" customFormat="1" ht="26.4" x14ac:dyDescent="0.25">
      <c r="A16" s="69" t="str">
        <f>'Scenario Test'!$A$12</f>
        <v>DPT_CIS</v>
      </c>
      <c r="B16" s="70" t="str">
        <f>VLOOKUP(TestCase!A16,'Scenario Test'!$A$4:$B$125,2,0)</f>
        <v>DPT_CIS: 11801: Cheque book issued</v>
      </c>
      <c r="C16" s="64" t="s">
        <v>145</v>
      </c>
      <c r="D16" s="75"/>
      <c r="E16" s="110" t="s">
        <v>259</v>
      </c>
      <c r="F16" s="103" t="s">
        <v>183</v>
      </c>
      <c r="G16" s="61" t="s">
        <v>27</v>
      </c>
      <c r="H16" s="64"/>
      <c r="I16" s="66">
        <v>45630</v>
      </c>
      <c r="J16" s="67"/>
      <c r="K16" s="67"/>
      <c r="L16" s="67"/>
      <c r="M16" s="67"/>
      <c r="N16" s="67"/>
      <c r="O16" s="66" t="s">
        <v>144</v>
      </c>
      <c r="P16" s="64"/>
      <c r="Q16" s="63"/>
      <c r="R16" s="63"/>
      <c r="S16" s="63"/>
      <c r="T16" s="63"/>
      <c r="U16" s="63"/>
      <c r="V16" s="63"/>
      <c r="W16" s="63"/>
      <c r="X16" s="63"/>
    </row>
    <row r="17" spans="1:24" s="72" customFormat="1" ht="26.4" x14ac:dyDescent="0.25">
      <c r="A17" s="69" t="str">
        <f>'Scenario Test'!$A$12</f>
        <v>DPT_CIS</v>
      </c>
      <c r="B17" s="70" t="str">
        <f>VLOOKUP(TestCase!A17,'Scenario Test'!$A$4:$B$125,2,0)</f>
        <v>DPT_CIS: 11801: Cheque book issued</v>
      </c>
      <c r="C17" s="64" t="s">
        <v>146</v>
      </c>
      <c r="D17" s="75"/>
      <c r="E17" s="110" t="s">
        <v>258</v>
      </c>
      <c r="F17" s="103" t="s">
        <v>183</v>
      </c>
      <c r="G17" s="61" t="s">
        <v>27</v>
      </c>
      <c r="H17" s="64"/>
      <c r="I17" s="66">
        <v>45630</v>
      </c>
      <c r="J17" s="76"/>
      <c r="K17" s="76"/>
      <c r="L17" s="76"/>
      <c r="M17" s="76"/>
      <c r="N17" s="76"/>
      <c r="O17" s="66" t="s">
        <v>144</v>
      </c>
      <c r="P17" s="76"/>
      <c r="Q17" s="71"/>
      <c r="R17" s="71"/>
      <c r="S17" s="71"/>
      <c r="T17" s="71"/>
      <c r="U17" s="71"/>
      <c r="V17" s="71"/>
      <c r="W17" s="71"/>
      <c r="X17" s="71"/>
    </row>
    <row r="18" spans="1:24" s="72" customFormat="1" ht="26.4" x14ac:dyDescent="0.25">
      <c r="A18" s="69" t="str">
        <f>'Scenario Test'!$A$12</f>
        <v>DPT_CIS</v>
      </c>
      <c r="B18" s="70" t="str">
        <f>VLOOKUP(TestCase!A18,'Scenario Test'!$A$4:$B$125,2,0)</f>
        <v>DPT_CIS: 11801: Cheque book issued</v>
      </c>
      <c r="C18" s="64" t="s">
        <v>147</v>
      </c>
      <c r="D18" s="75"/>
      <c r="E18" s="110" t="s">
        <v>257</v>
      </c>
      <c r="F18" s="103" t="s">
        <v>183</v>
      </c>
      <c r="G18" s="61" t="s">
        <v>27</v>
      </c>
      <c r="H18" s="64"/>
      <c r="I18" s="66">
        <v>45630</v>
      </c>
      <c r="J18" s="76"/>
      <c r="K18" s="76"/>
      <c r="L18" s="76"/>
      <c r="M18" s="76"/>
      <c r="N18" s="76"/>
      <c r="O18" s="66" t="s">
        <v>144</v>
      </c>
      <c r="P18" s="76"/>
      <c r="Q18" s="71"/>
      <c r="R18" s="71"/>
      <c r="S18" s="71"/>
      <c r="T18" s="71"/>
      <c r="U18" s="71"/>
      <c r="V18" s="71"/>
      <c r="W18" s="71"/>
      <c r="X18" s="71"/>
    </row>
    <row r="19" spans="1:24" s="72" customFormat="1" ht="26.4" x14ac:dyDescent="0.25">
      <c r="A19" s="69" t="str">
        <f>'Scenario Test'!$A$12</f>
        <v>DPT_CIS</v>
      </c>
      <c r="B19" s="70" t="str">
        <f>VLOOKUP(TestCase!A19,'Scenario Test'!$A$4:$B$125,2,0)</f>
        <v>DPT_CIS: 11801: Cheque book issued</v>
      </c>
      <c r="C19" s="64" t="s">
        <v>148</v>
      </c>
      <c r="D19" s="75"/>
      <c r="E19" s="110" t="s">
        <v>256</v>
      </c>
      <c r="F19" s="103" t="s">
        <v>183</v>
      </c>
      <c r="G19" s="61" t="s">
        <v>27</v>
      </c>
      <c r="H19" s="64"/>
      <c r="I19" s="66">
        <v>45630</v>
      </c>
      <c r="J19" s="76"/>
      <c r="K19" s="76"/>
      <c r="L19" s="76"/>
      <c r="M19" s="76"/>
      <c r="N19" s="76"/>
      <c r="O19" s="66" t="s">
        <v>144</v>
      </c>
      <c r="P19" s="76"/>
      <c r="Q19" s="71"/>
      <c r="R19" s="71"/>
      <c r="S19" s="71"/>
      <c r="T19" s="71"/>
      <c r="U19" s="71"/>
      <c r="V19" s="71"/>
      <c r="W19" s="71"/>
      <c r="X19" s="71"/>
    </row>
    <row r="20" spans="1:24" s="72" customFormat="1" ht="26.4" x14ac:dyDescent="0.25">
      <c r="A20" s="69" t="str">
        <f>'Scenario Test'!$A$12</f>
        <v>DPT_CIS</v>
      </c>
      <c r="B20" s="70" t="str">
        <f>VLOOKUP(TestCase!A20,'Scenario Test'!$A$4:$B$125,2,0)</f>
        <v>DPT_CIS: 11801: Cheque book issued</v>
      </c>
      <c r="C20" s="64" t="s">
        <v>149</v>
      </c>
      <c r="D20" s="75"/>
      <c r="E20" s="110" t="s">
        <v>255</v>
      </c>
      <c r="F20" s="103" t="s">
        <v>183</v>
      </c>
      <c r="G20" s="61" t="s">
        <v>27</v>
      </c>
      <c r="H20" s="64"/>
      <c r="I20" s="66">
        <v>45630</v>
      </c>
      <c r="J20" s="76"/>
      <c r="K20" s="76"/>
      <c r="L20" s="76"/>
      <c r="M20" s="76"/>
      <c r="N20" s="76"/>
      <c r="O20" s="66" t="s">
        <v>144</v>
      </c>
      <c r="P20" s="76"/>
      <c r="Q20" s="71"/>
      <c r="R20" s="71"/>
      <c r="S20" s="71"/>
      <c r="T20" s="71"/>
      <c r="U20" s="71"/>
      <c r="V20" s="71"/>
      <c r="W20" s="71"/>
      <c r="X20" s="71"/>
    </row>
    <row r="21" spans="1:24" s="78" customFormat="1" ht="118.8" x14ac:dyDescent="0.25">
      <c r="A21" s="69" t="str">
        <f>'Scenario Test'!$A$12</f>
        <v>DPT_CIS</v>
      </c>
      <c r="B21" s="70" t="str">
        <f>VLOOKUP(TestCase!A21,'Scenario Test'!$A$4:$B$125,2,0)</f>
        <v>DPT_CIS: 11801: Cheque book issued</v>
      </c>
      <c r="C21" s="64" t="s">
        <v>150</v>
      </c>
      <c r="D21" s="64"/>
      <c r="E21" s="65" t="s">
        <v>292</v>
      </c>
      <c r="F21" s="103" t="s">
        <v>183</v>
      </c>
      <c r="G21" s="61" t="s">
        <v>27</v>
      </c>
      <c r="H21" s="64"/>
      <c r="I21" s="66">
        <v>45630</v>
      </c>
      <c r="J21" s="67"/>
      <c r="K21" s="67"/>
      <c r="L21" s="67"/>
      <c r="M21" s="67"/>
      <c r="N21" s="67"/>
      <c r="O21" s="66" t="s">
        <v>144</v>
      </c>
      <c r="P21" s="64"/>
      <c r="Q21" s="63"/>
      <c r="R21" s="63"/>
      <c r="S21" s="63"/>
      <c r="T21" s="63"/>
      <c r="U21" s="63"/>
      <c r="V21" s="63"/>
      <c r="W21" s="63"/>
      <c r="X21" s="63"/>
    </row>
    <row r="22" spans="1:24" s="1" customFormat="1" ht="118.8" x14ac:dyDescent="0.25">
      <c r="A22" s="69" t="str">
        <f>'Scenario Test'!$A$12</f>
        <v>DPT_CIS</v>
      </c>
      <c r="B22" s="70" t="str">
        <f>VLOOKUP(TestCase!A22,'Scenario Test'!$A$4:$B$125,2,0)</f>
        <v>DPT_CIS: 11801: Cheque book issued</v>
      </c>
      <c r="C22" s="64" t="s">
        <v>151</v>
      </c>
      <c r="D22" s="64"/>
      <c r="E22" s="65" t="s">
        <v>293</v>
      </c>
      <c r="F22" s="103" t="s">
        <v>183</v>
      </c>
      <c r="G22" s="61" t="s">
        <v>27</v>
      </c>
      <c r="H22" s="64"/>
      <c r="I22" s="66">
        <v>45630</v>
      </c>
      <c r="J22" s="67"/>
      <c r="K22" s="67"/>
      <c r="L22" s="67"/>
      <c r="M22" s="67"/>
      <c r="N22" s="67"/>
      <c r="O22" s="66" t="s">
        <v>144</v>
      </c>
      <c r="P22" s="64"/>
      <c r="Q22" s="63"/>
      <c r="R22" s="63"/>
      <c r="S22" s="63"/>
      <c r="T22" s="63"/>
      <c r="U22" s="63"/>
      <c r="V22" s="63"/>
      <c r="W22" s="63"/>
      <c r="X22" s="63"/>
    </row>
    <row r="23" spans="1:24" s="1" customFormat="1" ht="118.8" x14ac:dyDescent="0.25">
      <c r="A23" s="69" t="str">
        <f>'Scenario Test'!$A$12</f>
        <v>DPT_CIS</v>
      </c>
      <c r="B23" s="70" t="str">
        <f>VLOOKUP(TestCase!A23,'Scenario Test'!$A$4:$B$125,2,0)</f>
        <v>DPT_CIS: 11801: Cheque book issued</v>
      </c>
      <c r="C23" s="64" t="s">
        <v>152</v>
      </c>
      <c r="D23" s="64"/>
      <c r="E23" s="65" t="s">
        <v>294</v>
      </c>
      <c r="F23" s="103" t="s">
        <v>183</v>
      </c>
      <c r="G23" s="61" t="s">
        <v>27</v>
      </c>
      <c r="H23" s="64"/>
      <c r="I23" s="66">
        <v>45630</v>
      </c>
      <c r="J23" s="67"/>
      <c r="K23" s="67"/>
      <c r="L23" s="67"/>
      <c r="M23" s="67"/>
      <c r="N23" s="67"/>
      <c r="O23" s="66" t="s">
        <v>144</v>
      </c>
      <c r="P23" s="64"/>
      <c r="Q23" s="63"/>
      <c r="R23" s="63"/>
      <c r="S23" s="63"/>
      <c r="T23" s="63"/>
      <c r="U23" s="63"/>
      <c r="V23" s="63"/>
      <c r="W23" s="63"/>
      <c r="X23" s="63"/>
    </row>
    <row r="24" spans="1:24" s="1" customFormat="1" ht="118.8" x14ac:dyDescent="0.25">
      <c r="A24" s="69" t="str">
        <f>'Scenario Test'!$A$12</f>
        <v>DPT_CIS</v>
      </c>
      <c r="B24" s="70" t="str">
        <f>VLOOKUP(TestCase!A24,'Scenario Test'!$A$4:$B$125,2,0)</f>
        <v>DPT_CIS: 11801: Cheque book issued</v>
      </c>
      <c r="C24" s="64" t="s">
        <v>264</v>
      </c>
      <c r="D24" s="64"/>
      <c r="E24" s="65" t="s">
        <v>295</v>
      </c>
      <c r="F24" s="103" t="s">
        <v>183</v>
      </c>
      <c r="G24" s="61" t="s">
        <v>27</v>
      </c>
      <c r="H24" s="64"/>
      <c r="I24" s="66">
        <v>45630</v>
      </c>
      <c r="J24" s="67"/>
      <c r="K24" s="67"/>
      <c r="L24" s="67"/>
      <c r="M24" s="67"/>
      <c r="N24" s="67"/>
      <c r="O24" s="66" t="s">
        <v>144</v>
      </c>
      <c r="P24" s="64"/>
      <c r="Q24" s="63"/>
      <c r="R24" s="63"/>
      <c r="S24" s="63"/>
      <c r="T24" s="63"/>
      <c r="U24" s="63"/>
      <c r="V24" s="63"/>
      <c r="W24" s="63"/>
      <c r="X24" s="63"/>
    </row>
    <row r="25" spans="1:24" s="1" customFormat="1" ht="118.8" x14ac:dyDescent="0.25">
      <c r="A25" s="69" t="str">
        <f>'Scenario Test'!$A$12</f>
        <v>DPT_CIS</v>
      </c>
      <c r="B25" s="70" t="str">
        <f>VLOOKUP(TestCase!A25,'Scenario Test'!$A$4:$B$125,2,0)</f>
        <v>DPT_CIS: 11801: Cheque book issued</v>
      </c>
      <c r="C25" s="64" t="s">
        <v>265</v>
      </c>
      <c r="D25" s="64"/>
      <c r="E25" s="65" t="s">
        <v>296</v>
      </c>
      <c r="F25" s="103" t="s">
        <v>183</v>
      </c>
      <c r="G25" s="61" t="s">
        <v>27</v>
      </c>
      <c r="H25" s="64"/>
      <c r="I25" s="66">
        <v>45630</v>
      </c>
      <c r="J25" s="67"/>
      <c r="K25" s="67"/>
      <c r="L25" s="67"/>
      <c r="M25" s="67"/>
      <c r="N25" s="67"/>
      <c r="O25" s="66" t="s">
        <v>144</v>
      </c>
      <c r="P25" s="64"/>
      <c r="Q25" s="63"/>
      <c r="R25" s="63"/>
      <c r="S25" s="63"/>
      <c r="T25" s="63"/>
      <c r="U25" s="63"/>
      <c r="V25" s="63"/>
      <c r="W25" s="63"/>
      <c r="X25" s="63"/>
    </row>
    <row r="26" spans="1:24" s="1" customFormat="1" ht="118.8" x14ac:dyDescent="0.25">
      <c r="A26" s="69" t="str">
        <f>'Scenario Test'!$A$12</f>
        <v>DPT_CIS</v>
      </c>
      <c r="B26" s="70" t="str">
        <f>VLOOKUP(TestCase!A26,'Scenario Test'!$A$4:$B$125,2,0)</f>
        <v>DPT_CIS: 11801: Cheque book issued</v>
      </c>
      <c r="C26" s="64" t="s">
        <v>266</v>
      </c>
      <c r="D26" s="64"/>
      <c r="E26" s="65" t="s">
        <v>297</v>
      </c>
      <c r="F26" s="103" t="s">
        <v>183</v>
      </c>
      <c r="G26" s="61" t="s">
        <v>27</v>
      </c>
      <c r="H26" s="64"/>
      <c r="I26" s="66">
        <v>45630</v>
      </c>
      <c r="J26" s="67"/>
      <c r="K26" s="67"/>
      <c r="L26" s="67"/>
      <c r="M26" s="67"/>
      <c r="N26" s="67"/>
      <c r="O26" s="66" t="s">
        <v>144</v>
      </c>
      <c r="P26" s="64"/>
      <c r="Q26" s="63"/>
      <c r="R26" s="63"/>
      <c r="S26" s="63"/>
      <c r="T26" s="63"/>
      <c r="U26" s="63"/>
      <c r="V26" s="63"/>
      <c r="W26" s="63"/>
      <c r="X26" s="63"/>
    </row>
    <row r="27" spans="1:24" s="1" customFormat="1" ht="118.8" x14ac:dyDescent="0.25">
      <c r="A27" s="69" t="str">
        <f>'Scenario Test'!$A$12</f>
        <v>DPT_CIS</v>
      </c>
      <c r="B27" s="70" t="str">
        <f>VLOOKUP(TestCase!A27,'Scenario Test'!$A$4:$B$125,2,0)</f>
        <v>DPT_CIS: 11801: Cheque book issued</v>
      </c>
      <c r="C27" s="64" t="s">
        <v>267</v>
      </c>
      <c r="D27" s="64"/>
      <c r="E27" s="65" t="s">
        <v>298</v>
      </c>
      <c r="F27" s="103" t="s">
        <v>183</v>
      </c>
      <c r="G27" s="61" t="s">
        <v>27</v>
      </c>
      <c r="H27" s="64"/>
      <c r="I27" s="66">
        <v>45630</v>
      </c>
      <c r="J27" s="77"/>
      <c r="K27" s="77"/>
      <c r="L27" s="77"/>
      <c r="M27" s="77"/>
      <c r="N27" s="60"/>
      <c r="O27" s="66" t="s">
        <v>144</v>
      </c>
      <c r="P27" s="64"/>
      <c r="Q27" s="63"/>
      <c r="R27" s="63"/>
      <c r="S27" s="63"/>
      <c r="T27" s="63"/>
      <c r="U27" s="63"/>
      <c r="V27" s="63"/>
      <c r="W27" s="63"/>
      <c r="X27" s="63"/>
    </row>
    <row r="28" spans="1:24" s="72" customFormat="1" ht="158.4" x14ac:dyDescent="0.25">
      <c r="A28" s="69" t="str">
        <f>'Scenario Test'!$A$12</f>
        <v>DPT_CIS</v>
      </c>
      <c r="B28" s="70" t="str">
        <f>VLOOKUP(TestCase!A28,'Scenario Test'!$A$4:$B$125,2,0)</f>
        <v>DPT_CIS: 11801: Cheque book issued</v>
      </c>
      <c r="C28" s="64" t="s">
        <v>494</v>
      </c>
      <c r="D28" s="75"/>
      <c r="E28" s="96" t="s">
        <v>299</v>
      </c>
      <c r="F28" s="103" t="s">
        <v>183</v>
      </c>
      <c r="G28" s="61" t="s">
        <v>27</v>
      </c>
      <c r="H28" s="64"/>
      <c r="I28" s="66">
        <v>45630</v>
      </c>
      <c r="J28" s="76"/>
      <c r="K28" s="76"/>
      <c r="L28" s="76"/>
      <c r="M28" s="76"/>
      <c r="N28" s="76"/>
      <c r="O28" s="66" t="s">
        <v>144</v>
      </c>
      <c r="P28" s="76"/>
      <c r="Q28" s="71"/>
      <c r="R28" s="71"/>
      <c r="S28" s="71"/>
      <c r="T28" s="71"/>
      <c r="U28" s="71"/>
      <c r="V28" s="71"/>
      <c r="W28" s="71"/>
      <c r="X28" s="71"/>
    </row>
    <row r="29" spans="1:24" s="72" customFormat="1" ht="198" x14ac:dyDescent="0.25">
      <c r="A29" s="69" t="str">
        <f>'Scenario Test'!$A$12</f>
        <v>DPT_CIS</v>
      </c>
      <c r="B29" s="70" t="str">
        <f>VLOOKUP(TestCase!A29,'Scenario Test'!$A$4:$B$125,2,0)</f>
        <v>DPT_CIS: 11801: Cheque book issued</v>
      </c>
      <c r="C29" s="64" t="s">
        <v>268</v>
      </c>
      <c r="D29" s="75"/>
      <c r="E29" s="96" t="s">
        <v>300</v>
      </c>
      <c r="F29" s="103" t="s">
        <v>183</v>
      </c>
      <c r="G29" s="61" t="s">
        <v>27</v>
      </c>
      <c r="H29" s="64"/>
      <c r="I29" s="66">
        <v>45630</v>
      </c>
      <c r="J29" s="76"/>
      <c r="K29" s="76"/>
      <c r="L29" s="76"/>
      <c r="M29" s="76"/>
      <c r="N29" s="76"/>
      <c r="O29" s="66" t="s">
        <v>144</v>
      </c>
      <c r="P29" s="76"/>
      <c r="Q29" s="71"/>
      <c r="R29" s="71"/>
      <c r="S29" s="71"/>
      <c r="T29" s="71"/>
      <c r="U29" s="71"/>
      <c r="V29" s="71"/>
      <c r="W29" s="71"/>
      <c r="X29" s="71"/>
    </row>
    <row r="30" spans="1:24" s="72" customFormat="1" ht="211.2" x14ac:dyDescent="0.25">
      <c r="A30" s="69" t="str">
        <f>'Scenario Test'!$A$12</f>
        <v>DPT_CIS</v>
      </c>
      <c r="B30" s="70" t="str">
        <f>VLOOKUP(TestCase!A30,'Scenario Test'!$A$4:$B$125,2,0)</f>
        <v>DPT_CIS: 11801: Cheque book issued</v>
      </c>
      <c r="C30" s="64" t="s">
        <v>269</v>
      </c>
      <c r="D30" s="75"/>
      <c r="E30" s="96" t="s">
        <v>301</v>
      </c>
      <c r="F30" s="103" t="s">
        <v>183</v>
      </c>
      <c r="G30" s="61" t="s">
        <v>27</v>
      </c>
      <c r="H30" s="64"/>
      <c r="I30" s="66">
        <v>45630</v>
      </c>
      <c r="J30" s="76"/>
      <c r="K30" s="76"/>
      <c r="L30" s="76"/>
      <c r="M30" s="76"/>
      <c r="N30" s="76"/>
      <c r="O30" s="66" t="s">
        <v>144</v>
      </c>
      <c r="P30" s="76"/>
      <c r="Q30" s="71"/>
      <c r="R30" s="71"/>
      <c r="S30" s="71"/>
      <c r="T30" s="71"/>
      <c r="U30" s="71"/>
      <c r="V30" s="71"/>
      <c r="W30" s="71"/>
      <c r="X30" s="71"/>
    </row>
    <row r="31" spans="1:24" s="72" customFormat="1" ht="211.2" x14ac:dyDescent="0.25">
      <c r="A31" s="69" t="str">
        <f>'Scenario Test'!$A$12</f>
        <v>DPT_CIS</v>
      </c>
      <c r="B31" s="70" t="str">
        <f>VLOOKUP(TestCase!A31,'Scenario Test'!$A$4:$B$125,2,0)</f>
        <v>DPT_CIS: 11801: Cheque book issued</v>
      </c>
      <c r="C31" s="64" t="s">
        <v>270</v>
      </c>
      <c r="D31" s="75"/>
      <c r="E31" s="96" t="s">
        <v>285</v>
      </c>
      <c r="F31" s="103" t="s">
        <v>183</v>
      </c>
      <c r="G31" s="61" t="s">
        <v>27</v>
      </c>
      <c r="H31" s="64"/>
      <c r="I31" s="66">
        <v>45630</v>
      </c>
      <c r="J31" s="76"/>
      <c r="K31" s="76"/>
      <c r="L31" s="76"/>
      <c r="M31" s="76"/>
      <c r="N31" s="76"/>
      <c r="O31" s="66" t="s">
        <v>144</v>
      </c>
      <c r="P31" s="76"/>
      <c r="Q31" s="71"/>
      <c r="R31" s="71"/>
      <c r="S31" s="71"/>
      <c r="T31" s="71"/>
      <c r="U31" s="71"/>
      <c r="V31" s="71"/>
      <c r="W31" s="71"/>
      <c r="X31" s="71"/>
    </row>
    <row r="32" spans="1:24" s="72" customFormat="1" ht="211.2" x14ac:dyDescent="0.25">
      <c r="A32" s="69" t="str">
        <f>'Scenario Test'!$A$12</f>
        <v>DPT_CIS</v>
      </c>
      <c r="B32" s="70" t="str">
        <f>VLOOKUP(TestCase!A32,'Scenario Test'!$A$4:$B$125,2,0)</f>
        <v>DPT_CIS: 11801: Cheque book issued</v>
      </c>
      <c r="C32" s="64" t="s">
        <v>271</v>
      </c>
      <c r="D32" s="75"/>
      <c r="E32" s="96" t="s">
        <v>302</v>
      </c>
      <c r="F32" s="103" t="s">
        <v>183</v>
      </c>
      <c r="G32" s="61" t="s">
        <v>27</v>
      </c>
      <c r="H32" s="64"/>
      <c r="I32" s="66">
        <v>45630</v>
      </c>
      <c r="J32" s="76"/>
      <c r="K32" s="76"/>
      <c r="L32" s="76"/>
      <c r="M32" s="76"/>
      <c r="N32" s="76"/>
      <c r="O32" s="66" t="s">
        <v>144</v>
      </c>
      <c r="P32" s="76"/>
      <c r="Q32" s="71"/>
      <c r="R32" s="71"/>
      <c r="S32" s="71"/>
      <c r="T32" s="71"/>
      <c r="U32" s="71"/>
      <c r="V32" s="71"/>
      <c r="W32" s="71"/>
      <c r="X32" s="71"/>
    </row>
    <row r="33" spans="1:24" s="72" customFormat="1" ht="211.2" x14ac:dyDescent="0.25">
      <c r="A33" s="69" t="str">
        <f>'Scenario Test'!$A$12</f>
        <v>DPT_CIS</v>
      </c>
      <c r="B33" s="70" t="str">
        <f>VLOOKUP(TestCase!A33,'Scenario Test'!$A$4:$B$125,2,0)</f>
        <v>DPT_CIS: 11801: Cheque book issued</v>
      </c>
      <c r="C33" s="64" t="s">
        <v>272</v>
      </c>
      <c r="D33" s="75"/>
      <c r="E33" s="96" t="s">
        <v>303</v>
      </c>
      <c r="F33" s="103" t="s">
        <v>183</v>
      </c>
      <c r="G33" s="61" t="s">
        <v>27</v>
      </c>
      <c r="H33" s="64"/>
      <c r="I33" s="66">
        <v>45630</v>
      </c>
      <c r="J33" s="76"/>
      <c r="K33" s="76"/>
      <c r="L33" s="76"/>
      <c r="M33" s="76"/>
      <c r="N33" s="76"/>
      <c r="O33" s="66" t="s">
        <v>144</v>
      </c>
      <c r="P33" s="76"/>
      <c r="Q33" s="71"/>
      <c r="R33" s="71"/>
      <c r="S33" s="71"/>
      <c r="T33" s="71"/>
      <c r="U33" s="71"/>
      <c r="V33" s="71"/>
      <c r="W33" s="71"/>
      <c r="X33" s="71"/>
    </row>
    <row r="34" spans="1:24" s="72" customFormat="1" ht="224.4" x14ac:dyDescent="0.25">
      <c r="A34" s="69" t="str">
        <f>'Scenario Test'!$A$12</f>
        <v>DPT_CIS</v>
      </c>
      <c r="B34" s="70" t="str">
        <f>VLOOKUP(TestCase!A34,'Scenario Test'!$A$4:$B$125,2,0)</f>
        <v>DPT_CIS: 11801: Cheque book issued</v>
      </c>
      <c r="C34" s="64" t="s">
        <v>273</v>
      </c>
      <c r="D34" s="75"/>
      <c r="E34" s="96" t="s">
        <v>304</v>
      </c>
      <c r="F34" s="103" t="s">
        <v>183</v>
      </c>
      <c r="G34" s="61" t="s">
        <v>27</v>
      </c>
      <c r="H34" s="64"/>
      <c r="I34" s="66">
        <v>45630</v>
      </c>
      <c r="J34" s="76"/>
      <c r="K34" s="76"/>
      <c r="L34" s="76"/>
      <c r="M34" s="76"/>
      <c r="N34" s="76"/>
      <c r="O34" s="66" t="s">
        <v>144</v>
      </c>
      <c r="P34" s="76"/>
      <c r="Q34" s="71"/>
      <c r="R34" s="71"/>
      <c r="S34" s="71"/>
      <c r="T34" s="71"/>
      <c r="U34" s="71"/>
      <c r="V34" s="71"/>
      <c r="W34" s="71"/>
      <c r="X34" s="71"/>
    </row>
    <row r="35" spans="1:24" s="72" customFormat="1" ht="224.4" x14ac:dyDescent="0.25">
      <c r="A35" s="69" t="str">
        <f>'Scenario Test'!$A$12</f>
        <v>DPT_CIS</v>
      </c>
      <c r="B35" s="70" t="str">
        <f>VLOOKUP(TestCase!A35,'Scenario Test'!$A$4:$B$125,2,0)</f>
        <v>DPT_CIS: 11801: Cheque book issued</v>
      </c>
      <c r="C35" s="64" t="s">
        <v>274</v>
      </c>
      <c r="D35" s="75"/>
      <c r="E35" s="96" t="s">
        <v>305</v>
      </c>
      <c r="F35" s="103" t="s">
        <v>183</v>
      </c>
      <c r="G35" s="61" t="s">
        <v>27</v>
      </c>
      <c r="H35" s="64"/>
      <c r="I35" s="66">
        <v>45630</v>
      </c>
      <c r="J35" s="76"/>
      <c r="K35" s="76"/>
      <c r="L35" s="76"/>
      <c r="M35" s="76"/>
      <c r="N35" s="76"/>
      <c r="O35" s="66" t="s">
        <v>144</v>
      </c>
      <c r="P35" s="76"/>
      <c r="Q35" s="71"/>
      <c r="R35" s="71"/>
      <c r="S35" s="71"/>
      <c r="T35" s="71"/>
      <c r="U35" s="71"/>
      <c r="V35" s="71"/>
      <c r="W35" s="71"/>
      <c r="X35" s="71"/>
    </row>
    <row r="36" spans="1:24" s="72" customFormat="1" ht="224.4" x14ac:dyDescent="0.25">
      <c r="A36" s="69" t="str">
        <f>'Scenario Test'!$A$12</f>
        <v>DPT_CIS</v>
      </c>
      <c r="B36" s="70" t="str">
        <f>VLOOKUP(TestCase!A36,'Scenario Test'!$A$4:$B$125,2,0)</f>
        <v>DPT_CIS: 11801: Cheque book issued</v>
      </c>
      <c r="C36" s="64" t="s">
        <v>275</v>
      </c>
      <c r="D36" s="75"/>
      <c r="E36" s="96" t="s">
        <v>306</v>
      </c>
      <c r="F36" s="103" t="s">
        <v>183</v>
      </c>
      <c r="G36" s="61" t="s">
        <v>27</v>
      </c>
      <c r="H36" s="64"/>
      <c r="I36" s="66">
        <v>45630</v>
      </c>
      <c r="J36" s="76"/>
      <c r="K36" s="76"/>
      <c r="L36" s="76"/>
      <c r="M36" s="76"/>
      <c r="N36" s="76"/>
      <c r="O36" s="66" t="s">
        <v>144</v>
      </c>
      <c r="P36" s="76"/>
      <c r="Q36" s="71"/>
      <c r="R36" s="71"/>
      <c r="S36" s="71"/>
      <c r="T36" s="71"/>
      <c r="U36" s="71"/>
      <c r="V36" s="71"/>
      <c r="W36" s="71"/>
      <c r="X36" s="71"/>
    </row>
    <row r="37" spans="1:24" s="72" customFormat="1" ht="224.4" x14ac:dyDescent="0.25">
      <c r="A37" s="69" t="str">
        <f>'Scenario Test'!$A$12</f>
        <v>DPT_CIS</v>
      </c>
      <c r="B37" s="70" t="str">
        <f>VLOOKUP(TestCase!A37,'Scenario Test'!$A$4:$B$125,2,0)</f>
        <v>DPT_CIS: 11801: Cheque book issued</v>
      </c>
      <c r="C37" s="64" t="s">
        <v>276</v>
      </c>
      <c r="D37" s="75"/>
      <c r="E37" s="96" t="s">
        <v>307</v>
      </c>
      <c r="F37" s="103" t="s">
        <v>183</v>
      </c>
      <c r="G37" s="61" t="s">
        <v>27</v>
      </c>
      <c r="H37" s="64"/>
      <c r="I37" s="66">
        <v>45630</v>
      </c>
      <c r="J37" s="76"/>
      <c r="K37" s="76"/>
      <c r="L37" s="76"/>
      <c r="M37" s="76"/>
      <c r="N37" s="76"/>
      <c r="O37" s="66" t="s">
        <v>144</v>
      </c>
      <c r="P37" s="76"/>
      <c r="Q37" s="71"/>
      <c r="R37" s="71"/>
      <c r="S37" s="71"/>
      <c r="T37" s="71"/>
      <c r="U37" s="71"/>
      <c r="V37" s="71"/>
      <c r="W37" s="71"/>
      <c r="X37" s="71"/>
    </row>
    <row r="38" spans="1:24" s="72" customFormat="1" ht="224.4" x14ac:dyDescent="0.25">
      <c r="A38" s="69" t="str">
        <f>'Scenario Test'!$A$12</f>
        <v>DPT_CIS</v>
      </c>
      <c r="B38" s="70" t="str">
        <f>VLOOKUP(TestCase!A38,'Scenario Test'!$A$4:$B$125,2,0)</f>
        <v>DPT_CIS: 11801: Cheque book issued</v>
      </c>
      <c r="C38" s="64" t="s">
        <v>277</v>
      </c>
      <c r="D38" s="75"/>
      <c r="E38" s="96" t="s">
        <v>308</v>
      </c>
      <c r="F38" s="103" t="s">
        <v>183</v>
      </c>
      <c r="G38" s="61" t="s">
        <v>27</v>
      </c>
      <c r="H38" s="64"/>
      <c r="I38" s="66">
        <v>45630</v>
      </c>
      <c r="J38" s="76"/>
      <c r="K38" s="76"/>
      <c r="L38" s="76"/>
      <c r="M38" s="76"/>
      <c r="N38" s="76"/>
      <c r="O38" s="66" t="s">
        <v>144</v>
      </c>
      <c r="P38" s="76"/>
      <c r="Q38" s="71"/>
      <c r="R38" s="71"/>
      <c r="S38" s="71"/>
      <c r="T38" s="71"/>
      <c r="U38" s="71"/>
      <c r="V38" s="71"/>
      <c r="W38" s="71"/>
      <c r="X38" s="71"/>
    </row>
    <row r="39" spans="1:24" s="72" customFormat="1" ht="224.4" x14ac:dyDescent="0.25">
      <c r="A39" s="69" t="str">
        <f>'Scenario Test'!$A$12</f>
        <v>DPT_CIS</v>
      </c>
      <c r="B39" s="70" t="str">
        <f>VLOOKUP(TestCase!A39,'Scenario Test'!$A$4:$B$125,2,0)</f>
        <v>DPT_CIS: 11801: Cheque book issued</v>
      </c>
      <c r="C39" s="64" t="s">
        <v>278</v>
      </c>
      <c r="D39" s="75"/>
      <c r="E39" s="96" t="s">
        <v>309</v>
      </c>
      <c r="F39" s="103" t="s">
        <v>183</v>
      </c>
      <c r="G39" s="61" t="s">
        <v>27</v>
      </c>
      <c r="H39" s="64"/>
      <c r="I39" s="66">
        <v>45630</v>
      </c>
      <c r="J39" s="76"/>
      <c r="K39" s="76"/>
      <c r="L39" s="76"/>
      <c r="M39" s="76"/>
      <c r="N39" s="76"/>
      <c r="O39" s="66" t="s">
        <v>144</v>
      </c>
      <c r="P39" s="76"/>
      <c r="Q39" s="71"/>
      <c r="R39" s="71"/>
      <c r="S39" s="71"/>
      <c r="T39" s="71"/>
      <c r="U39" s="71"/>
      <c r="V39" s="71"/>
      <c r="W39" s="71"/>
      <c r="X39" s="71"/>
    </row>
    <row r="40" spans="1:24" s="72" customFormat="1" ht="369.6" x14ac:dyDescent="0.25">
      <c r="A40" s="69" t="str">
        <f>'Scenario Test'!$A$12</f>
        <v>DPT_CIS</v>
      </c>
      <c r="B40" s="70" t="str">
        <f>VLOOKUP(TestCase!A40,'Scenario Test'!$A$4:$B$125,2,0)</f>
        <v>DPT_CIS: 11801: Cheque book issued</v>
      </c>
      <c r="C40" s="64" t="s">
        <v>279</v>
      </c>
      <c r="D40" s="75"/>
      <c r="E40" s="96" t="s">
        <v>310</v>
      </c>
      <c r="F40" s="103" t="s">
        <v>183</v>
      </c>
      <c r="G40" s="61" t="s">
        <v>27</v>
      </c>
      <c r="H40" s="64"/>
      <c r="I40" s="66">
        <v>45630</v>
      </c>
      <c r="J40" s="76"/>
      <c r="K40" s="76"/>
      <c r="L40" s="76"/>
      <c r="M40" s="76"/>
      <c r="N40" s="76"/>
      <c r="O40" s="66" t="s">
        <v>144</v>
      </c>
      <c r="P40" s="76"/>
      <c r="Q40" s="71"/>
      <c r="R40" s="71"/>
      <c r="S40" s="71"/>
      <c r="T40" s="71"/>
      <c r="U40" s="71"/>
      <c r="V40" s="71"/>
      <c r="W40" s="71"/>
      <c r="X40" s="71"/>
    </row>
    <row r="41" spans="1:24" s="72" customFormat="1" ht="369.6" x14ac:dyDescent="0.25">
      <c r="A41" s="69" t="str">
        <f>'Scenario Test'!$A$12</f>
        <v>DPT_CIS</v>
      </c>
      <c r="B41" s="70" t="str">
        <f>VLOOKUP(TestCase!A41,'Scenario Test'!$A$4:$B$125,2,0)</f>
        <v>DPT_CIS: 11801: Cheque book issued</v>
      </c>
      <c r="C41" s="64" t="s">
        <v>280</v>
      </c>
      <c r="D41" s="75"/>
      <c r="E41" s="96" t="s">
        <v>311</v>
      </c>
      <c r="F41" s="103" t="s">
        <v>183</v>
      </c>
      <c r="G41" s="61" t="s">
        <v>27</v>
      </c>
      <c r="H41" s="64"/>
      <c r="I41" s="66">
        <v>45630</v>
      </c>
      <c r="J41" s="76"/>
      <c r="K41" s="76"/>
      <c r="L41" s="76"/>
      <c r="M41" s="76"/>
      <c r="N41" s="76"/>
      <c r="O41" s="66" t="s">
        <v>144</v>
      </c>
      <c r="P41" s="76"/>
      <c r="Q41" s="71"/>
      <c r="R41" s="71"/>
      <c r="S41" s="71"/>
      <c r="T41" s="71"/>
      <c r="U41" s="71"/>
      <c r="V41" s="71"/>
      <c r="W41" s="71"/>
      <c r="X41" s="71"/>
    </row>
    <row r="42" spans="1:24" s="72" customFormat="1" ht="264" x14ac:dyDescent="0.25">
      <c r="A42" s="69" t="str">
        <f>'Scenario Test'!$A$12</f>
        <v>DPT_CIS</v>
      </c>
      <c r="B42" s="70" t="str">
        <f>VLOOKUP(TestCase!A42,'Scenario Test'!$A$4:$B$125,2,0)</f>
        <v>DPT_CIS: 11801: Cheque book issued</v>
      </c>
      <c r="C42" s="64" t="s">
        <v>281</v>
      </c>
      <c r="D42" s="75"/>
      <c r="E42" s="96" t="s">
        <v>313</v>
      </c>
      <c r="F42" s="103" t="s">
        <v>183</v>
      </c>
      <c r="G42" s="61" t="s">
        <v>27</v>
      </c>
      <c r="H42" s="64"/>
      <c r="I42" s="66">
        <v>45630</v>
      </c>
      <c r="J42" s="76"/>
      <c r="K42" s="76"/>
      <c r="L42" s="76"/>
      <c r="M42" s="76"/>
      <c r="N42" s="76"/>
      <c r="O42" s="66" t="s">
        <v>144</v>
      </c>
      <c r="P42" s="76"/>
      <c r="Q42" s="71"/>
      <c r="R42" s="71"/>
      <c r="S42" s="71"/>
      <c r="T42" s="71"/>
      <c r="U42" s="71"/>
      <c r="V42" s="71"/>
      <c r="W42" s="71"/>
      <c r="X42" s="71"/>
    </row>
    <row r="43" spans="1:24" s="72" customFormat="1" ht="369.6" x14ac:dyDescent="0.25">
      <c r="A43" s="69" t="str">
        <f>'Scenario Test'!$A$12</f>
        <v>DPT_CIS</v>
      </c>
      <c r="B43" s="70" t="str">
        <f>VLOOKUP(TestCase!A43,'Scenario Test'!$A$4:$B$125,2,0)</f>
        <v>DPT_CIS: 11801: Cheque book issued</v>
      </c>
      <c r="C43" s="64" t="s">
        <v>282</v>
      </c>
      <c r="D43" s="75"/>
      <c r="E43" s="96" t="s">
        <v>312</v>
      </c>
      <c r="F43" s="103" t="s">
        <v>183</v>
      </c>
      <c r="G43" s="61" t="s">
        <v>27</v>
      </c>
      <c r="H43" s="64"/>
      <c r="I43" s="66">
        <v>45630</v>
      </c>
      <c r="J43" s="76"/>
      <c r="K43" s="76"/>
      <c r="L43" s="76"/>
      <c r="M43" s="76"/>
      <c r="N43" s="76"/>
      <c r="O43" s="66" t="s">
        <v>144</v>
      </c>
      <c r="P43" s="76"/>
      <c r="Q43" s="71"/>
      <c r="R43" s="71"/>
      <c r="S43" s="71"/>
      <c r="T43" s="71"/>
      <c r="U43" s="71"/>
      <c r="V43" s="71"/>
      <c r="W43" s="71"/>
      <c r="X43" s="71"/>
    </row>
    <row r="44" spans="1:24" s="1" customFormat="1" ht="13.2" x14ac:dyDescent="0.25">
      <c r="A44" s="69" t="str">
        <f>'Scenario Test'!$A$12</f>
        <v>DPT_CIS</v>
      </c>
      <c r="B44" s="70" t="str">
        <f>VLOOKUP(TestCase!A44,'Scenario Test'!$A$4:$B$125,2,0)</f>
        <v>DPT_CIS: 11801: Cheque book issued</v>
      </c>
      <c r="C44" s="64" t="s">
        <v>283</v>
      </c>
      <c r="D44" s="64"/>
      <c r="E44" s="110" t="s">
        <v>184</v>
      </c>
      <c r="F44" s="103" t="s">
        <v>185</v>
      </c>
      <c r="G44" s="61" t="s">
        <v>27</v>
      </c>
      <c r="H44" s="64"/>
      <c r="I44" s="66">
        <v>45630</v>
      </c>
      <c r="J44" s="67"/>
      <c r="K44" s="67"/>
      <c r="L44" s="67"/>
      <c r="M44" s="67"/>
      <c r="N44" s="67"/>
      <c r="O44" s="66" t="s">
        <v>144</v>
      </c>
      <c r="P44" s="64"/>
      <c r="Q44" s="63"/>
      <c r="R44" s="63"/>
      <c r="S44" s="63"/>
      <c r="T44" s="63"/>
      <c r="U44" s="63"/>
      <c r="V44" s="63"/>
      <c r="W44" s="63"/>
      <c r="X44" s="63"/>
    </row>
    <row r="45" spans="1:24" s="68" customFormat="1" ht="13.2" x14ac:dyDescent="0.25">
      <c r="A45" s="105" t="str">
        <f>'Scenario Test'!$A$13</f>
        <v>DPT_SBI</v>
      </c>
      <c r="B45" s="106" t="str">
        <f>VLOOKUP(TestCase!A45,'Scenario Test'!$A$4:$B$125,2,0)</f>
        <v>DPT_SBI: 11802: Deposit saving book issued</v>
      </c>
      <c r="C45" s="107"/>
      <c r="D45" s="107"/>
      <c r="E45" s="108"/>
      <c r="F45" s="107"/>
      <c r="G45" s="107"/>
      <c r="H45" s="107"/>
      <c r="I45" s="109"/>
      <c r="J45" s="109"/>
      <c r="K45" s="109"/>
      <c r="L45" s="109"/>
      <c r="M45" s="109"/>
      <c r="N45" s="109"/>
      <c r="O45" s="109"/>
      <c r="P45" s="109"/>
      <c r="Q45" s="1"/>
      <c r="R45" s="1"/>
      <c r="S45" s="1"/>
      <c r="T45" s="1"/>
      <c r="U45" s="1"/>
      <c r="V45" s="1"/>
      <c r="W45" s="1"/>
      <c r="X45" s="1"/>
    </row>
    <row r="46" spans="1:24" s="72" customFormat="1" ht="198" x14ac:dyDescent="0.25">
      <c r="A46" s="69" t="str">
        <f>'Scenario Test'!$A$13</f>
        <v>DPT_SBI</v>
      </c>
      <c r="B46" s="70" t="str">
        <f>VLOOKUP(TestCase!A46,'Scenario Test'!$A$4:$B$125,2,0)</f>
        <v>DPT_SBI: 11802: Deposit saving book issued</v>
      </c>
      <c r="C46" s="64" t="s">
        <v>83</v>
      </c>
      <c r="D46" s="75"/>
      <c r="E46" s="95" t="s">
        <v>314</v>
      </c>
      <c r="F46" s="94" t="s">
        <v>188</v>
      </c>
      <c r="G46" s="61" t="s">
        <v>27</v>
      </c>
      <c r="H46" s="64"/>
      <c r="I46" s="66">
        <v>45630</v>
      </c>
      <c r="J46" s="76"/>
      <c r="K46" s="76"/>
      <c r="L46" s="76"/>
      <c r="M46" s="76"/>
      <c r="N46" s="76"/>
      <c r="O46" s="66" t="s">
        <v>144</v>
      </c>
      <c r="P46" s="76"/>
      <c r="Q46" s="71"/>
      <c r="R46" s="71"/>
      <c r="S46" s="71"/>
      <c r="T46" s="71"/>
      <c r="U46" s="71"/>
      <c r="V46" s="71"/>
      <c r="W46" s="71"/>
      <c r="X46" s="71"/>
    </row>
    <row r="47" spans="1:24" s="72" customFormat="1" ht="198" x14ac:dyDescent="0.25">
      <c r="A47" s="69" t="str">
        <f>'Scenario Test'!$A$13</f>
        <v>DPT_SBI</v>
      </c>
      <c r="B47" s="70" t="str">
        <f>VLOOKUP(TestCase!A47,'Scenario Test'!$A$4:$B$125,2,0)</f>
        <v>DPT_SBI: 11802: Deposit saving book issued</v>
      </c>
      <c r="C47" s="64" t="s">
        <v>84</v>
      </c>
      <c r="D47" s="75"/>
      <c r="E47" s="95" t="s">
        <v>315</v>
      </c>
      <c r="F47" s="94" t="s">
        <v>188</v>
      </c>
      <c r="G47" s="61" t="s">
        <v>27</v>
      </c>
      <c r="H47" s="64" t="s">
        <v>480</v>
      </c>
      <c r="I47" s="66">
        <v>45630</v>
      </c>
      <c r="J47" s="76"/>
      <c r="K47" s="76"/>
      <c r="L47" s="76"/>
      <c r="M47" s="76"/>
      <c r="N47" s="76"/>
      <c r="O47" s="66" t="s">
        <v>144</v>
      </c>
      <c r="P47" s="76"/>
      <c r="Q47" s="71"/>
      <c r="R47" s="71"/>
      <c r="S47" s="71"/>
      <c r="T47" s="71"/>
      <c r="U47" s="71"/>
      <c r="V47" s="71"/>
      <c r="W47" s="71"/>
      <c r="X47" s="71"/>
    </row>
    <row r="48" spans="1:24" s="72" customFormat="1" ht="237.6" x14ac:dyDescent="0.25">
      <c r="A48" s="69" t="str">
        <f>'Scenario Test'!$A$13</f>
        <v>DPT_SBI</v>
      </c>
      <c r="B48" s="70" t="str">
        <f>VLOOKUP(TestCase!A48,'Scenario Test'!$A$4:$B$125,2,0)</f>
        <v>DPT_SBI: 11802: Deposit saving book issued</v>
      </c>
      <c r="C48" s="64" t="s">
        <v>85</v>
      </c>
      <c r="D48" s="79"/>
      <c r="E48" s="95" t="s">
        <v>323</v>
      </c>
      <c r="F48" s="94" t="s">
        <v>189</v>
      </c>
      <c r="G48" s="144" t="s">
        <v>27</v>
      </c>
      <c r="H48" s="75"/>
      <c r="I48" s="66">
        <v>45630</v>
      </c>
      <c r="J48" s="76"/>
      <c r="K48" s="76"/>
      <c r="L48" s="76"/>
      <c r="M48" s="76"/>
      <c r="N48" s="76"/>
      <c r="O48" s="76" t="s">
        <v>144</v>
      </c>
      <c r="P48" s="76"/>
      <c r="Q48" s="71"/>
      <c r="R48" s="71"/>
      <c r="S48" s="71"/>
      <c r="T48" s="71"/>
      <c r="U48" s="71"/>
      <c r="V48" s="71"/>
      <c r="W48" s="71"/>
      <c r="X48" s="71"/>
    </row>
    <row r="49" spans="1:24" s="1" customFormat="1" ht="277.2" x14ac:dyDescent="0.25">
      <c r="A49" s="69" t="str">
        <f>'Scenario Test'!$A$13</f>
        <v>DPT_SBI</v>
      </c>
      <c r="B49" s="70" t="str">
        <f>VLOOKUP(TestCase!A49,'Scenario Test'!$A$4:$B$125,2,0)</f>
        <v>DPT_SBI: 11802: Deposit saving book issued</v>
      </c>
      <c r="C49" s="64" t="s">
        <v>86</v>
      </c>
      <c r="D49" s="64"/>
      <c r="E49" s="95" t="s">
        <v>334</v>
      </c>
      <c r="F49" s="94" t="s">
        <v>190</v>
      </c>
      <c r="G49" s="61" t="s">
        <v>27</v>
      </c>
      <c r="H49" s="64"/>
      <c r="I49" s="66">
        <v>45630</v>
      </c>
      <c r="J49" s="67"/>
      <c r="K49" s="67"/>
      <c r="L49" s="67"/>
      <c r="M49" s="67"/>
      <c r="N49" s="67"/>
      <c r="O49" s="66" t="s">
        <v>144</v>
      </c>
      <c r="P49" s="64"/>
      <c r="Q49" s="63"/>
      <c r="R49" s="63"/>
      <c r="S49" s="63"/>
      <c r="T49" s="63"/>
      <c r="U49" s="63"/>
      <c r="V49" s="63"/>
      <c r="W49" s="63"/>
      <c r="X49" s="63"/>
    </row>
    <row r="50" spans="1:24" s="1" customFormat="1" ht="290.39999999999998" x14ac:dyDescent="0.25">
      <c r="A50" s="69" t="str">
        <f>'Scenario Test'!$A$13</f>
        <v>DPT_SBI</v>
      </c>
      <c r="B50" s="70" t="str">
        <f>VLOOKUP(TestCase!A50,'Scenario Test'!$A$4:$B$125,2,0)</f>
        <v>DPT_SBI: 11802: Deposit saving book issued</v>
      </c>
      <c r="C50" s="64" t="s">
        <v>87</v>
      </c>
      <c r="D50" s="64"/>
      <c r="E50" s="95" t="s">
        <v>335</v>
      </c>
      <c r="F50" s="94" t="s">
        <v>190</v>
      </c>
      <c r="G50" s="61" t="s">
        <v>27</v>
      </c>
      <c r="H50" s="64"/>
      <c r="I50" s="66">
        <v>45630</v>
      </c>
      <c r="J50" s="67"/>
      <c r="K50" s="67"/>
      <c r="L50" s="67"/>
      <c r="M50" s="67"/>
      <c r="N50" s="67"/>
      <c r="O50" s="66" t="s">
        <v>144</v>
      </c>
      <c r="P50" s="64"/>
      <c r="Q50" s="63"/>
      <c r="R50" s="63"/>
      <c r="S50" s="63"/>
      <c r="T50" s="63"/>
      <c r="U50" s="63"/>
      <c r="V50" s="63"/>
      <c r="W50" s="63"/>
      <c r="X50" s="63"/>
    </row>
    <row r="51" spans="1:24" s="1" customFormat="1" ht="303.60000000000002" x14ac:dyDescent="0.25">
      <c r="A51" s="69" t="str">
        <f>'Scenario Test'!$A$13</f>
        <v>DPT_SBI</v>
      </c>
      <c r="B51" s="70" t="str">
        <f>VLOOKUP(TestCase!A51,'Scenario Test'!$A$4:$B$125,2,0)</f>
        <v>DPT_SBI: 11802: Deposit saving book issued</v>
      </c>
      <c r="C51" s="64" t="s">
        <v>324</v>
      </c>
      <c r="D51" s="64"/>
      <c r="E51" s="95" t="s">
        <v>486</v>
      </c>
      <c r="F51" s="94" t="s">
        <v>190</v>
      </c>
      <c r="G51" s="61" t="s">
        <v>27</v>
      </c>
      <c r="H51" s="64"/>
      <c r="I51" s="66">
        <v>45630</v>
      </c>
      <c r="J51" s="67"/>
      <c r="K51" s="67"/>
      <c r="L51" s="67"/>
      <c r="M51" s="67"/>
      <c r="N51" s="67"/>
      <c r="O51" s="66" t="s">
        <v>144</v>
      </c>
      <c r="P51" s="64"/>
      <c r="Q51" s="63"/>
      <c r="R51" s="63"/>
      <c r="S51" s="63"/>
      <c r="T51" s="63"/>
      <c r="U51" s="63"/>
      <c r="V51" s="63"/>
      <c r="W51" s="63"/>
      <c r="X51" s="63"/>
    </row>
    <row r="52" spans="1:24" s="1" customFormat="1" ht="26.4" x14ac:dyDescent="0.25">
      <c r="A52" s="69" t="str">
        <f>'Scenario Test'!$A$13</f>
        <v>DPT_SBI</v>
      </c>
      <c r="B52" s="70" t="str">
        <f>VLOOKUP(TestCase!A52,'Scenario Test'!$A$4:$B$125,2,0)</f>
        <v>DPT_SBI: 11802: Deposit saving book issued</v>
      </c>
      <c r="C52" s="64" t="s">
        <v>325</v>
      </c>
      <c r="D52" s="75"/>
      <c r="E52" s="110" t="s">
        <v>261</v>
      </c>
      <c r="F52" s="103" t="s">
        <v>183</v>
      </c>
      <c r="G52" s="61" t="s">
        <v>27</v>
      </c>
      <c r="H52" s="64"/>
      <c r="I52" s="66">
        <v>45630</v>
      </c>
      <c r="J52" s="67"/>
      <c r="K52" s="67"/>
      <c r="L52" s="67"/>
      <c r="M52" s="67"/>
      <c r="N52" s="67"/>
      <c r="O52" s="66" t="s">
        <v>144</v>
      </c>
      <c r="P52" s="64"/>
      <c r="Q52" s="63"/>
      <c r="R52" s="63"/>
      <c r="S52" s="63"/>
      <c r="T52" s="63"/>
      <c r="U52" s="63"/>
      <c r="V52" s="63"/>
      <c r="W52" s="63"/>
      <c r="X52" s="63"/>
    </row>
    <row r="53" spans="1:24" s="72" customFormat="1" ht="26.4" x14ac:dyDescent="0.25">
      <c r="A53" s="69" t="str">
        <f>'Scenario Test'!$A$13</f>
        <v>DPT_SBI</v>
      </c>
      <c r="B53" s="70" t="str">
        <f>VLOOKUP(TestCase!A53,'Scenario Test'!$A$4:$B$125,2,0)</f>
        <v>DPT_SBI: 11802: Deposit saving book issued</v>
      </c>
      <c r="C53" s="64" t="s">
        <v>326</v>
      </c>
      <c r="D53" s="75"/>
      <c r="E53" s="110" t="s">
        <v>260</v>
      </c>
      <c r="F53" s="103" t="s">
        <v>183</v>
      </c>
      <c r="G53" s="61" t="s">
        <v>27</v>
      </c>
      <c r="H53" s="64"/>
      <c r="I53" s="66">
        <v>45630</v>
      </c>
      <c r="J53" s="76"/>
      <c r="K53" s="76"/>
      <c r="L53" s="76"/>
      <c r="M53" s="76"/>
      <c r="N53" s="76"/>
      <c r="O53" s="66" t="s">
        <v>144</v>
      </c>
      <c r="P53" s="76"/>
      <c r="Q53" s="71"/>
      <c r="R53" s="71"/>
      <c r="S53" s="71"/>
      <c r="T53" s="71"/>
      <c r="U53" s="71"/>
      <c r="V53" s="71"/>
      <c r="W53" s="71"/>
      <c r="X53" s="71"/>
    </row>
    <row r="54" spans="1:24" s="1" customFormat="1" ht="26.4" x14ac:dyDescent="0.25">
      <c r="A54" s="69" t="str">
        <f>'Scenario Test'!$A$13</f>
        <v>DPT_SBI</v>
      </c>
      <c r="B54" s="70" t="str">
        <f>VLOOKUP(TestCase!A54,'Scenario Test'!$A$4:$B$125,2,0)</f>
        <v>DPT_SBI: 11802: Deposit saving book issued</v>
      </c>
      <c r="C54" s="64" t="s">
        <v>327</v>
      </c>
      <c r="D54" s="75"/>
      <c r="E54" s="110" t="s">
        <v>262</v>
      </c>
      <c r="F54" s="103" t="s">
        <v>183</v>
      </c>
      <c r="G54" s="61" t="s">
        <v>27</v>
      </c>
      <c r="H54" s="64"/>
      <c r="I54" s="66">
        <v>45630</v>
      </c>
      <c r="J54" s="67"/>
      <c r="K54" s="67"/>
      <c r="L54" s="67"/>
      <c r="M54" s="67"/>
      <c r="N54" s="67"/>
      <c r="O54" s="66" t="s">
        <v>144</v>
      </c>
      <c r="P54" s="64"/>
      <c r="Q54" s="63"/>
      <c r="R54" s="63"/>
      <c r="S54" s="63"/>
      <c r="T54" s="63"/>
      <c r="U54" s="63"/>
      <c r="V54" s="63"/>
      <c r="W54" s="63"/>
      <c r="X54" s="63"/>
    </row>
    <row r="55" spans="1:24" s="72" customFormat="1" ht="26.4" x14ac:dyDescent="0.25">
      <c r="A55" s="69" t="str">
        <f>'Scenario Test'!$A$13</f>
        <v>DPT_SBI</v>
      </c>
      <c r="B55" s="70" t="str">
        <f>VLOOKUP(TestCase!A55,'Scenario Test'!$A$4:$B$125,2,0)</f>
        <v>DPT_SBI: 11802: Deposit saving book issued</v>
      </c>
      <c r="C55" s="64" t="s">
        <v>328</v>
      </c>
      <c r="D55" s="75"/>
      <c r="E55" s="110" t="s">
        <v>263</v>
      </c>
      <c r="F55" s="103" t="s">
        <v>183</v>
      </c>
      <c r="G55" s="61" t="s">
        <v>27</v>
      </c>
      <c r="H55" s="64"/>
      <c r="I55" s="66">
        <v>45630</v>
      </c>
      <c r="J55" s="76"/>
      <c r="K55" s="76"/>
      <c r="L55" s="76"/>
      <c r="M55" s="76"/>
      <c r="N55" s="76"/>
      <c r="O55" s="66" t="s">
        <v>144</v>
      </c>
      <c r="P55" s="76"/>
      <c r="Q55" s="71"/>
      <c r="R55" s="71"/>
      <c r="S55" s="71"/>
      <c r="T55" s="71"/>
      <c r="U55" s="71"/>
      <c r="V55" s="71"/>
      <c r="W55" s="71"/>
      <c r="X55" s="71"/>
    </row>
    <row r="56" spans="1:24" s="1" customFormat="1" ht="132" x14ac:dyDescent="0.25">
      <c r="A56" s="69" t="str">
        <f>'Scenario Test'!$A$13</f>
        <v>DPT_SBI</v>
      </c>
      <c r="B56" s="70" t="str">
        <f>VLOOKUP(TestCase!A56,'Scenario Test'!$A$4:$B$125,2,0)</f>
        <v>DPT_SBI: 11802: Deposit saving book issued</v>
      </c>
      <c r="C56" s="64" t="s">
        <v>329</v>
      </c>
      <c r="D56" s="64"/>
      <c r="E56" s="95" t="s">
        <v>316</v>
      </c>
      <c r="F56" s="103" t="s">
        <v>183</v>
      </c>
      <c r="G56" s="61" t="s">
        <v>27</v>
      </c>
      <c r="H56" s="64"/>
      <c r="I56" s="66">
        <v>45630</v>
      </c>
      <c r="J56" s="77"/>
      <c r="K56" s="77"/>
      <c r="L56" s="77"/>
      <c r="M56" s="77"/>
      <c r="N56" s="60"/>
      <c r="O56" s="66" t="s">
        <v>144</v>
      </c>
      <c r="P56" s="64"/>
      <c r="Q56" s="63"/>
      <c r="R56" s="63"/>
      <c r="S56" s="63"/>
      <c r="T56" s="63"/>
      <c r="U56" s="63"/>
      <c r="V56" s="63"/>
      <c r="W56" s="63"/>
      <c r="X56" s="63"/>
    </row>
    <row r="57" spans="1:24" s="1" customFormat="1" ht="132" x14ac:dyDescent="0.25">
      <c r="A57" s="69" t="str">
        <f>'Scenario Test'!$A$13</f>
        <v>DPT_SBI</v>
      </c>
      <c r="B57" s="70" t="str">
        <f>VLOOKUP(TestCase!A57,'Scenario Test'!$A$4:$B$125,2,0)</f>
        <v>DPT_SBI: 11802: Deposit saving book issued</v>
      </c>
      <c r="C57" s="64" t="s">
        <v>330</v>
      </c>
      <c r="D57" s="64"/>
      <c r="E57" s="95" t="s">
        <v>317</v>
      </c>
      <c r="F57" s="103" t="s">
        <v>183</v>
      </c>
      <c r="G57" s="61" t="s">
        <v>27</v>
      </c>
      <c r="H57" s="64"/>
      <c r="I57" s="66">
        <v>45630</v>
      </c>
      <c r="J57" s="77"/>
      <c r="K57" s="77"/>
      <c r="L57" s="77"/>
      <c r="M57" s="77"/>
      <c r="N57" s="60"/>
      <c r="O57" s="66" t="s">
        <v>144</v>
      </c>
      <c r="P57" s="64"/>
      <c r="Q57" s="63"/>
      <c r="R57" s="63"/>
      <c r="S57" s="63"/>
      <c r="T57" s="63"/>
      <c r="U57" s="63"/>
      <c r="V57" s="63"/>
      <c r="W57" s="63"/>
      <c r="X57" s="63"/>
    </row>
    <row r="58" spans="1:24" s="1" customFormat="1" ht="132" x14ac:dyDescent="0.25">
      <c r="A58" s="69" t="str">
        <f>'Scenario Test'!$A$13</f>
        <v>DPT_SBI</v>
      </c>
      <c r="B58" s="70" t="str">
        <f>VLOOKUP(TestCase!A58,'Scenario Test'!$A$4:$B$125,2,0)</f>
        <v>DPT_SBI: 11802: Deposit saving book issued</v>
      </c>
      <c r="C58" s="64" t="s">
        <v>153</v>
      </c>
      <c r="D58" s="64"/>
      <c r="E58" s="95" t="s">
        <v>318</v>
      </c>
      <c r="F58" s="103" t="s">
        <v>183</v>
      </c>
      <c r="G58" s="61" t="s">
        <v>27</v>
      </c>
      <c r="H58" s="64"/>
      <c r="I58" s="66">
        <v>45630</v>
      </c>
      <c r="J58" s="77"/>
      <c r="K58" s="77"/>
      <c r="L58" s="77"/>
      <c r="M58" s="77"/>
      <c r="N58" s="60"/>
      <c r="O58" s="66" t="s">
        <v>144</v>
      </c>
      <c r="P58" s="64"/>
      <c r="Q58" s="63"/>
      <c r="R58" s="63"/>
      <c r="S58" s="63"/>
      <c r="T58" s="63"/>
      <c r="U58" s="63"/>
      <c r="V58" s="63"/>
      <c r="W58" s="63"/>
      <c r="X58" s="63"/>
    </row>
    <row r="59" spans="1:24" s="1" customFormat="1" ht="132" x14ac:dyDescent="0.25">
      <c r="A59" s="69" t="str">
        <f>'Scenario Test'!$A$13</f>
        <v>DPT_SBI</v>
      </c>
      <c r="B59" s="70" t="str">
        <f>VLOOKUP(TestCase!A59,'Scenario Test'!$A$4:$B$125,2,0)</f>
        <v>DPT_SBI: 11802: Deposit saving book issued</v>
      </c>
      <c r="C59" s="64" t="s">
        <v>154</v>
      </c>
      <c r="D59" s="64"/>
      <c r="E59" s="95" t="s">
        <v>319</v>
      </c>
      <c r="F59" s="103" t="s">
        <v>183</v>
      </c>
      <c r="G59" s="61" t="s">
        <v>27</v>
      </c>
      <c r="H59" s="64"/>
      <c r="I59" s="66">
        <v>45630</v>
      </c>
      <c r="J59" s="77"/>
      <c r="K59" s="77"/>
      <c r="L59" s="77"/>
      <c r="M59" s="77"/>
      <c r="N59" s="60"/>
      <c r="O59" s="66" t="s">
        <v>144</v>
      </c>
      <c r="P59" s="64"/>
      <c r="Q59" s="63"/>
      <c r="R59" s="63"/>
      <c r="S59" s="63"/>
      <c r="T59" s="63"/>
      <c r="U59" s="63"/>
      <c r="V59" s="63"/>
      <c r="W59" s="63"/>
      <c r="X59" s="63"/>
    </row>
    <row r="60" spans="1:24" s="1" customFormat="1" ht="198" x14ac:dyDescent="0.25">
      <c r="A60" s="69" t="str">
        <f>'Scenario Test'!$A$13</f>
        <v>DPT_SBI</v>
      </c>
      <c r="B60" s="70" t="str">
        <f>VLOOKUP(TestCase!A60,'Scenario Test'!$A$4:$B$125,2,0)</f>
        <v>DPT_SBI: 11802: Deposit saving book issued</v>
      </c>
      <c r="C60" s="64" t="s">
        <v>155</v>
      </c>
      <c r="D60" s="64"/>
      <c r="E60" s="95" t="s">
        <v>479</v>
      </c>
      <c r="F60" s="103" t="s">
        <v>183</v>
      </c>
      <c r="G60" s="61" t="s">
        <v>27</v>
      </c>
      <c r="H60" s="64" t="s">
        <v>493</v>
      </c>
      <c r="I60" s="66">
        <v>45630</v>
      </c>
      <c r="J60" s="77"/>
      <c r="K60" s="77"/>
      <c r="L60" s="77"/>
      <c r="M60" s="77"/>
      <c r="N60" s="60"/>
      <c r="O60" s="66" t="s">
        <v>144</v>
      </c>
      <c r="P60" s="64"/>
      <c r="Q60" s="63"/>
      <c r="R60" s="63"/>
      <c r="S60" s="63"/>
      <c r="T60" s="63"/>
      <c r="U60" s="63"/>
      <c r="V60" s="63"/>
      <c r="W60" s="63"/>
      <c r="X60" s="63"/>
    </row>
    <row r="61" spans="1:24" s="1" customFormat="1" ht="132" x14ac:dyDescent="0.25">
      <c r="A61" s="69" t="str">
        <f>'Scenario Test'!$A$13</f>
        <v>DPT_SBI</v>
      </c>
      <c r="B61" s="70" t="str">
        <f>VLOOKUP(TestCase!A61,'Scenario Test'!$A$4:$B$125,2,0)</f>
        <v>DPT_SBI: 11802: Deposit saving book issued</v>
      </c>
      <c r="C61" s="64" t="s">
        <v>156</v>
      </c>
      <c r="D61" s="64"/>
      <c r="E61" s="95" t="s">
        <v>320</v>
      </c>
      <c r="F61" s="103" t="s">
        <v>183</v>
      </c>
      <c r="G61" s="61" t="s">
        <v>27</v>
      </c>
      <c r="H61" s="64"/>
      <c r="I61" s="66">
        <v>45630</v>
      </c>
      <c r="J61" s="77"/>
      <c r="K61" s="77"/>
      <c r="L61" s="77"/>
      <c r="M61" s="77"/>
      <c r="N61" s="60"/>
      <c r="O61" s="66" t="s">
        <v>144</v>
      </c>
      <c r="P61" s="64"/>
      <c r="Q61" s="63"/>
      <c r="R61" s="63"/>
      <c r="S61" s="63"/>
      <c r="T61" s="63"/>
      <c r="U61" s="63"/>
      <c r="V61" s="63"/>
      <c r="W61" s="63"/>
      <c r="X61" s="63"/>
    </row>
    <row r="62" spans="1:24" s="1" customFormat="1" ht="132" x14ac:dyDescent="0.25">
      <c r="A62" s="69" t="str">
        <f>'Scenario Test'!$A$13</f>
        <v>DPT_SBI</v>
      </c>
      <c r="B62" s="70" t="str">
        <f>VLOOKUP(TestCase!A62,'Scenario Test'!$A$4:$B$125,2,0)</f>
        <v>DPT_SBI: 11802: Deposit saving book issued</v>
      </c>
      <c r="C62" s="64" t="s">
        <v>157</v>
      </c>
      <c r="D62" s="64"/>
      <c r="E62" s="95" t="s">
        <v>321</v>
      </c>
      <c r="F62" s="103" t="s">
        <v>183</v>
      </c>
      <c r="G62" s="61" t="s">
        <v>27</v>
      </c>
      <c r="H62" s="64"/>
      <c r="I62" s="66">
        <v>45630</v>
      </c>
      <c r="J62" s="77"/>
      <c r="K62" s="77"/>
      <c r="L62" s="77"/>
      <c r="M62" s="77"/>
      <c r="N62" s="60"/>
      <c r="O62" s="66" t="s">
        <v>144</v>
      </c>
      <c r="P62" s="64"/>
      <c r="Q62" s="63"/>
      <c r="R62" s="63"/>
      <c r="S62" s="63"/>
      <c r="T62" s="63"/>
      <c r="U62" s="63"/>
      <c r="V62" s="63"/>
      <c r="W62" s="63"/>
      <c r="X62" s="63"/>
    </row>
    <row r="63" spans="1:24" s="1" customFormat="1" ht="132" x14ac:dyDescent="0.25">
      <c r="A63" s="69" t="str">
        <f>'Scenario Test'!$A$13</f>
        <v>DPT_SBI</v>
      </c>
      <c r="B63" s="70" t="str">
        <f>VLOOKUP(TestCase!A63,'Scenario Test'!$A$4:$B$125,2,0)</f>
        <v>DPT_SBI: 11802: Deposit saving book issued</v>
      </c>
      <c r="C63" s="64" t="s">
        <v>158</v>
      </c>
      <c r="D63" s="64"/>
      <c r="E63" s="95" t="s">
        <v>322</v>
      </c>
      <c r="F63" s="103" t="s">
        <v>183</v>
      </c>
      <c r="G63" s="61" t="s">
        <v>27</v>
      </c>
      <c r="H63" s="64"/>
      <c r="I63" s="66">
        <v>45630</v>
      </c>
      <c r="J63" s="77"/>
      <c r="K63" s="77"/>
      <c r="L63" s="77"/>
      <c r="M63" s="77"/>
      <c r="N63" s="60"/>
      <c r="O63" s="66" t="s">
        <v>144</v>
      </c>
      <c r="P63" s="64"/>
      <c r="Q63" s="63"/>
      <c r="R63" s="63"/>
      <c r="S63" s="63"/>
      <c r="T63" s="63"/>
      <c r="U63" s="63"/>
      <c r="V63" s="63"/>
      <c r="W63" s="63"/>
      <c r="X63" s="63"/>
    </row>
    <row r="64" spans="1:24" s="72" customFormat="1" ht="158.4" x14ac:dyDescent="0.25">
      <c r="A64" s="69" t="str">
        <f>'Scenario Test'!$A$13</f>
        <v>DPT_SBI</v>
      </c>
      <c r="B64" s="70" t="str">
        <f>VLOOKUP(TestCase!A64,'Scenario Test'!$A$4:$B$125,2,0)</f>
        <v>DPT_SBI: 11802: Deposit saving book issued</v>
      </c>
      <c r="C64" s="64" t="s">
        <v>159</v>
      </c>
      <c r="D64" s="79"/>
      <c r="E64" s="95" t="s">
        <v>341</v>
      </c>
      <c r="F64" s="103" t="s">
        <v>183</v>
      </c>
      <c r="G64" s="61" t="s">
        <v>27</v>
      </c>
      <c r="H64" s="75"/>
      <c r="I64" s="66">
        <v>45630</v>
      </c>
      <c r="J64" s="76"/>
      <c r="K64" s="76"/>
      <c r="L64" s="76"/>
      <c r="M64" s="76"/>
      <c r="N64" s="76"/>
      <c r="O64" s="76" t="s">
        <v>144</v>
      </c>
      <c r="P64" s="76"/>
      <c r="Q64" s="71"/>
      <c r="R64" s="71"/>
      <c r="S64" s="71"/>
      <c r="T64" s="71"/>
      <c r="U64" s="71"/>
      <c r="V64" s="71"/>
      <c r="W64" s="71"/>
      <c r="X64" s="71"/>
    </row>
    <row r="65" spans="1:24" s="1" customFormat="1" ht="198" x14ac:dyDescent="0.25">
      <c r="A65" s="69" t="str">
        <f>'Scenario Test'!$A$13</f>
        <v>DPT_SBI</v>
      </c>
      <c r="B65" s="70" t="str">
        <f>VLOOKUP(TestCase!A65,'Scenario Test'!$A$4:$B$125,2,0)</f>
        <v>DPT_SBI: 11802: Deposit saving book issued</v>
      </c>
      <c r="C65" s="64" t="s">
        <v>191</v>
      </c>
      <c r="D65" s="64"/>
      <c r="E65" s="95" t="s">
        <v>339</v>
      </c>
      <c r="F65" s="103" t="s">
        <v>183</v>
      </c>
      <c r="G65" s="61" t="s">
        <v>27</v>
      </c>
      <c r="H65" s="64"/>
      <c r="I65" s="66">
        <v>45630</v>
      </c>
      <c r="J65" s="77"/>
      <c r="K65" s="77"/>
      <c r="L65" s="77"/>
      <c r="M65" s="77"/>
      <c r="N65" s="60"/>
      <c r="O65" s="66" t="s">
        <v>144</v>
      </c>
      <c r="P65" s="64"/>
      <c r="Q65" s="63"/>
      <c r="R65" s="63"/>
      <c r="S65" s="63"/>
      <c r="T65" s="63"/>
      <c r="U65" s="63"/>
      <c r="V65" s="63"/>
      <c r="W65" s="63"/>
      <c r="X65" s="63"/>
    </row>
    <row r="66" spans="1:24" s="1" customFormat="1" ht="224.4" x14ac:dyDescent="0.25">
      <c r="A66" s="69" t="str">
        <f>'Scenario Test'!$A$13</f>
        <v>DPT_SBI</v>
      </c>
      <c r="B66" s="70" t="str">
        <f>VLOOKUP(TestCase!A66,'Scenario Test'!$A$4:$B$125,2,0)</f>
        <v>DPT_SBI: 11802: Deposit saving book issued</v>
      </c>
      <c r="C66" s="64" t="s">
        <v>331</v>
      </c>
      <c r="D66" s="64"/>
      <c r="E66" s="95" t="s">
        <v>336</v>
      </c>
      <c r="F66" s="103" t="s">
        <v>183</v>
      </c>
      <c r="G66" s="61" t="s">
        <v>27</v>
      </c>
      <c r="H66" s="64"/>
      <c r="I66" s="66">
        <v>45630</v>
      </c>
      <c r="J66" s="77"/>
      <c r="K66" s="77"/>
      <c r="L66" s="77"/>
      <c r="M66" s="77"/>
      <c r="N66" s="60"/>
      <c r="O66" s="66" t="s">
        <v>144</v>
      </c>
      <c r="P66" s="64"/>
      <c r="Q66" s="63"/>
      <c r="R66" s="63"/>
      <c r="S66" s="63"/>
      <c r="T66" s="63"/>
      <c r="U66" s="63"/>
      <c r="V66" s="63"/>
      <c r="W66" s="63"/>
      <c r="X66" s="63"/>
    </row>
    <row r="67" spans="1:24" s="1" customFormat="1" ht="198" x14ac:dyDescent="0.25">
      <c r="A67" s="69" t="str">
        <f>'Scenario Test'!$A$13</f>
        <v>DPT_SBI</v>
      </c>
      <c r="B67" s="70" t="str">
        <f>VLOOKUP(TestCase!A67,'Scenario Test'!$A$4:$B$125,2,0)</f>
        <v>DPT_SBI: 11802: Deposit saving book issued</v>
      </c>
      <c r="C67" s="64" t="s">
        <v>192</v>
      </c>
      <c r="D67" s="64"/>
      <c r="E67" s="95" t="s">
        <v>338</v>
      </c>
      <c r="F67" s="103" t="s">
        <v>183</v>
      </c>
      <c r="G67" s="61" t="s">
        <v>27</v>
      </c>
      <c r="H67" s="64"/>
      <c r="I67" s="66">
        <v>45630</v>
      </c>
      <c r="J67" s="77"/>
      <c r="K67" s="77"/>
      <c r="L67" s="77"/>
      <c r="M67" s="77"/>
      <c r="N67" s="60"/>
      <c r="O67" s="66" t="s">
        <v>144</v>
      </c>
      <c r="P67" s="64"/>
      <c r="Q67" s="63"/>
      <c r="R67" s="63"/>
      <c r="S67" s="63"/>
      <c r="T67" s="63"/>
      <c r="U67" s="63"/>
      <c r="V67" s="63"/>
      <c r="W67" s="63"/>
      <c r="X67" s="63"/>
    </row>
    <row r="68" spans="1:24" s="1" customFormat="1" ht="198" x14ac:dyDescent="0.25">
      <c r="A68" s="69" t="str">
        <f>'Scenario Test'!$A$13</f>
        <v>DPT_SBI</v>
      </c>
      <c r="B68" s="70" t="str">
        <f>VLOOKUP(TestCase!A68,'Scenario Test'!$A$4:$B$125,2,0)</f>
        <v>DPT_SBI: 11802: Deposit saving book issued</v>
      </c>
      <c r="C68" s="64" t="s">
        <v>193</v>
      </c>
      <c r="D68" s="64"/>
      <c r="E68" s="95" t="s">
        <v>337</v>
      </c>
      <c r="F68" s="103" t="s">
        <v>183</v>
      </c>
      <c r="G68" s="61" t="s">
        <v>27</v>
      </c>
      <c r="H68" s="64"/>
      <c r="I68" s="66">
        <v>45630</v>
      </c>
      <c r="J68" s="77"/>
      <c r="K68" s="77"/>
      <c r="L68" s="77"/>
      <c r="M68" s="77"/>
      <c r="N68" s="60"/>
      <c r="O68" s="66" t="s">
        <v>144</v>
      </c>
      <c r="P68" s="64"/>
      <c r="Q68" s="63"/>
      <c r="R68" s="63"/>
      <c r="S68" s="63"/>
      <c r="T68" s="63"/>
      <c r="U68" s="63"/>
      <c r="V68" s="63"/>
      <c r="W68" s="63"/>
      <c r="X68" s="63"/>
    </row>
    <row r="69" spans="1:24" s="1" customFormat="1" ht="224.4" x14ac:dyDescent="0.25">
      <c r="A69" s="69" t="str">
        <f>'Scenario Test'!$A$13</f>
        <v>DPT_SBI</v>
      </c>
      <c r="B69" s="70" t="str">
        <f>VLOOKUP(TestCase!A69,'Scenario Test'!$A$4:$B$125,2,0)</f>
        <v>DPT_SBI: 11802: Deposit saving book issued</v>
      </c>
      <c r="C69" s="64" t="s">
        <v>194</v>
      </c>
      <c r="D69" s="64"/>
      <c r="E69" s="95" t="s">
        <v>487</v>
      </c>
      <c r="F69" s="103" t="s">
        <v>183</v>
      </c>
      <c r="G69" s="61" t="s">
        <v>27</v>
      </c>
      <c r="H69" s="64" t="s">
        <v>493</v>
      </c>
      <c r="I69" s="66">
        <v>45630</v>
      </c>
      <c r="J69" s="77"/>
      <c r="K69" s="77"/>
      <c r="L69" s="77"/>
      <c r="M69" s="77"/>
      <c r="N69" s="60"/>
      <c r="O69" s="66" t="s">
        <v>144</v>
      </c>
      <c r="P69" s="64"/>
      <c r="Q69" s="63"/>
      <c r="R69" s="63"/>
      <c r="S69" s="63"/>
      <c r="T69" s="63"/>
      <c r="U69" s="63"/>
      <c r="V69" s="63"/>
      <c r="W69" s="63"/>
      <c r="X69" s="63"/>
    </row>
    <row r="70" spans="1:24" s="1" customFormat="1" ht="224.4" x14ac:dyDescent="0.25">
      <c r="A70" s="69" t="str">
        <f>'Scenario Test'!$A$13</f>
        <v>DPT_SBI</v>
      </c>
      <c r="B70" s="70" t="str">
        <f>VLOOKUP(TestCase!A70,'Scenario Test'!$A$4:$B$125,2,0)</f>
        <v>DPT_SBI: 11802: Deposit saving book issued</v>
      </c>
      <c r="C70" s="64" t="s">
        <v>195</v>
      </c>
      <c r="D70" s="64"/>
      <c r="E70" s="95" t="s">
        <v>488</v>
      </c>
      <c r="F70" s="103" t="s">
        <v>183</v>
      </c>
      <c r="G70" s="61" t="s">
        <v>27</v>
      </c>
      <c r="H70" s="64"/>
      <c r="I70" s="66">
        <v>45630</v>
      </c>
      <c r="J70" s="77"/>
      <c r="K70" s="77"/>
      <c r="L70" s="77"/>
      <c r="M70" s="77"/>
      <c r="N70" s="60"/>
      <c r="O70" s="66" t="s">
        <v>144</v>
      </c>
      <c r="P70" s="64"/>
      <c r="Q70" s="63"/>
      <c r="R70" s="63"/>
      <c r="S70" s="63"/>
      <c r="T70" s="63"/>
      <c r="U70" s="63"/>
      <c r="V70" s="63"/>
      <c r="W70" s="63"/>
      <c r="X70" s="63"/>
    </row>
    <row r="71" spans="1:24" s="1" customFormat="1" ht="224.4" x14ac:dyDescent="0.25">
      <c r="A71" s="69" t="str">
        <f>'Scenario Test'!$A$13</f>
        <v>DPT_SBI</v>
      </c>
      <c r="B71" s="70" t="str">
        <f>VLOOKUP(TestCase!A71,'Scenario Test'!$A$4:$B$125,2,0)</f>
        <v>DPT_SBI: 11802: Deposit saving book issued</v>
      </c>
      <c r="C71" s="64" t="s">
        <v>196</v>
      </c>
      <c r="D71" s="64"/>
      <c r="E71" s="95" t="s">
        <v>489</v>
      </c>
      <c r="F71" s="103" t="s">
        <v>183</v>
      </c>
      <c r="G71" s="61" t="s">
        <v>27</v>
      </c>
      <c r="H71" s="64"/>
      <c r="I71" s="66">
        <v>45630</v>
      </c>
      <c r="J71" s="77"/>
      <c r="K71" s="77"/>
      <c r="L71" s="77"/>
      <c r="M71" s="77"/>
      <c r="N71" s="60"/>
      <c r="O71" s="66" t="s">
        <v>144</v>
      </c>
      <c r="P71" s="64"/>
      <c r="Q71" s="63"/>
      <c r="R71" s="63"/>
      <c r="S71" s="63"/>
      <c r="T71" s="63"/>
      <c r="U71" s="63"/>
      <c r="V71" s="63"/>
      <c r="W71" s="63"/>
      <c r="X71" s="63"/>
    </row>
    <row r="72" spans="1:24" s="1" customFormat="1" ht="224.4" x14ac:dyDescent="0.25">
      <c r="A72" s="69" t="str">
        <f>'Scenario Test'!$A$13</f>
        <v>DPT_SBI</v>
      </c>
      <c r="B72" s="70" t="str">
        <f>VLOOKUP(TestCase!A72,'Scenario Test'!$A$4:$B$125,2,0)</f>
        <v>DPT_SBI: 11802: Deposit saving book issued</v>
      </c>
      <c r="C72" s="64" t="s">
        <v>332</v>
      </c>
      <c r="D72" s="64"/>
      <c r="E72" s="95" t="s">
        <v>490</v>
      </c>
      <c r="F72" s="103" t="s">
        <v>183</v>
      </c>
      <c r="G72" s="61" t="s">
        <v>27</v>
      </c>
      <c r="H72" s="64"/>
      <c r="I72" s="66">
        <v>45630</v>
      </c>
      <c r="J72" s="77"/>
      <c r="K72" s="77"/>
      <c r="L72" s="77"/>
      <c r="M72" s="77"/>
      <c r="N72" s="60"/>
      <c r="O72" s="66" t="s">
        <v>144</v>
      </c>
      <c r="P72" s="64"/>
      <c r="Q72" s="63"/>
      <c r="R72" s="63"/>
      <c r="S72" s="63"/>
      <c r="T72" s="63"/>
      <c r="U72" s="63"/>
      <c r="V72" s="63"/>
      <c r="W72" s="63"/>
      <c r="X72" s="63"/>
    </row>
    <row r="73" spans="1:24" s="1" customFormat="1" ht="224.4" x14ac:dyDescent="0.25">
      <c r="A73" s="69" t="str">
        <f>'Scenario Test'!$A$13</f>
        <v>DPT_SBI</v>
      </c>
      <c r="B73" s="70" t="str">
        <f>VLOOKUP(TestCase!A73,'Scenario Test'!$A$4:$B$125,2,0)</f>
        <v>DPT_SBI: 11802: Deposit saving book issued</v>
      </c>
      <c r="C73" s="64" t="s">
        <v>333</v>
      </c>
      <c r="D73" s="64"/>
      <c r="E73" s="95" t="s">
        <v>491</v>
      </c>
      <c r="F73" s="103" t="s">
        <v>183</v>
      </c>
      <c r="G73" s="61" t="s">
        <v>27</v>
      </c>
      <c r="H73" s="64"/>
      <c r="I73" s="66">
        <v>45630</v>
      </c>
      <c r="J73" s="77"/>
      <c r="K73" s="77"/>
      <c r="L73" s="77"/>
      <c r="M73" s="77"/>
      <c r="N73" s="77"/>
      <c r="O73" s="66" t="s">
        <v>144</v>
      </c>
      <c r="P73" s="64"/>
      <c r="Q73" s="63"/>
      <c r="R73" s="63"/>
      <c r="S73" s="63"/>
      <c r="T73" s="63"/>
      <c r="U73" s="63"/>
      <c r="V73" s="63"/>
      <c r="W73" s="63"/>
      <c r="X73" s="63"/>
    </row>
    <row r="74" spans="1:24" s="1" customFormat="1" ht="224.4" x14ac:dyDescent="0.25">
      <c r="A74" s="69" t="str">
        <f>'Scenario Test'!$A$13</f>
        <v>DPT_SBI</v>
      </c>
      <c r="B74" s="70" t="str">
        <f>VLOOKUP(TestCase!A74,'Scenario Test'!$A$4:$B$125,2,0)</f>
        <v>DPT_SBI: 11802: Deposit saving book issued</v>
      </c>
      <c r="C74" s="64" t="s">
        <v>197</v>
      </c>
      <c r="D74" s="64"/>
      <c r="E74" s="95" t="s">
        <v>492</v>
      </c>
      <c r="F74" s="103" t="s">
        <v>183</v>
      </c>
      <c r="G74" s="61" t="s">
        <v>27</v>
      </c>
      <c r="H74" s="64"/>
      <c r="I74" s="66">
        <v>45630</v>
      </c>
      <c r="J74" s="77"/>
      <c r="K74" s="77"/>
      <c r="L74" s="77"/>
      <c r="M74" s="77"/>
      <c r="N74" s="77"/>
      <c r="O74" s="66" t="s">
        <v>144</v>
      </c>
      <c r="P74" s="64"/>
      <c r="Q74" s="63"/>
      <c r="R74" s="63"/>
      <c r="S74" s="63"/>
      <c r="T74" s="63"/>
      <c r="U74" s="63"/>
      <c r="V74" s="63"/>
      <c r="W74" s="63"/>
      <c r="X74" s="63"/>
    </row>
    <row r="75" spans="1:24" s="1" customFormat="1" ht="26.4" x14ac:dyDescent="0.25">
      <c r="A75" s="69" t="str">
        <f>'Scenario Test'!$A$13</f>
        <v>DPT_SBI</v>
      </c>
      <c r="B75" s="70" t="str">
        <f>VLOOKUP(TestCase!A75,'Scenario Test'!$A$4:$B$125,2,0)</f>
        <v>DPT_SBI: 11802: Deposit saving book issued</v>
      </c>
      <c r="C75" s="64" t="s">
        <v>340</v>
      </c>
      <c r="D75" s="64"/>
      <c r="E75" s="110" t="s">
        <v>184</v>
      </c>
      <c r="F75" s="103" t="s">
        <v>187</v>
      </c>
      <c r="G75" s="61" t="s">
        <v>27</v>
      </c>
      <c r="H75" s="64"/>
      <c r="I75" s="66">
        <v>45630</v>
      </c>
      <c r="J75" s="77"/>
      <c r="K75" s="77"/>
      <c r="L75" s="77"/>
      <c r="M75" s="77"/>
      <c r="N75" s="77"/>
      <c r="O75" s="66" t="s">
        <v>144</v>
      </c>
      <c r="P75" s="64"/>
      <c r="Q75" s="63"/>
      <c r="R75" s="63"/>
      <c r="S75" s="63"/>
      <c r="T75" s="63"/>
      <c r="U75" s="63"/>
      <c r="V75" s="63"/>
      <c r="W75" s="63"/>
      <c r="X75" s="63"/>
    </row>
    <row r="76" spans="1:24" s="68" customFormat="1" ht="13.2" x14ac:dyDescent="0.25">
      <c r="A76" s="106" t="str">
        <f>'Scenario Test'!$A$14</f>
        <v>DPT_FBI</v>
      </c>
      <c r="B76" s="106" t="str">
        <f>VLOOKUP(TestCase!A76,'Scenario Test'!$A$4:$B$125,2,0)</f>
        <v>DPT_FBI: 11804: Fixed deposit book issue</v>
      </c>
      <c r="C76" s="107"/>
      <c r="D76" s="107"/>
      <c r="E76" s="108"/>
      <c r="F76" s="107"/>
      <c r="G76" s="107"/>
      <c r="H76" s="107"/>
      <c r="I76" s="109"/>
      <c r="J76" s="109"/>
      <c r="K76" s="109"/>
      <c r="L76" s="109"/>
      <c r="M76" s="109"/>
      <c r="N76" s="109"/>
      <c r="O76" s="109"/>
      <c r="P76" s="109"/>
      <c r="Q76" s="1"/>
      <c r="R76" s="1"/>
      <c r="S76" s="1"/>
      <c r="T76" s="1"/>
      <c r="U76" s="1"/>
      <c r="V76" s="1"/>
      <c r="W76" s="1"/>
      <c r="X76" s="1"/>
    </row>
    <row r="77" spans="1:24" s="72" customFormat="1" ht="211.2" x14ac:dyDescent="0.25">
      <c r="A77" s="69" t="str">
        <f>'Scenario Test'!$A$14</f>
        <v>DPT_FBI</v>
      </c>
      <c r="B77" s="70" t="str">
        <f>VLOOKUP(TestCase!A77,'Scenario Test'!$A$4:$B$125,2,0)</f>
        <v>DPT_FBI: 11804: Fixed deposit book issue</v>
      </c>
      <c r="C77" s="64" t="s">
        <v>200</v>
      </c>
      <c r="D77" s="75"/>
      <c r="E77" s="95" t="s">
        <v>343</v>
      </c>
      <c r="F77" s="94" t="s">
        <v>188</v>
      </c>
      <c r="G77" s="61" t="s">
        <v>27</v>
      </c>
      <c r="H77" s="64"/>
      <c r="I77" s="66">
        <v>45631</v>
      </c>
      <c r="J77" s="76"/>
      <c r="K77" s="76"/>
      <c r="L77" s="76"/>
      <c r="M77" s="76"/>
      <c r="N77" s="76"/>
      <c r="O77" s="66" t="s">
        <v>144</v>
      </c>
      <c r="P77" s="76"/>
      <c r="Q77" s="71"/>
      <c r="R77" s="71"/>
      <c r="S77" s="71"/>
      <c r="T77" s="71"/>
      <c r="U77" s="71"/>
      <c r="V77" s="71"/>
      <c r="W77" s="71"/>
      <c r="X77" s="71"/>
    </row>
    <row r="78" spans="1:24" s="72" customFormat="1" ht="211.2" x14ac:dyDescent="0.25">
      <c r="A78" s="69" t="str">
        <f>'Scenario Test'!$A$14</f>
        <v>DPT_FBI</v>
      </c>
      <c r="B78" s="70" t="str">
        <f>VLOOKUP(TestCase!A78,'Scenario Test'!$A$4:$B$125,2,0)</f>
        <v>DPT_FBI: 11804: Fixed deposit book issue</v>
      </c>
      <c r="C78" s="64" t="s">
        <v>201</v>
      </c>
      <c r="D78" s="75"/>
      <c r="E78" s="95" t="s">
        <v>344</v>
      </c>
      <c r="F78" s="94" t="s">
        <v>188</v>
      </c>
      <c r="G78" s="61" t="s">
        <v>27</v>
      </c>
      <c r="H78" s="64"/>
      <c r="I78" s="66">
        <v>45631</v>
      </c>
      <c r="J78" s="76"/>
      <c r="K78" s="76"/>
      <c r="L78" s="76"/>
      <c r="M78" s="76"/>
      <c r="N78" s="76"/>
      <c r="O78" s="66" t="s">
        <v>144</v>
      </c>
      <c r="P78" s="76"/>
      <c r="Q78" s="71"/>
      <c r="R78" s="71"/>
      <c r="S78" s="71"/>
      <c r="T78" s="71"/>
      <c r="U78" s="71"/>
      <c r="V78" s="71"/>
      <c r="W78" s="71"/>
      <c r="X78" s="71"/>
    </row>
    <row r="79" spans="1:24" s="72" customFormat="1" ht="250.8" x14ac:dyDescent="0.25">
      <c r="A79" s="69" t="str">
        <f>'Scenario Test'!$A$14</f>
        <v>DPT_FBI</v>
      </c>
      <c r="B79" s="70" t="str">
        <f>VLOOKUP(TestCase!A79,'Scenario Test'!$A$4:$B$125,2,0)</f>
        <v>DPT_FBI: 11804: Fixed deposit book issue</v>
      </c>
      <c r="C79" s="64" t="s">
        <v>202</v>
      </c>
      <c r="D79" s="79"/>
      <c r="E79" s="95" t="s">
        <v>345</v>
      </c>
      <c r="F79" s="94" t="s">
        <v>189</v>
      </c>
      <c r="G79" s="144" t="s">
        <v>27</v>
      </c>
      <c r="H79" s="75"/>
      <c r="I79" s="66">
        <v>45631</v>
      </c>
      <c r="J79" s="76"/>
      <c r="K79" s="76"/>
      <c r="L79" s="76"/>
      <c r="M79" s="76"/>
      <c r="N79" s="76"/>
      <c r="O79" s="76" t="s">
        <v>144</v>
      </c>
      <c r="P79" s="76"/>
      <c r="Q79" s="71"/>
      <c r="R79" s="71"/>
      <c r="S79" s="71"/>
      <c r="T79" s="71"/>
      <c r="U79" s="71"/>
      <c r="V79" s="71"/>
      <c r="W79" s="71"/>
      <c r="X79" s="71"/>
    </row>
    <row r="80" spans="1:24" s="1" customFormat="1" ht="290.39999999999998" x14ac:dyDescent="0.25">
      <c r="A80" s="69" t="str">
        <f>'Scenario Test'!$A$14</f>
        <v>DPT_FBI</v>
      </c>
      <c r="B80" s="70" t="str">
        <f>VLOOKUP(TestCase!A80,'Scenario Test'!$A$4:$B$125,2,0)</f>
        <v>DPT_FBI: 11804: Fixed deposit book issue</v>
      </c>
      <c r="C80" s="64" t="s">
        <v>203</v>
      </c>
      <c r="D80" s="64"/>
      <c r="E80" s="95" t="s">
        <v>346</v>
      </c>
      <c r="F80" s="94" t="s">
        <v>190</v>
      </c>
      <c r="G80" s="61" t="s">
        <v>27</v>
      </c>
      <c r="H80" s="64"/>
      <c r="I80" s="66">
        <v>45631</v>
      </c>
      <c r="J80" s="67"/>
      <c r="K80" s="67"/>
      <c r="L80" s="67"/>
      <c r="M80" s="67"/>
      <c r="N80" s="67"/>
      <c r="O80" s="66" t="s">
        <v>144</v>
      </c>
      <c r="P80" s="64"/>
      <c r="Q80" s="63"/>
      <c r="R80" s="63"/>
      <c r="S80" s="63"/>
      <c r="T80" s="63"/>
      <c r="U80" s="63"/>
      <c r="V80" s="63"/>
      <c r="W80" s="63"/>
      <c r="X80" s="63"/>
    </row>
    <row r="81" spans="1:24" s="1" customFormat="1" ht="303.60000000000002" x14ac:dyDescent="0.25">
      <c r="A81" s="69" t="str">
        <f>'Scenario Test'!$A$14</f>
        <v>DPT_FBI</v>
      </c>
      <c r="B81" s="70" t="str">
        <f>VLOOKUP(TestCase!A81,'Scenario Test'!$A$4:$B$125,2,0)</f>
        <v>DPT_FBI: 11804: Fixed deposit book issue</v>
      </c>
      <c r="C81" s="64" t="s">
        <v>204</v>
      </c>
      <c r="D81" s="64"/>
      <c r="E81" s="95" t="s">
        <v>347</v>
      </c>
      <c r="F81" s="94" t="s">
        <v>190</v>
      </c>
      <c r="G81" s="61" t="s">
        <v>27</v>
      </c>
      <c r="H81" s="64"/>
      <c r="I81" s="66">
        <v>45631</v>
      </c>
      <c r="J81" s="67"/>
      <c r="K81" s="67"/>
      <c r="L81" s="67"/>
      <c r="M81" s="67"/>
      <c r="N81" s="67"/>
      <c r="O81" s="66" t="s">
        <v>144</v>
      </c>
      <c r="P81" s="64"/>
      <c r="Q81" s="63"/>
      <c r="R81" s="63"/>
      <c r="S81" s="63"/>
      <c r="T81" s="63"/>
      <c r="U81" s="63"/>
      <c r="V81" s="63"/>
      <c r="W81" s="63"/>
      <c r="X81" s="63"/>
    </row>
    <row r="82" spans="1:24" s="1" customFormat="1" ht="26.4" x14ac:dyDescent="0.25">
      <c r="A82" s="69" t="str">
        <f>'Scenario Test'!$A$14</f>
        <v>DPT_FBI</v>
      </c>
      <c r="B82" s="70" t="str">
        <f>VLOOKUP(TestCase!A82,'Scenario Test'!$A$4:$B$125,2,0)</f>
        <v>DPT_FBI: 11804: Fixed deposit book issue</v>
      </c>
      <c r="C82" s="64" t="s">
        <v>205</v>
      </c>
      <c r="D82" s="75"/>
      <c r="E82" s="110" t="s">
        <v>261</v>
      </c>
      <c r="F82" s="103" t="s">
        <v>183</v>
      </c>
      <c r="G82" s="61" t="s">
        <v>27</v>
      </c>
      <c r="H82" s="64"/>
      <c r="I82" s="66">
        <v>45631</v>
      </c>
      <c r="J82" s="67"/>
      <c r="K82" s="67"/>
      <c r="L82" s="67"/>
      <c r="M82" s="67"/>
      <c r="N82" s="67"/>
      <c r="O82" s="66" t="s">
        <v>144</v>
      </c>
      <c r="P82" s="64"/>
      <c r="Q82" s="63"/>
      <c r="R82" s="63"/>
      <c r="S82" s="63"/>
      <c r="T82" s="63"/>
      <c r="U82" s="63"/>
      <c r="V82" s="63"/>
      <c r="W82" s="63"/>
      <c r="X82" s="63"/>
    </row>
    <row r="83" spans="1:24" s="72" customFormat="1" ht="26.4" x14ac:dyDescent="0.25">
      <c r="A83" s="69" t="str">
        <f>'Scenario Test'!$A$14</f>
        <v>DPT_FBI</v>
      </c>
      <c r="B83" s="70" t="str">
        <f>VLOOKUP(TestCase!A83,'Scenario Test'!$A$4:$B$125,2,0)</f>
        <v>DPT_FBI: 11804: Fixed deposit book issue</v>
      </c>
      <c r="C83" s="64" t="s">
        <v>206</v>
      </c>
      <c r="D83" s="75"/>
      <c r="E83" s="110" t="s">
        <v>260</v>
      </c>
      <c r="F83" s="103" t="s">
        <v>183</v>
      </c>
      <c r="G83" s="61" t="s">
        <v>27</v>
      </c>
      <c r="H83" s="64"/>
      <c r="I83" s="66">
        <v>45631</v>
      </c>
      <c r="J83" s="76"/>
      <c r="K83" s="76"/>
      <c r="L83" s="76"/>
      <c r="M83" s="76"/>
      <c r="N83" s="76"/>
      <c r="O83" s="66" t="s">
        <v>144</v>
      </c>
      <c r="P83" s="76"/>
      <c r="Q83" s="71"/>
      <c r="R83" s="71"/>
      <c r="S83" s="71"/>
      <c r="T83" s="71"/>
      <c r="U83" s="71"/>
      <c r="V83" s="71"/>
      <c r="W83" s="71"/>
      <c r="X83" s="71"/>
    </row>
    <row r="84" spans="1:24" s="1" customFormat="1" ht="26.4" x14ac:dyDescent="0.25">
      <c r="A84" s="69" t="str">
        <f>'Scenario Test'!$A$14</f>
        <v>DPT_FBI</v>
      </c>
      <c r="B84" s="70" t="str">
        <f>VLOOKUP(TestCase!A84,'Scenario Test'!$A$4:$B$125,2,0)</f>
        <v>DPT_FBI: 11804: Fixed deposit book issue</v>
      </c>
      <c r="C84" s="64" t="s">
        <v>342</v>
      </c>
      <c r="D84" s="75"/>
      <c r="E84" s="110" t="s">
        <v>262</v>
      </c>
      <c r="F84" s="103" t="s">
        <v>183</v>
      </c>
      <c r="G84" s="61" t="s">
        <v>27</v>
      </c>
      <c r="H84" s="64"/>
      <c r="I84" s="66">
        <v>45631</v>
      </c>
      <c r="J84" s="67"/>
      <c r="K84" s="67"/>
      <c r="L84" s="67"/>
      <c r="M84" s="67"/>
      <c r="N84" s="67"/>
      <c r="O84" s="66" t="s">
        <v>144</v>
      </c>
      <c r="P84" s="64"/>
      <c r="Q84" s="63"/>
      <c r="R84" s="63"/>
      <c r="S84" s="63"/>
      <c r="T84" s="63"/>
      <c r="U84" s="63"/>
      <c r="V84" s="63"/>
      <c r="W84" s="63"/>
      <c r="X84" s="63"/>
    </row>
    <row r="85" spans="1:24" s="72" customFormat="1" ht="26.4" x14ac:dyDescent="0.25">
      <c r="A85" s="69" t="str">
        <f>'Scenario Test'!$A$14</f>
        <v>DPT_FBI</v>
      </c>
      <c r="B85" s="70" t="str">
        <f>VLOOKUP(TestCase!A85,'Scenario Test'!$A$4:$B$125,2,0)</f>
        <v>DPT_FBI: 11804: Fixed deposit book issue</v>
      </c>
      <c r="C85" s="64" t="s">
        <v>207</v>
      </c>
      <c r="D85" s="75"/>
      <c r="E85" s="110" t="s">
        <v>263</v>
      </c>
      <c r="F85" s="103" t="s">
        <v>183</v>
      </c>
      <c r="G85" s="61" t="s">
        <v>27</v>
      </c>
      <c r="H85" s="64"/>
      <c r="I85" s="66">
        <v>45631</v>
      </c>
      <c r="J85" s="76"/>
      <c r="K85" s="76"/>
      <c r="L85" s="76"/>
      <c r="M85" s="76"/>
      <c r="N85" s="76"/>
      <c r="O85" s="66" t="s">
        <v>144</v>
      </c>
      <c r="P85" s="76"/>
      <c r="Q85" s="71"/>
      <c r="R85" s="71"/>
      <c r="S85" s="71"/>
      <c r="T85" s="71"/>
      <c r="U85" s="71"/>
      <c r="V85" s="71"/>
      <c r="W85" s="71"/>
      <c r="X85" s="71"/>
    </row>
    <row r="86" spans="1:24" s="1" customFormat="1" ht="145.19999999999999" x14ac:dyDescent="0.25">
      <c r="A86" s="69" t="str">
        <f>'Scenario Test'!$A$14</f>
        <v>DPT_FBI</v>
      </c>
      <c r="B86" s="70" t="str">
        <f>VLOOKUP(TestCase!A86,'Scenario Test'!$A$4:$B$125,2,0)</f>
        <v>DPT_FBI: 11804: Fixed deposit book issue</v>
      </c>
      <c r="C86" s="64" t="s">
        <v>208</v>
      </c>
      <c r="D86" s="64"/>
      <c r="E86" s="95" t="s">
        <v>348</v>
      </c>
      <c r="F86" s="103" t="s">
        <v>183</v>
      </c>
      <c r="G86" s="61" t="s">
        <v>27</v>
      </c>
      <c r="H86" s="64"/>
      <c r="I86" s="66">
        <v>45631</v>
      </c>
      <c r="J86" s="77"/>
      <c r="K86" s="77"/>
      <c r="L86" s="77"/>
      <c r="M86" s="77"/>
      <c r="N86" s="60"/>
      <c r="O86" s="66" t="s">
        <v>144</v>
      </c>
      <c r="P86" s="64"/>
      <c r="Q86" s="63"/>
      <c r="R86" s="63"/>
      <c r="S86" s="63"/>
      <c r="T86" s="63"/>
      <c r="U86" s="63"/>
      <c r="V86" s="63"/>
      <c r="W86" s="63"/>
      <c r="X86" s="63"/>
    </row>
    <row r="87" spans="1:24" s="1" customFormat="1" ht="145.19999999999999" x14ac:dyDescent="0.25">
      <c r="A87" s="69" t="str">
        <f>'Scenario Test'!$A$14</f>
        <v>DPT_FBI</v>
      </c>
      <c r="B87" s="70" t="str">
        <f>VLOOKUP(TestCase!A87,'Scenario Test'!$A$4:$B$125,2,0)</f>
        <v>DPT_FBI: 11804: Fixed deposit book issue</v>
      </c>
      <c r="C87" s="64" t="s">
        <v>209</v>
      </c>
      <c r="D87" s="64"/>
      <c r="E87" s="95" t="s">
        <v>349</v>
      </c>
      <c r="F87" s="103" t="s">
        <v>183</v>
      </c>
      <c r="G87" s="61" t="s">
        <v>27</v>
      </c>
      <c r="H87" s="64"/>
      <c r="I87" s="66">
        <v>45631</v>
      </c>
      <c r="J87" s="77"/>
      <c r="K87" s="77"/>
      <c r="L87" s="77"/>
      <c r="M87" s="77"/>
      <c r="N87" s="60"/>
      <c r="O87" s="66" t="s">
        <v>144</v>
      </c>
      <c r="P87" s="64"/>
      <c r="Q87" s="63"/>
      <c r="R87" s="63"/>
      <c r="S87" s="63"/>
      <c r="T87" s="63"/>
      <c r="U87" s="63"/>
      <c r="V87" s="63"/>
      <c r="W87" s="63"/>
      <c r="X87" s="63"/>
    </row>
    <row r="88" spans="1:24" s="1" customFormat="1" ht="145.19999999999999" x14ac:dyDescent="0.25">
      <c r="A88" s="69" t="str">
        <f>'Scenario Test'!$A$14</f>
        <v>DPT_FBI</v>
      </c>
      <c r="B88" s="70" t="str">
        <f>VLOOKUP(TestCase!A88,'Scenario Test'!$A$4:$B$125,2,0)</f>
        <v>DPT_FBI: 11804: Fixed deposit book issue</v>
      </c>
      <c r="C88" s="64" t="s">
        <v>210</v>
      </c>
      <c r="D88" s="64"/>
      <c r="E88" s="95" t="s">
        <v>350</v>
      </c>
      <c r="F88" s="103" t="s">
        <v>183</v>
      </c>
      <c r="G88" s="61" t="s">
        <v>27</v>
      </c>
      <c r="H88" s="64"/>
      <c r="I88" s="66">
        <v>45631</v>
      </c>
      <c r="J88" s="77"/>
      <c r="K88" s="77"/>
      <c r="L88" s="77"/>
      <c r="M88" s="77"/>
      <c r="N88" s="60"/>
      <c r="O88" s="66" t="s">
        <v>144</v>
      </c>
      <c r="P88" s="64"/>
      <c r="Q88" s="63"/>
      <c r="R88" s="63"/>
      <c r="S88" s="63"/>
      <c r="T88" s="63"/>
      <c r="U88" s="63"/>
      <c r="V88" s="63"/>
      <c r="W88" s="63"/>
      <c r="X88" s="63"/>
    </row>
    <row r="89" spans="1:24" s="1" customFormat="1" ht="145.19999999999999" x14ac:dyDescent="0.25">
      <c r="A89" s="69" t="str">
        <f>'Scenario Test'!$A$14</f>
        <v>DPT_FBI</v>
      </c>
      <c r="B89" s="70" t="str">
        <f>VLOOKUP(TestCase!A89,'Scenario Test'!$A$4:$B$125,2,0)</f>
        <v>DPT_FBI: 11804: Fixed deposit book issue</v>
      </c>
      <c r="C89" s="64" t="s">
        <v>211</v>
      </c>
      <c r="D89" s="64"/>
      <c r="E89" s="95" t="s">
        <v>351</v>
      </c>
      <c r="F89" s="103" t="s">
        <v>183</v>
      </c>
      <c r="G89" s="61" t="s">
        <v>27</v>
      </c>
      <c r="H89" s="64"/>
      <c r="I89" s="66">
        <v>45631</v>
      </c>
      <c r="J89" s="77"/>
      <c r="K89" s="77"/>
      <c r="L89" s="77"/>
      <c r="M89" s="77"/>
      <c r="N89" s="60"/>
      <c r="O89" s="66" t="s">
        <v>144</v>
      </c>
      <c r="P89" s="64"/>
      <c r="Q89" s="63"/>
      <c r="R89" s="63"/>
      <c r="S89" s="63"/>
      <c r="T89" s="63"/>
      <c r="U89" s="63"/>
      <c r="V89" s="63"/>
      <c r="W89" s="63"/>
      <c r="X89" s="63"/>
    </row>
    <row r="90" spans="1:24" s="1" customFormat="1" ht="145.19999999999999" x14ac:dyDescent="0.25">
      <c r="A90" s="69" t="str">
        <f>'Scenario Test'!$A$14</f>
        <v>DPT_FBI</v>
      </c>
      <c r="B90" s="70" t="str">
        <f>VLOOKUP(TestCase!A90,'Scenario Test'!$A$4:$B$125,2,0)</f>
        <v>DPT_FBI: 11804: Fixed deposit book issue</v>
      </c>
      <c r="C90" s="64" t="s">
        <v>212</v>
      </c>
      <c r="D90" s="64"/>
      <c r="E90" s="95" t="s">
        <v>352</v>
      </c>
      <c r="F90" s="103" t="s">
        <v>183</v>
      </c>
      <c r="G90" s="61" t="s">
        <v>27</v>
      </c>
      <c r="H90" s="64" t="s">
        <v>493</v>
      </c>
      <c r="I90" s="66">
        <v>45631</v>
      </c>
      <c r="J90" s="77"/>
      <c r="K90" s="77"/>
      <c r="L90" s="77"/>
      <c r="M90" s="77"/>
      <c r="N90" s="60"/>
      <c r="O90" s="66" t="s">
        <v>144</v>
      </c>
      <c r="P90" s="64"/>
      <c r="Q90" s="63"/>
      <c r="R90" s="63"/>
      <c r="S90" s="63"/>
      <c r="T90" s="63"/>
      <c r="U90" s="63"/>
      <c r="V90" s="63"/>
      <c r="W90" s="63"/>
      <c r="X90" s="63"/>
    </row>
    <row r="91" spans="1:24" s="1" customFormat="1" ht="132" x14ac:dyDescent="0.25">
      <c r="A91" s="69" t="str">
        <f>'Scenario Test'!$A$14</f>
        <v>DPT_FBI</v>
      </c>
      <c r="B91" s="70" t="str">
        <f>VLOOKUP(TestCase!A91,'Scenario Test'!$A$4:$B$125,2,0)</f>
        <v>DPT_FBI: 11804: Fixed deposit book issue</v>
      </c>
      <c r="C91" s="64" t="s">
        <v>213</v>
      </c>
      <c r="D91" s="64"/>
      <c r="E91" s="95" t="s">
        <v>354</v>
      </c>
      <c r="F91" s="103" t="s">
        <v>183</v>
      </c>
      <c r="G91" s="61" t="s">
        <v>27</v>
      </c>
      <c r="H91" s="64"/>
      <c r="I91" s="66">
        <v>45631</v>
      </c>
      <c r="J91" s="77"/>
      <c r="K91" s="77"/>
      <c r="L91" s="77"/>
      <c r="M91" s="77"/>
      <c r="N91" s="60"/>
      <c r="O91" s="66" t="s">
        <v>144</v>
      </c>
      <c r="P91" s="64"/>
      <c r="Q91" s="63"/>
      <c r="R91" s="63"/>
      <c r="S91" s="63"/>
      <c r="T91" s="63"/>
      <c r="U91" s="63"/>
      <c r="V91" s="63"/>
      <c r="W91" s="63"/>
      <c r="X91" s="63"/>
    </row>
    <row r="92" spans="1:24" s="1" customFormat="1" ht="145.19999999999999" x14ac:dyDescent="0.25">
      <c r="A92" s="69" t="str">
        <f>'Scenario Test'!$A$14</f>
        <v>DPT_FBI</v>
      </c>
      <c r="B92" s="70" t="str">
        <f>VLOOKUP(TestCase!A92,'Scenario Test'!$A$4:$B$125,2,0)</f>
        <v>DPT_FBI: 11804: Fixed deposit book issue</v>
      </c>
      <c r="C92" s="64" t="s">
        <v>214</v>
      </c>
      <c r="D92" s="64"/>
      <c r="E92" s="95" t="s">
        <v>353</v>
      </c>
      <c r="F92" s="103" t="s">
        <v>183</v>
      </c>
      <c r="G92" s="61" t="s">
        <v>27</v>
      </c>
      <c r="H92" s="64"/>
      <c r="I92" s="66">
        <v>45631</v>
      </c>
      <c r="J92" s="77"/>
      <c r="K92" s="77"/>
      <c r="L92" s="77"/>
      <c r="M92" s="77"/>
      <c r="N92" s="60"/>
      <c r="O92" s="66" t="s">
        <v>144</v>
      </c>
      <c r="P92" s="64"/>
      <c r="Q92" s="63"/>
      <c r="R92" s="63"/>
      <c r="S92" s="63"/>
      <c r="T92" s="63"/>
      <c r="U92" s="63"/>
      <c r="V92" s="63"/>
      <c r="W92" s="63"/>
      <c r="X92" s="63"/>
    </row>
    <row r="93" spans="1:24" s="1" customFormat="1" ht="145.19999999999999" x14ac:dyDescent="0.25">
      <c r="A93" s="69" t="str">
        <f>'Scenario Test'!$A$14</f>
        <v>DPT_FBI</v>
      </c>
      <c r="B93" s="70" t="str">
        <f>VLOOKUP(TestCase!A93,'Scenario Test'!$A$4:$B$125,2,0)</f>
        <v>DPT_FBI: 11804: Fixed deposit book issue</v>
      </c>
      <c r="C93" s="64" t="s">
        <v>215</v>
      </c>
      <c r="D93" s="64"/>
      <c r="E93" s="95" t="s">
        <v>355</v>
      </c>
      <c r="F93" s="103" t="s">
        <v>183</v>
      </c>
      <c r="G93" s="61" t="s">
        <v>27</v>
      </c>
      <c r="H93" s="64"/>
      <c r="I93" s="66">
        <v>45631</v>
      </c>
      <c r="J93" s="77"/>
      <c r="K93" s="77"/>
      <c r="L93" s="77"/>
      <c r="M93" s="77"/>
      <c r="N93" s="60"/>
      <c r="O93" s="66" t="s">
        <v>144</v>
      </c>
      <c r="P93" s="64"/>
      <c r="Q93" s="63"/>
      <c r="R93" s="63"/>
      <c r="S93" s="63"/>
      <c r="T93" s="63"/>
      <c r="U93" s="63"/>
      <c r="V93" s="63"/>
      <c r="W93" s="63"/>
      <c r="X93" s="63"/>
    </row>
    <row r="94" spans="1:24" s="1" customFormat="1" ht="145.19999999999999" x14ac:dyDescent="0.25">
      <c r="A94" s="69" t="str">
        <f>'Scenario Test'!$A$14</f>
        <v>DPT_FBI</v>
      </c>
      <c r="B94" s="70" t="str">
        <f>VLOOKUP(TestCase!A94,'Scenario Test'!$A$4:$B$125,2,0)</f>
        <v>DPT_FBI: 11804: Fixed deposit book issue</v>
      </c>
      <c r="C94" s="64" t="s">
        <v>216</v>
      </c>
      <c r="D94" s="64"/>
      <c r="E94" s="95" t="s">
        <v>356</v>
      </c>
      <c r="F94" s="103" t="s">
        <v>183</v>
      </c>
      <c r="G94" s="61" t="s">
        <v>27</v>
      </c>
      <c r="H94" s="64"/>
      <c r="I94" s="66">
        <v>45631</v>
      </c>
      <c r="J94" s="77"/>
      <c r="K94" s="77"/>
      <c r="L94" s="77"/>
      <c r="M94" s="77"/>
      <c r="N94" s="60"/>
      <c r="O94" s="66" t="s">
        <v>144</v>
      </c>
      <c r="P94" s="64"/>
      <c r="Q94" s="63"/>
      <c r="R94" s="63"/>
      <c r="S94" s="63"/>
      <c r="T94" s="63"/>
      <c r="U94" s="63"/>
      <c r="V94" s="63"/>
      <c r="W94" s="63"/>
      <c r="X94" s="63"/>
    </row>
    <row r="95" spans="1:24" s="1" customFormat="1" ht="171.6" x14ac:dyDescent="0.25">
      <c r="A95" s="69" t="str">
        <f>'Scenario Test'!$A$14</f>
        <v>DPT_FBI</v>
      </c>
      <c r="B95" s="70" t="str">
        <f>VLOOKUP(TestCase!A95,'Scenario Test'!$A$4:$B$125,2,0)</f>
        <v>DPT_FBI: 11804: Fixed deposit book issue</v>
      </c>
      <c r="C95" s="64" t="s">
        <v>217</v>
      </c>
      <c r="D95" s="64"/>
      <c r="E95" s="95" t="s">
        <v>357</v>
      </c>
      <c r="F95" s="103" t="s">
        <v>183</v>
      </c>
      <c r="G95" s="61" t="s">
        <v>27</v>
      </c>
      <c r="H95" s="64"/>
      <c r="I95" s="66">
        <v>45631</v>
      </c>
      <c r="J95" s="77"/>
      <c r="K95" s="77"/>
      <c r="L95" s="77"/>
      <c r="M95" s="77"/>
      <c r="N95" s="60"/>
      <c r="O95" s="66" t="s">
        <v>144</v>
      </c>
      <c r="P95" s="64"/>
      <c r="Q95" s="63"/>
      <c r="R95" s="63"/>
      <c r="S95" s="63"/>
      <c r="T95" s="63"/>
      <c r="U95" s="63"/>
      <c r="V95" s="63"/>
      <c r="W95" s="63"/>
      <c r="X95" s="63"/>
    </row>
    <row r="96" spans="1:24" s="1" customFormat="1" ht="224.4" x14ac:dyDescent="0.25">
      <c r="A96" s="69" t="str">
        <f>'Scenario Test'!$A$14</f>
        <v>DPT_FBI</v>
      </c>
      <c r="B96" s="70" t="str">
        <f>VLOOKUP(TestCase!A96,'Scenario Test'!$A$4:$B$125,2,0)</f>
        <v>DPT_FBI: 11804: Fixed deposit book issue</v>
      </c>
      <c r="C96" s="64" t="s">
        <v>218</v>
      </c>
      <c r="D96" s="64"/>
      <c r="E96" s="95" t="s">
        <v>358</v>
      </c>
      <c r="F96" s="103" t="s">
        <v>183</v>
      </c>
      <c r="G96" s="61" t="s">
        <v>27</v>
      </c>
      <c r="H96" s="64"/>
      <c r="I96" s="66">
        <v>45631</v>
      </c>
      <c r="J96" s="77"/>
      <c r="K96" s="77"/>
      <c r="L96" s="77"/>
      <c r="M96" s="77"/>
      <c r="N96" s="60"/>
      <c r="O96" s="66" t="s">
        <v>144</v>
      </c>
      <c r="P96" s="64"/>
      <c r="Q96" s="63"/>
      <c r="R96" s="63"/>
      <c r="S96" s="63"/>
      <c r="T96" s="63"/>
      <c r="U96" s="63"/>
      <c r="V96" s="63"/>
      <c r="W96" s="63"/>
      <c r="X96" s="63"/>
    </row>
    <row r="97" spans="1:24" s="1" customFormat="1" ht="211.2" x14ac:dyDescent="0.25">
      <c r="A97" s="69" t="str">
        <f>'Scenario Test'!$A$14</f>
        <v>DPT_FBI</v>
      </c>
      <c r="B97" s="70" t="str">
        <f>VLOOKUP(TestCase!A97,'Scenario Test'!$A$4:$B$125,2,0)</f>
        <v>DPT_FBI: 11804: Fixed deposit book issue</v>
      </c>
      <c r="C97" s="64" t="s">
        <v>219</v>
      </c>
      <c r="D97" s="64"/>
      <c r="E97" s="95" t="s">
        <v>359</v>
      </c>
      <c r="F97" s="103" t="s">
        <v>183</v>
      </c>
      <c r="G97" s="61" t="s">
        <v>27</v>
      </c>
      <c r="H97" s="64"/>
      <c r="I97" s="66">
        <v>45631</v>
      </c>
      <c r="J97" s="77"/>
      <c r="K97" s="77"/>
      <c r="L97" s="77"/>
      <c r="M97" s="77"/>
      <c r="N97" s="60"/>
      <c r="O97" s="66" t="s">
        <v>144</v>
      </c>
      <c r="P97" s="64"/>
      <c r="Q97" s="63"/>
      <c r="R97" s="63"/>
      <c r="S97" s="63"/>
      <c r="T97" s="63"/>
      <c r="U97" s="63"/>
      <c r="V97" s="63"/>
      <c r="W97" s="63"/>
      <c r="X97" s="63"/>
    </row>
    <row r="98" spans="1:24" s="1" customFormat="1" ht="211.2" x14ac:dyDescent="0.25">
      <c r="A98" s="69" t="str">
        <f>'Scenario Test'!$A$14</f>
        <v>DPT_FBI</v>
      </c>
      <c r="B98" s="70" t="str">
        <f>VLOOKUP(TestCase!A98,'Scenario Test'!$A$4:$B$125,2,0)</f>
        <v>DPT_FBI: 11804: Fixed deposit book issue</v>
      </c>
      <c r="C98" s="64" t="s">
        <v>220</v>
      </c>
      <c r="D98" s="64"/>
      <c r="E98" s="95" t="s">
        <v>360</v>
      </c>
      <c r="F98" s="103" t="s">
        <v>183</v>
      </c>
      <c r="G98" s="61" t="s">
        <v>27</v>
      </c>
      <c r="H98" s="64"/>
      <c r="I98" s="66">
        <v>45631</v>
      </c>
      <c r="J98" s="77"/>
      <c r="K98" s="77"/>
      <c r="L98" s="77"/>
      <c r="M98" s="77"/>
      <c r="N98" s="60"/>
      <c r="O98" s="66" t="s">
        <v>144</v>
      </c>
      <c r="P98" s="64"/>
      <c r="Q98" s="63"/>
      <c r="R98" s="63"/>
      <c r="S98" s="63"/>
      <c r="T98" s="63"/>
      <c r="U98" s="63"/>
      <c r="V98" s="63"/>
      <c r="W98" s="63"/>
      <c r="X98" s="63"/>
    </row>
    <row r="99" spans="1:24" s="1" customFormat="1" ht="211.2" x14ac:dyDescent="0.25">
      <c r="A99" s="69" t="str">
        <f>'Scenario Test'!$A$14</f>
        <v>DPT_FBI</v>
      </c>
      <c r="B99" s="70" t="str">
        <f>VLOOKUP(TestCase!A99,'Scenario Test'!$A$4:$B$125,2,0)</f>
        <v>DPT_FBI: 11804: Fixed deposit book issue</v>
      </c>
      <c r="C99" s="64" t="s">
        <v>221</v>
      </c>
      <c r="D99" s="64"/>
      <c r="E99" s="95" t="s">
        <v>361</v>
      </c>
      <c r="F99" s="103" t="s">
        <v>183</v>
      </c>
      <c r="G99" s="61" t="s">
        <v>27</v>
      </c>
      <c r="H99" s="64"/>
      <c r="I99" s="66">
        <v>45631</v>
      </c>
      <c r="J99" s="77"/>
      <c r="K99" s="77"/>
      <c r="L99" s="77"/>
      <c r="M99" s="77"/>
      <c r="N99" s="60"/>
      <c r="O99" s="66" t="s">
        <v>144</v>
      </c>
      <c r="P99" s="64"/>
      <c r="Q99" s="63"/>
      <c r="R99" s="63"/>
      <c r="S99" s="63"/>
      <c r="T99" s="63"/>
      <c r="U99" s="63"/>
      <c r="V99" s="63"/>
      <c r="W99" s="63"/>
      <c r="X99" s="63"/>
    </row>
    <row r="100" spans="1:24" s="1" customFormat="1" ht="224.4" x14ac:dyDescent="0.25">
      <c r="A100" s="69" t="str">
        <f>'Scenario Test'!$A$14</f>
        <v>DPT_FBI</v>
      </c>
      <c r="B100" s="70" t="str">
        <f>VLOOKUP(TestCase!A100,'Scenario Test'!$A$4:$B$125,2,0)</f>
        <v>DPT_FBI: 11804: Fixed deposit book issue</v>
      </c>
      <c r="C100" s="64" t="s">
        <v>222</v>
      </c>
      <c r="D100" s="64"/>
      <c r="E100" s="95" t="s">
        <v>362</v>
      </c>
      <c r="F100" s="103" t="s">
        <v>183</v>
      </c>
      <c r="G100" s="61" t="s">
        <v>27</v>
      </c>
      <c r="H100" s="64" t="s">
        <v>493</v>
      </c>
      <c r="I100" s="66">
        <v>45631</v>
      </c>
      <c r="J100" s="77"/>
      <c r="K100" s="77"/>
      <c r="L100" s="77"/>
      <c r="M100" s="77"/>
      <c r="N100" s="60"/>
      <c r="O100" s="66" t="s">
        <v>144</v>
      </c>
      <c r="P100" s="64"/>
      <c r="Q100" s="63"/>
      <c r="R100" s="63"/>
      <c r="S100" s="63"/>
      <c r="T100" s="63"/>
      <c r="U100" s="63"/>
      <c r="V100" s="63"/>
      <c r="W100" s="63"/>
      <c r="X100" s="63"/>
    </row>
    <row r="101" spans="1:24" s="1" customFormat="1" ht="224.4" x14ac:dyDescent="0.25">
      <c r="A101" s="69" t="str">
        <f>'Scenario Test'!$A$14</f>
        <v>DPT_FBI</v>
      </c>
      <c r="B101" s="70" t="str">
        <f>VLOOKUP(TestCase!A101,'Scenario Test'!$A$4:$B$125,2,0)</f>
        <v>DPT_FBI: 11804: Fixed deposit book issue</v>
      </c>
      <c r="C101" s="64" t="s">
        <v>223</v>
      </c>
      <c r="D101" s="64"/>
      <c r="E101" s="95" t="s">
        <v>363</v>
      </c>
      <c r="F101" s="103" t="s">
        <v>183</v>
      </c>
      <c r="G101" s="61" t="s">
        <v>27</v>
      </c>
      <c r="H101" s="64"/>
      <c r="I101" s="66">
        <v>45631</v>
      </c>
      <c r="J101" s="77"/>
      <c r="K101" s="77"/>
      <c r="L101" s="77"/>
      <c r="M101" s="77"/>
      <c r="N101" s="60"/>
      <c r="O101" s="66" t="s">
        <v>144</v>
      </c>
      <c r="P101" s="64"/>
      <c r="Q101" s="63"/>
      <c r="R101" s="63"/>
      <c r="S101" s="63"/>
      <c r="T101" s="63"/>
      <c r="U101" s="63"/>
      <c r="V101" s="63"/>
      <c r="W101" s="63"/>
      <c r="X101" s="63"/>
    </row>
    <row r="102" spans="1:24" s="1" customFormat="1" ht="224.4" x14ac:dyDescent="0.25">
      <c r="A102" s="69" t="str">
        <f>'Scenario Test'!$A$14</f>
        <v>DPT_FBI</v>
      </c>
      <c r="B102" s="70" t="str">
        <f>VLOOKUP(TestCase!A102,'Scenario Test'!$A$4:$B$125,2,0)</f>
        <v>DPT_FBI: 11804: Fixed deposit book issue</v>
      </c>
      <c r="C102" s="64" t="s">
        <v>224</v>
      </c>
      <c r="D102" s="64"/>
      <c r="E102" s="95" t="s">
        <v>364</v>
      </c>
      <c r="F102" s="103" t="s">
        <v>183</v>
      </c>
      <c r="G102" s="61" t="s">
        <v>27</v>
      </c>
      <c r="H102" s="64" t="s">
        <v>493</v>
      </c>
      <c r="I102" s="66">
        <v>45631</v>
      </c>
      <c r="J102" s="77"/>
      <c r="K102" s="77"/>
      <c r="L102" s="77"/>
      <c r="M102" s="77"/>
      <c r="N102" s="60"/>
      <c r="O102" s="66" t="s">
        <v>144</v>
      </c>
      <c r="P102" s="64"/>
      <c r="Q102" s="63"/>
      <c r="R102" s="63"/>
      <c r="S102" s="63"/>
      <c r="T102" s="63"/>
      <c r="U102" s="63"/>
      <c r="V102" s="63"/>
      <c r="W102" s="63"/>
      <c r="X102" s="63"/>
    </row>
    <row r="103" spans="1:24" s="1" customFormat="1" ht="224.4" x14ac:dyDescent="0.25">
      <c r="A103" s="69" t="str">
        <f>'Scenario Test'!$A$14</f>
        <v>DPT_FBI</v>
      </c>
      <c r="B103" s="70" t="str">
        <f>VLOOKUP(TestCase!A103,'Scenario Test'!$A$4:$B$125,2,0)</f>
        <v>DPT_FBI: 11804: Fixed deposit book issue</v>
      </c>
      <c r="C103" s="64" t="s">
        <v>225</v>
      </c>
      <c r="D103" s="64"/>
      <c r="E103" s="95" t="s">
        <v>365</v>
      </c>
      <c r="F103" s="103" t="s">
        <v>183</v>
      </c>
      <c r="G103" s="61" t="s">
        <v>27</v>
      </c>
      <c r="H103" s="64"/>
      <c r="I103" s="66">
        <v>45631</v>
      </c>
      <c r="J103" s="77"/>
      <c r="K103" s="77"/>
      <c r="L103" s="77"/>
      <c r="M103" s="77"/>
      <c r="N103" s="60"/>
      <c r="O103" s="66" t="s">
        <v>144</v>
      </c>
      <c r="P103" s="64"/>
      <c r="Q103" s="63"/>
      <c r="R103" s="63"/>
      <c r="S103" s="63"/>
      <c r="T103" s="63"/>
      <c r="U103" s="63"/>
      <c r="V103" s="63"/>
      <c r="W103" s="63"/>
      <c r="X103" s="63"/>
    </row>
    <row r="104" spans="1:24" s="1" customFormat="1" ht="224.4" x14ac:dyDescent="0.25">
      <c r="A104" s="69" t="str">
        <f>'Scenario Test'!$A$14</f>
        <v>DPT_FBI</v>
      </c>
      <c r="B104" s="70" t="str">
        <f>VLOOKUP(TestCase!A104,'Scenario Test'!$A$4:$B$125,2,0)</f>
        <v>DPT_FBI: 11804: Fixed deposit book issue</v>
      </c>
      <c r="C104" s="64" t="s">
        <v>226</v>
      </c>
      <c r="D104" s="64"/>
      <c r="E104" s="95" t="s">
        <v>366</v>
      </c>
      <c r="F104" s="103" t="s">
        <v>183</v>
      </c>
      <c r="G104" s="61" t="s">
        <v>27</v>
      </c>
      <c r="H104" s="64"/>
      <c r="I104" s="66">
        <v>45631</v>
      </c>
      <c r="J104" s="77"/>
      <c r="K104" s="77"/>
      <c r="L104" s="77"/>
      <c r="M104" s="77"/>
      <c r="N104" s="60"/>
      <c r="O104" s="66" t="s">
        <v>144</v>
      </c>
      <c r="P104" s="64"/>
      <c r="Q104" s="63"/>
      <c r="R104" s="63"/>
      <c r="S104" s="63"/>
      <c r="T104" s="63"/>
      <c r="U104" s="63"/>
      <c r="V104" s="63"/>
      <c r="W104" s="63"/>
      <c r="X104" s="63"/>
    </row>
    <row r="105" spans="1:24" s="1" customFormat="1" ht="26.4" x14ac:dyDescent="0.25">
      <c r="A105" s="69" t="str">
        <f>'Scenario Test'!$A$14</f>
        <v>DPT_FBI</v>
      </c>
      <c r="B105" s="70" t="str">
        <f>VLOOKUP(TestCase!A105,'Scenario Test'!$A$4:$B$125,2,0)</f>
        <v>DPT_FBI: 11804: Fixed deposit book issue</v>
      </c>
      <c r="C105" s="64" t="s">
        <v>227</v>
      </c>
      <c r="D105" s="64"/>
      <c r="E105" s="110" t="s">
        <v>184</v>
      </c>
      <c r="F105" s="103" t="s">
        <v>187</v>
      </c>
      <c r="G105" s="61" t="s">
        <v>27</v>
      </c>
      <c r="H105" s="64"/>
      <c r="I105" s="66">
        <v>45631</v>
      </c>
      <c r="J105" s="67"/>
      <c r="K105" s="67"/>
      <c r="L105" s="67"/>
      <c r="M105" s="67"/>
      <c r="N105" s="67"/>
      <c r="O105" s="66" t="s">
        <v>144</v>
      </c>
      <c r="P105" s="64"/>
      <c r="Q105" s="63"/>
      <c r="R105" s="63"/>
      <c r="S105" s="63"/>
      <c r="T105" s="63"/>
      <c r="U105" s="63"/>
      <c r="V105" s="63"/>
      <c r="W105" s="63"/>
      <c r="X105" s="63"/>
    </row>
    <row r="106" spans="1:24" s="68" customFormat="1" ht="13.2" x14ac:dyDescent="0.25">
      <c r="A106" s="97" t="str">
        <f>'Scenario Test'!$A$15</f>
        <v>DPT_CER</v>
      </c>
      <c r="B106" s="98" t="str">
        <f>VLOOKUP(TestCase!A106,'Scenario Test'!$A$4:$B$125,2,0)</f>
        <v>DPT_CER: 11803: Fixed deposit receipt issue</v>
      </c>
      <c r="C106" s="111"/>
      <c r="D106" s="107"/>
      <c r="E106" s="108"/>
      <c r="F106" s="107"/>
      <c r="G106" s="107"/>
      <c r="H106" s="107"/>
      <c r="I106" s="109"/>
      <c r="J106" s="109"/>
      <c r="K106" s="109"/>
      <c r="L106" s="109"/>
      <c r="M106" s="109"/>
      <c r="N106" s="109"/>
      <c r="O106" s="109"/>
      <c r="P106" s="109"/>
      <c r="Q106" s="1"/>
      <c r="R106" s="1"/>
      <c r="S106" s="1"/>
      <c r="T106" s="1"/>
      <c r="U106" s="1"/>
      <c r="V106" s="1"/>
      <c r="W106" s="1"/>
      <c r="X106" s="1"/>
    </row>
    <row r="107" spans="1:24" s="72" customFormat="1" ht="211.2" x14ac:dyDescent="0.25">
      <c r="A107" s="69" t="str">
        <f>'Scenario Test'!$A$15</f>
        <v>DPT_CER</v>
      </c>
      <c r="B107" s="70" t="str">
        <f>VLOOKUP(TestCase!A107,'Scenario Test'!$A$4:$B$125,2,0)</f>
        <v>DPT_CER: 11803: Fixed deposit receipt issue</v>
      </c>
      <c r="C107" s="64" t="s">
        <v>88</v>
      </c>
      <c r="D107" s="75"/>
      <c r="E107" s="95" t="s">
        <v>372</v>
      </c>
      <c r="F107" s="94" t="s">
        <v>188</v>
      </c>
      <c r="G107" s="61" t="s">
        <v>27</v>
      </c>
      <c r="H107" s="64"/>
      <c r="I107" s="66">
        <v>45631</v>
      </c>
      <c r="J107" s="76"/>
      <c r="K107" s="76"/>
      <c r="L107" s="76"/>
      <c r="M107" s="76"/>
      <c r="N107" s="76"/>
      <c r="O107" s="66" t="s">
        <v>144</v>
      </c>
      <c r="P107" s="76"/>
      <c r="Q107" s="71"/>
      <c r="R107" s="71"/>
      <c r="S107" s="71"/>
      <c r="T107" s="71"/>
      <c r="U107" s="71"/>
      <c r="V107" s="71"/>
      <c r="W107" s="71"/>
      <c r="X107" s="71"/>
    </row>
    <row r="108" spans="1:24" s="72" customFormat="1" ht="211.2" x14ac:dyDescent="0.25">
      <c r="A108" s="69" t="str">
        <f>'Scenario Test'!$A$15</f>
        <v>DPT_CER</v>
      </c>
      <c r="B108" s="70" t="str">
        <f>VLOOKUP(TestCase!A108,'Scenario Test'!$A$4:$B$125,2,0)</f>
        <v>DPT_CER: 11803: Fixed deposit receipt issue</v>
      </c>
      <c r="C108" s="64" t="s">
        <v>89</v>
      </c>
      <c r="D108" s="75"/>
      <c r="E108" s="95" t="s">
        <v>371</v>
      </c>
      <c r="F108" s="94" t="s">
        <v>188</v>
      </c>
      <c r="G108" s="61" t="s">
        <v>27</v>
      </c>
      <c r="H108" s="64"/>
      <c r="I108" s="66">
        <v>45631</v>
      </c>
      <c r="J108" s="76"/>
      <c r="K108" s="76"/>
      <c r="L108" s="76"/>
      <c r="M108" s="76"/>
      <c r="N108" s="76"/>
      <c r="O108" s="66" t="s">
        <v>144</v>
      </c>
      <c r="P108" s="76"/>
      <c r="Q108" s="71"/>
      <c r="R108" s="71"/>
      <c r="S108" s="71"/>
      <c r="T108" s="71"/>
      <c r="U108" s="71"/>
      <c r="V108" s="71"/>
      <c r="W108" s="71"/>
      <c r="X108" s="71"/>
    </row>
    <row r="109" spans="1:24" s="72" customFormat="1" ht="250.8" x14ac:dyDescent="0.25">
      <c r="A109" s="69" t="str">
        <f>'Scenario Test'!$A$15</f>
        <v>DPT_CER</v>
      </c>
      <c r="B109" s="70" t="str">
        <f>VLOOKUP(TestCase!A109,'Scenario Test'!$A$4:$B$125,2,0)</f>
        <v>DPT_CER: 11803: Fixed deposit receipt issue</v>
      </c>
      <c r="C109" s="64" t="s">
        <v>90</v>
      </c>
      <c r="D109" s="79"/>
      <c r="E109" s="95" t="s">
        <v>370</v>
      </c>
      <c r="F109" s="94" t="s">
        <v>189</v>
      </c>
      <c r="G109" s="61" t="s">
        <v>27</v>
      </c>
      <c r="H109" s="75"/>
      <c r="I109" s="66">
        <v>45631</v>
      </c>
      <c r="J109" s="76"/>
      <c r="K109" s="76"/>
      <c r="L109" s="76"/>
      <c r="M109" s="76"/>
      <c r="N109" s="76"/>
      <c r="O109" s="76" t="s">
        <v>144</v>
      </c>
      <c r="P109" s="76"/>
      <c r="Q109" s="71"/>
      <c r="R109" s="71"/>
      <c r="S109" s="71"/>
      <c r="T109" s="71"/>
      <c r="U109" s="71"/>
      <c r="V109" s="71"/>
      <c r="W109" s="71"/>
      <c r="X109" s="71"/>
    </row>
    <row r="110" spans="1:24" s="1" customFormat="1" ht="290.39999999999998" x14ac:dyDescent="0.25">
      <c r="A110" s="69" t="str">
        <f>'Scenario Test'!$A$15</f>
        <v>DPT_CER</v>
      </c>
      <c r="B110" s="70" t="str">
        <f>VLOOKUP(TestCase!A110,'Scenario Test'!$A$4:$B$125,2,0)</f>
        <v>DPT_CER: 11803: Fixed deposit receipt issue</v>
      </c>
      <c r="C110" s="64" t="s">
        <v>91</v>
      </c>
      <c r="D110" s="64"/>
      <c r="E110" s="95" t="s">
        <v>384</v>
      </c>
      <c r="F110" s="94" t="s">
        <v>190</v>
      </c>
      <c r="G110" s="61" t="s">
        <v>27</v>
      </c>
      <c r="H110" s="64"/>
      <c r="I110" s="66">
        <v>45631</v>
      </c>
      <c r="J110" s="67"/>
      <c r="K110" s="67"/>
      <c r="L110" s="67"/>
      <c r="M110" s="67"/>
      <c r="N110" s="67"/>
      <c r="O110" s="66" t="s">
        <v>144</v>
      </c>
      <c r="P110" s="64"/>
      <c r="Q110" s="63"/>
      <c r="R110" s="63"/>
      <c r="S110" s="63"/>
      <c r="T110" s="63"/>
      <c r="U110" s="63"/>
      <c r="V110" s="63"/>
      <c r="W110" s="63"/>
      <c r="X110" s="63"/>
    </row>
    <row r="111" spans="1:24" s="1" customFormat="1" ht="290.39999999999998" x14ac:dyDescent="0.25">
      <c r="A111" s="69" t="str">
        <f>'Scenario Test'!$A$15</f>
        <v>DPT_CER</v>
      </c>
      <c r="B111" s="70" t="str">
        <f>VLOOKUP(TestCase!A111,'Scenario Test'!$A$4:$B$125,2,0)</f>
        <v>DPT_CER: 11803: Fixed deposit receipt issue</v>
      </c>
      <c r="C111" s="64" t="s">
        <v>92</v>
      </c>
      <c r="D111" s="64"/>
      <c r="E111" s="95" t="s">
        <v>385</v>
      </c>
      <c r="F111" s="94" t="s">
        <v>190</v>
      </c>
      <c r="G111" s="61" t="s">
        <v>27</v>
      </c>
      <c r="H111" s="64"/>
      <c r="I111" s="66">
        <v>45631</v>
      </c>
      <c r="J111" s="67"/>
      <c r="K111" s="67"/>
      <c r="L111" s="67"/>
      <c r="M111" s="67"/>
      <c r="N111" s="67"/>
      <c r="O111" s="66" t="s">
        <v>144</v>
      </c>
      <c r="P111" s="64"/>
      <c r="Q111" s="63"/>
      <c r="R111" s="63"/>
      <c r="S111" s="63"/>
      <c r="T111" s="63"/>
      <c r="U111" s="63"/>
      <c r="V111" s="63"/>
      <c r="W111" s="63"/>
      <c r="X111" s="63"/>
    </row>
    <row r="112" spans="1:24" s="1" customFormat="1" ht="303.60000000000002" x14ac:dyDescent="0.25">
      <c r="A112" s="69" t="str">
        <f>'Scenario Test'!$A$15</f>
        <v>DPT_CER</v>
      </c>
      <c r="B112" s="70" t="str">
        <f>VLOOKUP(TestCase!A112,'Scenario Test'!$A$4:$B$125,2,0)</f>
        <v>DPT_CER: 11803: Fixed deposit receipt issue</v>
      </c>
      <c r="C112" s="64" t="s">
        <v>93</v>
      </c>
      <c r="D112" s="64"/>
      <c r="E112" s="95" t="s">
        <v>369</v>
      </c>
      <c r="F112" s="94" t="s">
        <v>190</v>
      </c>
      <c r="G112" s="61" t="s">
        <v>27</v>
      </c>
      <c r="H112" s="64"/>
      <c r="I112" s="66">
        <v>45631</v>
      </c>
      <c r="J112" s="67"/>
      <c r="K112" s="67"/>
      <c r="L112" s="67"/>
      <c r="M112" s="67"/>
      <c r="N112" s="67"/>
      <c r="O112" s="66" t="s">
        <v>144</v>
      </c>
      <c r="P112" s="64"/>
      <c r="Q112" s="63"/>
      <c r="R112" s="63"/>
      <c r="S112" s="63"/>
      <c r="T112" s="63"/>
      <c r="U112" s="63"/>
      <c r="V112" s="63"/>
      <c r="W112" s="63"/>
      <c r="X112" s="63"/>
    </row>
    <row r="113" spans="1:24" s="1" customFormat="1" ht="26.4" x14ac:dyDescent="0.25">
      <c r="A113" s="69" t="str">
        <f>'Scenario Test'!$A$15</f>
        <v>DPT_CER</v>
      </c>
      <c r="B113" s="70" t="str">
        <f>VLOOKUP(TestCase!A113,'Scenario Test'!$A$4:$B$125,2,0)</f>
        <v>DPT_CER: 11803: Fixed deposit receipt issue</v>
      </c>
      <c r="C113" s="64" t="s">
        <v>94</v>
      </c>
      <c r="D113" s="75"/>
      <c r="E113" s="110" t="s">
        <v>261</v>
      </c>
      <c r="F113" s="103" t="s">
        <v>183</v>
      </c>
      <c r="G113" s="61" t="s">
        <v>27</v>
      </c>
      <c r="H113" s="64"/>
      <c r="I113" s="66">
        <v>45631</v>
      </c>
      <c r="J113" s="67"/>
      <c r="K113" s="67"/>
      <c r="L113" s="67"/>
      <c r="M113" s="67"/>
      <c r="N113" s="67"/>
      <c r="O113" s="66" t="s">
        <v>144</v>
      </c>
      <c r="P113" s="64"/>
      <c r="Q113" s="63"/>
      <c r="R113" s="63"/>
      <c r="S113" s="63"/>
      <c r="T113" s="63"/>
      <c r="U113" s="63"/>
      <c r="V113" s="63"/>
      <c r="W113" s="63"/>
      <c r="X113" s="63"/>
    </row>
    <row r="114" spans="1:24" s="72" customFormat="1" ht="26.4" x14ac:dyDescent="0.25">
      <c r="A114" s="69" t="str">
        <f>'Scenario Test'!$A$15</f>
        <v>DPT_CER</v>
      </c>
      <c r="B114" s="70" t="str">
        <f>VLOOKUP(TestCase!A114,'Scenario Test'!$A$4:$B$125,2,0)</f>
        <v>DPT_CER: 11803: Fixed deposit receipt issue</v>
      </c>
      <c r="C114" s="64" t="s">
        <v>373</v>
      </c>
      <c r="D114" s="75"/>
      <c r="E114" s="110" t="s">
        <v>260</v>
      </c>
      <c r="F114" s="103" t="s">
        <v>183</v>
      </c>
      <c r="G114" s="61" t="s">
        <v>27</v>
      </c>
      <c r="H114" s="64"/>
      <c r="I114" s="66">
        <v>45631</v>
      </c>
      <c r="J114" s="76"/>
      <c r="K114" s="76"/>
      <c r="L114" s="76"/>
      <c r="M114" s="76"/>
      <c r="N114" s="76"/>
      <c r="O114" s="66" t="s">
        <v>144</v>
      </c>
      <c r="P114" s="76"/>
      <c r="Q114" s="71"/>
      <c r="R114" s="71"/>
      <c r="S114" s="71"/>
      <c r="T114" s="71"/>
      <c r="U114" s="71"/>
      <c r="V114" s="71"/>
      <c r="W114" s="71"/>
      <c r="X114" s="71"/>
    </row>
    <row r="115" spans="1:24" s="1" customFormat="1" ht="26.4" x14ac:dyDescent="0.25">
      <c r="A115" s="69" t="str">
        <f>'Scenario Test'!$A$15</f>
        <v>DPT_CER</v>
      </c>
      <c r="B115" s="70" t="str">
        <f>VLOOKUP(TestCase!A115,'Scenario Test'!$A$4:$B$125,2,0)</f>
        <v>DPT_CER: 11803: Fixed deposit receipt issue</v>
      </c>
      <c r="C115" s="64" t="s">
        <v>95</v>
      </c>
      <c r="D115" s="75"/>
      <c r="E115" s="110" t="s">
        <v>367</v>
      </c>
      <c r="F115" s="103" t="s">
        <v>183</v>
      </c>
      <c r="G115" s="61" t="s">
        <v>27</v>
      </c>
      <c r="H115" s="64"/>
      <c r="I115" s="66">
        <v>45631</v>
      </c>
      <c r="J115" s="67"/>
      <c r="K115" s="67"/>
      <c r="L115" s="67"/>
      <c r="M115" s="67"/>
      <c r="N115" s="67"/>
      <c r="O115" s="66" t="s">
        <v>144</v>
      </c>
      <c r="P115" s="64"/>
      <c r="Q115" s="63"/>
      <c r="R115" s="63"/>
      <c r="S115" s="63"/>
      <c r="T115" s="63"/>
      <c r="U115" s="63"/>
      <c r="V115" s="63"/>
      <c r="W115" s="63"/>
      <c r="X115" s="63"/>
    </row>
    <row r="116" spans="1:24" s="72" customFormat="1" ht="26.4" x14ac:dyDescent="0.25">
      <c r="A116" s="69" t="str">
        <f>'Scenario Test'!$A$15</f>
        <v>DPT_CER</v>
      </c>
      <c r="B116" s="70" t="str">
        <f>VLOOKUP(TestCase!A116,'Scenario Test'!$A$4:$B$125,2,0)</f>
        <v>DPT_CER: 11803: Fixed deposit receipt issue</v>
      </c>
      <c r="C116" s="64" t="s">
        <v>96</v>
      </c>
      <c r="D116" s="75"/>
      <c r="E116" s="110" t="s">
        <v>368</v>
      </c>
      <c r="F116" s="103" t="s">
        <v>183</v>
      </c>
      <c r="G116" s="61" t="s">
        <v>27</v>
      </c>
      <c r="H116" s="64"/>
      <c r="I116" s="66">
        <v>45631</v>
      </c>
      <c r="J116" s="76"/>
      <c r="K116" s="76"/>
      <c r="L116" s="76"/>
      <c r="M116" s="76"/>
      <c r="N116" s="76"/>
      <c r="O116" s="66" t="s">
        <v>144</v>
      </c>
      <c r="P116" s="76"/>
      <c r="Q116" s="71"/>
      <c r="R116" s="71"/>
      <c r="S116" s="71"/>
      <c r="T116" s="71"/>
      <c r="U116" s="71"/>
      <c r="V116" s="71"/>
      <c r="W116" s="71"/>
      <c r="X116" s="71"/>
    </row>
    <row r="117" spans="1:24" s="1" customFormat="1" ht="145.19999999999999" x14ac:dyDescent="0.25">
      <c r="A117" s="69" t="str">
        <f>'Scenario Test'!$A$15</f>
        <v>DPT_CER</v>
      </c>
      <c r="B117" s="70" t="str">
        <f>VLOOKUP(TestCase!A117,'Scenario Test'!$A$4:$B$125,2,0)</f>
        <v>DPT_CER: 11803: Fixed deposit receipt issue</v>
      </c>
      <c r="C117" s="64" t="s">
        <v>160</v>
      </c>
      <c r="D117" s="64"/>
      <c r="E117" s="95" t="s">
        <v>374</v>
      </c>
      <c r="F117" s="103" t="s">
        <v>183</v>
      </c>
      <c r="G117" s="61" t="s">
        <v>27</v>
      </c>
      <c r="H117" s="64"/>
      <c r="I117" s="66">
        <v>45631</v>
      </c>
      <c r="J117" s="77"/>
      <c r="K117" s="77"/>
      <c r="L117" s="77"/>
      <c r="M117" s="77"/>
      <c r="N117" s="60"/>
      <c r="O117" s="66" t="s">
        <v>144</v>
      </c>
      <c r="P117" s="64"/>
      <c r="Q117" s="63"/>
      <c r="R117" s="63"/>
      <c r="S117" s="63"/>
      <c r="T117" s="63"/>
      <c r="U117" s="63"/>
      <c r="V117" s="63"/>
      <c r="W117" s="63"/>
      <c r="X117" s="63"/>
    </row>
    <row r="118" spans="1:24" s="1" customFormat="1" ht="145.19999999999999" x14ac:dyDescent="0.25">
      <c r="A118" s="69" t="str">
        <f>'Scenario Test'!$A$15</f>
        <v>DPT_CER</v>
      </c>
      <c r="B118" s="70" t="str">
        <f>VLOOKUP(TestCase!A118,'Scenario Test'!$A$4:$B$125,2,0)</f>
        <v>DPT_CER: 11803: Fixed deposit receipt issue</v>
      </c>
      <c r="C118" s="64" t="s">
        <v>161</v>
      </c>
      <c r="D118" s="64"/>
      <c r="E118" s="95" t="s">
        <v>375</v>
      </c>
      <c r="F118" s="103" t="s">
        <v>183</v>
      </c>
      <c r="G118" s="61" t="s">
        <v>27</v>
      </c>
      <c r="H118" s="64"/>
      <c r="I118" s="66">
        <v>45631</v>
      </c>
      <c r="J118" s="77"/>
      <c r="K118" s="77"/>
      <c r="L118" s="77"/>
      <c r="M118" s="77"/>
      <c r="N118" s="60"/>
      <c r="O118" s="66" t="s">
        <v>144</v>
      </c>
      <c r="P118" s="64"/>
      <c r="Q118" s="63"/>
      <c r="R118" s="63"/>
      <c r="S118" s="63"/>
      <c r="T118" s="63"/>
      <c r="U118" s="63"/>
      <c r="V118" s="63"/>
      <c r="W118" s="63"/>
      <c r="X118" s="63"/>
    </row>
    <row r="119" spans="1:24" s="1" customFormat="1" ht="145.19999999999999" x14ac:dyDescent="0.25">
      <c r="A119" s="69" t="str">
        <f>'Scenario Test'!$A$15</f>
        <v>DPT_CER</v>
      </c>
      <c r="B119" s="70" t="str">
        <f>VLOOKUP(TestCase!A119,'Scenario Test'!$A$4:$B$125,2,0)</f>
        <v>DPT_CER: 11803: Fixed deposit receipt issue</v>
      </c>
      <c r="C119" s="64" t="s">
        <v>162</v>
      </c>
      <c r="D119" s="64"/>
      <c r="E119" s="95" t="s">
        <v>376</v>
      </c>
      <c r="F119" s="103" t="s">
        <v>183</v>
      </c>
      <c r="G119" s="61" t="s">
        <v>27</v>
      </c>
      <c r="H119" s="64"/>
      <c r="I119" s="66">
        <v>45631</v>
      </c>
      <c r="J119" s="77"/>
      <c r="K119" s="77"/>
      <c r="L119" s="77"/>
      <c r="M119" s="77"/>
      <c r="N119" s="60"/>
      <c r="O119" s="66" t="s">
        <v>144</v>
      </c>
      <c r="P119" s="64"/>
      <c r="Q119" s="63"/>
      <c r="R119" s="63"/>
      <c r="S119" s="63"/>
      <c r="T119" s="63"/>
      <c r="U119" s="63"/>
      <c r="V119" s="63"/>
      <c r="W119" s="63"/>
      <c r="X119" s="63"/>
    </row>
    <row r="120" spans="1:24" s="1" customFormat="1" ht="145.19999999999999" x14ac:dyDescent="0.25">
      <c r="A120" s="69" t="str">
        <f>'Scenario Test'!$A$15</f>
        <v>DPT_CER</v>
      </c>
      <c r="B120" s="70" t="str">
        <f>VLOOKUP(TestCase!A120,'Scenario Test'!$A$4:$B$125,2,0)</f>
        <v>DPT_CER: 11803: Fixed deposit receipt issue</v>
      </c>
      <c r="C120" s="64" t="s">
        <v>163</v>
      </c>
      <c r="D120" s="64"/>
      <c r="E120" s="95" t="s">
        <v>377</v>
      </c>
      <c r="F120" s="103" t="s">
        <v>183</v>
      </c>
      <c r="G120" s="61" t="s">
        <v>27</v>
      </c>
      <c r="H120" s="64"/>
      <c r="I120" s="66">
        <v>45631</v>
      </c>
      <c r="J120" s="77"/>
      <c r="K120" s="77"/>
      <c r="L120" s="77"/>
      <c r="M120" s="77"/>
      <c r="N120" s="60"/>
      <c r="O120" s="66" t="s">
        <v>144</v>
      </c>
      <c r="P120" s="64"/>
      <c r="Q120" s="63"/>
      <c r="R120" s="63"/>
      <c r="S120" s="63"/>
      <c r="T120" s="63"/>
      <c r="U120" s="63"/>
      <c r="V120" s="63"/>
      <c r="W120" s="63"/>
      <c r="X120" s="63"/>
    </row>
    <row r="121" spans="1:24" s="1" customFormat="1" ht="145.19999999999999" x14ac:dyDescent="0.25">
      <c r="A121" s="69" t="str">
        <f>'Scenario Test'!$A$15</f>
        <v>DPT_CER</v>
      </c>
      <c r="B121" s="70" t="str">
        <f>VLOOKUP(TestCase!A121,'Scenario Test'!$A$4:$B$125,2,0)</f>
        <v>DPT_CER: 11803: Fixed deposit receipt issue</v>
      </c>
      <c r="C121" s="64" t="s">
        <v>164</v>
      </c>
      <c r="D121" s="64"/>
      <c r="E121" s="95" t="s">
        <v>378</v>
      </c>
      <c r="F121" s="103" t="s">
        <v>183</v>
      </c>
      <c r="G121" s="61" t="s">
        <v>27</v>
      </c>
      <c r="H121" s="64" t="s">
        <v>493</v>
      </c>
      <c r="I121" s="66">
        <v>45631</v>
      </c>
      <c r="J121" s="77"/>
      <c r="K121" s="77"/>
      <c r="L121" s="77"/>
      <c r="M121" s="77"/>
      <c r="N121" s="60"/>
      <c r="O121" s="66" t="s">
        <v>144</v>
      </c>
      <c r="P121" s="64"/>
      <c r="Q121" s="63"/>
      <c r="R121" s="63"/>
      <c r="S121" s="63"/>
      <c r="T121" s="63"/>
      <c r="U121" s="63"/>
      <c r="V121" s="63"/>
      <c r="W121" s="63"/>
      <c r="X121" s="63"/>
    </row>
    <row r="122" spans="1:24" s="1" customFormat="1" ht="132" x14ac:dyDescent="0.25">
      <c r="A122" s="69" t="str">
        <f>'Scenario Test'!$A$15</f>
        <v>DPT_CER</v>
      </c>
      <c r="B122" s="70" t="str">
        <f>VLOOKUP(TestCase!A122,'Scenario Test'!$A$4:$B$125,2,0)</f>
        <v>DPT_CER: 11803: Fixed deposit receipt issue</v>
      </c>
      <c r="C122" s="64" t="s">
        <v>165</v>
      </c>
      <c r="D122" s="64"/>
      <c r="E122" s="95" t="s">
        <v>381</v>
      </c>
      <c r="F122" s="103" t="s">
        <v>183</v>
      </c>
      <c r="G122" s="61" t="s">
        <v>27</v>
      </c>
      <c r="H122" s="64"/>
      <c r="I122" s="66">
        <v>45631</v>
      </c>
      <c r="J122" s="77"/>
      <c r="K122" s="77"/>
      <c r="L122" s="77"/>
      <c r="M122" s="77"/>
      <c r="N122" s="60"/>
      <c r="O122" s="66" t="s">
        <v>144</v>
      </c>
      <c r="P122" s="64"/>
      <c r="Q122" s="63"/>
      <c r="R122" s="63"/>
      <c r="S122" s="63"/>
      <c r="T122" s="63"/>
      <c r="U122" s="63"/>
      <c r="V122" s="63"/>
      <c r="W122" s="63"/>
      <c r="X122" s="63"/>
    </row>
    <row r="123" spans="1:24" s="1" customFormat="1" ht="145.19999999999999" x14ac:dyDescent="0.25">
      <c r="A123" s="69" t="str">
        <f>'Scenario Test'!$A$15</f>
        <v>DPT_CER</v>
      </c>
      <c r="B123" s="70" t="str">
        <f>VLOOKUP(TestCase!A123,'Scenario Test'!$A$4:$B$125,2,0)</f>
        <v>DPT_CER: 11803: Fixed deposit receipt issue</v>
      </c>
      <c r="C123" s="64" t="s">
        <v>166</v>
      </c>
      <c r="D123" s="64"/>
      <c r="E123" s="95" t="s">
        <v>379</v>
      </c>
      <c r="F123" s="103" t="s">
        <v>183</v>
      </c>
      <c r="G123" s="61" t="s">
        <v>27</v>
      </c>
      <c r="H123" s="64"/>
      <c r="I123" s="66">
        <v>45631</v>
      </c>
      <c r="J123" s="77"/>
      <c r="K123" s="77"/>
      <c r="L123" s="77"/>
      <c r="M123" s="77"/>
      <c r="N123" s="60"/>
      <c r="O123" s="66" t="s">
        <v>144</v>
      </c>
      <c r="P123" s="64"/>
      <c r="Q123" s="63"/>
      <c r="R123" s="63"/>
      <c r="S123" s="63"/>
      <c r="T123" s="63"/>
      <c r="U123" s="63"/>
      <c r="V123" s="63"/>
      <c r="W123" s="63"/>
      <c r="X123" s="63"/>
    </row>
    <row r="124" spans="1:24" s="1" customFormat="1" ht="145.19999999999999" x14ac:dyDescent="0.25">
      <c r="A124" s="69" t="str">
        <f>'Scenario Test'!$A$15</f>
        <v>DPT_CER</v>
      </c>
      <c r="B124" s="70" t="str">
        <f>VLOOKUP(TestCase!A124,'Scenario Test'!$A$4:$B$125,2,0)</f>
        <v>DPT_CER: 11803: Fixed deposit receipt issue</v>
      </c>
      <c r="C124" s="64" t="s">
        <v>167</v>
      </c>
      <c r="D124" s="64"/>
      <c r="E124" s="95" t="s">
        <v>380</v>
      </c>
      <c r="F124" s="103" t="s">
        <v>183</v>
      </c>
      <c r="G124" s="61" t="s">
        <v>27</v>
      </c>
      <c r="H124" s="64"/>
      <c r="I124" s="66">
        <v>45631</v>
      </c>
      <c r="J124" s="77"/>
      <c r="K124" s="77"/>
      <c r="L124" s="77"/>
      <c r="M124" s="77"/>
      <c r="N124" s="60"/>
      <c r="O124" s="66" t="s">
        <v>144</v>
      </c>
      <c r="P124" s="64"/>
      <c r="Q124" s="63"/>
      <c r="R124" s="63"/>
      <c r="S124" s="63"/>
      <c r="T124" s="63"/>
      <c r="U124" s="63"/>
      <c r="V124" s="63"/>
      <c r="W124" s="63"/>
      <c r="X124" s="63"/>
    </row>
    <row r="125" spans="1:24" s="1" customFormat="1" ht="145.19999999999999" x14ac:dyDescent="0.25">
      <c r="A125" s="69" t="str">
        <f>'Scenario Test'!$A$15</f>
        <v>DPT_CER</v>
      </c>
      <c r="B125" s="70" t="str">
        <f>VLOOKUP(TestCase!A125,'Scenario Test'!$A$4:$B$125,2,0)</f>
        <v>DPT_CER: 11803: Fixed deposit receipt issue</v>
      </c>
      <c r="C125" s="64" t="s">
        <v>168</v>
      </c>
      <c r="D125" s="64"/>
      <c r="E125" s="95" t="s">
        <v>382</v>
      </c>
      <c r="F125" s="103" t="s">
        <v>183</v>
      </c>
      <c r="G125" s="61" t="s">
        <v>27</v>
      </c>
      <c r="H125" s="64"/>
      <c r="I125" s="66">
        <v>45631</v>
      </c>
      <c r="J125" s="77"/>
      <c r="K125" s="77"/>
      <c r="L125" s="77"/>
      <c r="M125" s="77"/>
      <c r="N125" s="60"/>
      <c r="O125" s="66" t="s">
        <v>144</v>
      </c>
      <c r="P125" s="64"/>
      <c r="Q125" s="63"/>
      <c r="R125" s="63"/>
      <c r="S125" s="63"/>
      <c r="T125" s="63"/>
      <c r="U125" s="63"/>
      <c r="V125" s="63"/>
      <c r="W125" s="63"/>
      <c r="X125" s="63"/>
    </row>
    <row r="126" spans="1:24" s="1" customFormat="1" ht="158.4" x14ac:dyDescent="0.25">
      <c r="A126" s="69" t="str">
        <f>'Scenario Test'!$A$15</f>
        <v>DPT_CER</v>
      </c>
      <c r="B126" s="70" t="str">
        <f>VLOOKUP(TestCase!A126,'Scenario Test'!$A$4:$B$125,2,0)</f>
        <v>DPT_CER: 11803: Fixed deposit receipt issue</v>
      </c>
      <c r="C126" s="64" t="s">
        <v>228</v>
      </c>
      <c r="D126" s="64"/>
      <c r="E126" s="95" t="s">
        <v>383</v>
      </c>
      <c r="F126" s="103" t="s">
        <v>183</v>
      </c>
      <c r="G126" s="61" t="s">
        <v>27</v>
      </c>
      <c r="H126" s="64"/>
      <c r="I126" s="66">
        <v>45631</v>
      </c>
      <c r="J126" s="77"/>
      <c r="K126" s="77"/>
      <c r="L126" s="77"/>
      <c r="M126" s="77"/>
      <c r="N126" s="60"/>
      <c r="O126" s="66" t="s">
        <v>144</v>
      </c>
      <c r="P126" s="64"/>
      <c r="Q126" s="63"/>
      <c r="R126" s="63"/>
      <c r="S126" s="63"/>
      <c r="T126" s="63"/>
      <c r="U126" s="63"/>
      <c r="V126" s="63"/>
      <c r="W126" s="63"/>
      <c r="X126" s="63"/>
    </row>
    <row r="127" spans="1:24" s="1" customFormat="1" ht="198" x14ac:dyDescent="0.25">
      <c r="A127" s="69" t="str">
        <f>'Scenario Test'!$A$15</f>
        <v>DPT_CER</v>
      </c>
      <c r="B127" s="70" t="str">
        <f>VLOOKUP(TestCase!A127,'Scenario Test'!$A$4:$B$125,2,0)</f>
        <v>DPT_CER: 11803: Fixed deposit receipt issue</v>
      </c>
      <c r="C127" s="64" t="s">
        <v>229</v>
      </c>
      <c r="D127" s="64"/>
      <c r="E127" s="95" t="s">
        <v>386</v>
      </c>
      <c r="F127" s="103" t="s">
        <v>183</v>
      </c>
      <c r="G127" s="61" t="s">
        <v>27</v>
      </c>
      <c r="H127" s="64"/>
      <c r="I127" s="66">
        <v>45631</v>
      </c>
      <c r="J127" s="77"/>
      <c r="K127" s="77"/>
      <c r="L127" s="77"/>
      <c r="M127" s="77"/>
      <c r="N127" s="60"/>
      <c r="O127" s="66" t="s">
        <v>144</v>
      </c>
      <c r="P127" s="64"/>
      <c r="Q127" s="63"/>
      <c r="R127" s="63"/>
      <c r="S127" s="63"/>
      <c r="T127" s="63"/>
      <c r="U127" s="63"/>
      <c r="V127" s="63"/>
      <c r="W127" s="63"/>
      <c r="X127" s="63"/>
    </row>
    <row r="128" spans="1:24" s="1" customFormat="1" ht="198" x14ac:dyDescent="0.25">
      <c r="A128" s="69" t="str">
        <f>'Scenario Test'!$A$15</f>
        <v>DPT_CER</v>
      </c>
      <c r="B128" s="70" t="str">
        <f>VLOOKUP(TestCase!A128,'Scenario Test'!$A$4:$B$125,2,0)</f>
        <v>DPT_CER: 11803: Fixed deposit receipt issue</v>
      </c>
      <c r="C128" s="64" t="s">
        <v>230</v>
      </c>
      <c r="D128" s="64"/>
      <c r="E128" s="95" t="s">
        <v>389</v>
      </c>
      <c r="F128" s="103" t="s">
        <v>183</v>
      </c>
      <c r="G128" s="61" t="s">
        <v>27</v>
      </c>
      <c r="H128" s="64"/>
      <c r="I128" s="66">
        <v>45631</v>
      </c>
      <c r="J128" s="77"/>
      <c r="K128" s="77"/>
      <c r="L128" s="77"/>
      <c r="M128" s="77"/>
      <c r="N128" s="60"/>
      <c r="O128" s="66" t="s">
        <v>144</v>
      </c>
      <c r="P128" s="64"/>
      <c r="Q128" s="63"/>
      <c r="R128" s="63"/>
      <c r="S128" s="63"/>
      <c r="T128" s="63"/>
      <c r="U128" s="63"/>
      <c r="V128" s="63"/>
      <c r="W128" s="63"/>
      <c r="X128" s="63"/>
    </row>
    <row r="129" spans="1:24" s="1" customFormat="1" ht="198" x14ac:dyDescent="0.25">
      <c r="A129" s="69" t="str">
        <f>'Scenario Test'!$A$15</f>
        <v>DPT_CER</v>
      </c>
      <c r="B129" s="70" t="str">
        <f>VLOOKUP(TestCase!A129,'Scenario Test'!$A$4:$B$125,2,0)</f>
        <v>DPT_CER: 11803: Fixed deposit receipt issue</v>
      </c>
      <c r="C129" s="64" t="s">
        <v>231</v>
      </c>
      <c r="D129" s="64"/>
      <c r="E129" s="95" t="s">
        <v>388</v>
      </c>
      <c r="F129" s="103" t="s">
        <v>183</v>
      </c>
      <c r="G129" s="61" t="s">
        <v>27</v>
      </c>
      <c r="H129" s="64"/>
      <c r="I129" s="66">
        <v>45631</v>
      </c>
      <c r="J129" s="77"/>
      <c r="K129" s="77"/>
      <c r="L129" s="77"/>
      <c r="M129" s="77"/>
      <c r="N129" s="60"/>
      <c r="O129" s="66" t="s">
        <v>144</v>
      </c>
      <c r="P129" s="64"/>
      <c r="Q129" s="63"/>
      <c r="R129" s="63"/>
      <c r="S129" s="63"/>
      <c r="T129" s="63"/>
      <c r="U129" s="63"/>
      <c r="V129" s="63"/>
      <c r="W129" s="63"/>
      <c r="X129" s="63"/>
    </row>
    <row r="130" spans="1:24" s="1" customFormat="1" ht="198" x14ac:dyDescent="0.25">
      <c r="A130" s="69" t="str">
        <f>'Scenario Test'!$A$15</f>
        <v>DPT_CER</v>
      </c>
      <c r="B130" s="70" t="str">
        <f>VLOOKUP(TestCase!A130,'Scenario Test'!$A$4:$B$125,2,0)</f>
        <v>DPT_CER: 11803: Fixed deposit receipt issue</v>
      </c>
      <c r="C130" s="64" t="s">
        <v>232</v>
      </c>
      <c r="D130" s="64"/>
      <c r="E130" s="95" t="s">
        <v>387</v>
      </c>
      <c r="F130" s="103" t="s">
        <v>183</v>
      </c>
      <c r="G130" s="61" t="s">
        <v>27</v>
      </c>
      <c r="H130" s="64" t="s">
        <v>493</v>
      </c>
      <c r="I130" s="66">
        <v>45631</v>
      </c>
      <c r="J130" s="77"/>
      <c r="K130" s="77"/>
      <c r="L130" s="77"/>
      <c r="M130" s="77"/>
      <c r="N130" s="60"/>
      <c r="O130" s="66" t="s">
        <v>144</v>
      </c>
      <c r="P130" s="64"/>
      <c r="Q130" s="63"/>
      <c r="R130" s="63"/>
      <c r="S130" s="63"/>
      <c r="T130" s="63"/>
      <c r="U130" s="63"/>
      <c r="V130" s="63"/>
      <c r="W130" s="63"/>
      <c r="X130" s="63"/>
    </row>
    <row r="131" spans="1:24" s="1" customFormat="1" ht="211.2" x14ac:dyDescent="0.25">
      <c r="A131" s="69" t="str">
        <f>'Scenario Test'!$A$15</f>
        <v>DPT_CER</v>
      </c>
      <c r="B131" s="70" t="str">
        <f>VLOOKUP(TestCase!A131,'Scenario Test'!$A$4:$B$125,2,0)</f>
        <v>DPT_CER: 11803: Fixed deposit receipt issue</v>
      </c>
      <c r="C131" s="64" t="s">
        <v>233</v>
      </c>
      <c r="D131" s="64"/>
      <c r="E131" s="95" t="s">
        <v>390</v>
      </c>
      <c r="F131" s="103" t="s">
        <v>183</v>
      </c>
      <c r="G131" s="61" t="s">
        <v>27</v>
      </c>
      <c r="H131" s="64" t="s">
        <v>493</v>
      </c>
      <c r="I131" s="66">
        <v>45631</v>
      </c>
      <c r="J131" s="77"/>
      <c r="K131" s="77"/>
      <c r="L131" s="77"/>
      <c r="M131" s="77"/>
      <c r="N131" s="60"/>
      <c r="O131" s="66" t="s">
        <v>144</v>
      </c>
      <c r="P131" s="64"/>
      <c r="Q131" s="63"/>
      <c r="R131" s="63"/>
      <c r="S131" s="63"/>
      <c r="T131" s="63"/>
      <c r="U131" s="63"/>
      <c r="V131" s="63"/>
      <c r="W131" s="63"/>
      <c r="X131" s="63"/>
    </row>
    <row r="132" spans="1:24" s="1" customFormat="1" ht="211.2" x14ac:dyDescent="0.25">
      <c r="A132" s="69" t="str">
        <f>'Scenario Test'!$A$15</f>
        <v>DPT_CER</v>
      </c>
      <c r="B132" s="70" t="str">
        <f>VLOOKUP(TestCase!A132,'Scenario Test'!$A$4:$B$125,2,0)</f>
        <v>DPT_CER: 11803: Fixed deposit receipt issue</v>
      </c>
      <c r="C132" s="64" t="s">
        <v>234</v>
      </c>
      <c r="D132" s="64"/>
      <c r="E132" s="95" t="s">
        <v>391</v>
      </c>
      <c r="F132" s="103" t="s">
        <v>183</v>
      </c>
      <c r="G132" s="61" t="s">
        <v>27</v>
      </c>
      <c r="H132" s="64"/>
      <c r="I132" s="66">
        <v>45631</v>
      </c>
      <c r="J132" s="77"/>
      <c r="K132" s="77"/>
      <c r="L132" s="77"/>
      <c r="M132" s="77"/>
      <c r="N132" s="60"/>
      <c r="O132" s="66" t="s">
        <v>144</v>
      </c>
      <c r="P132" s="64"/>
      <c r="Q132" s="63"/>
      <c r="R132" s="63"/>
      <c r="S132" s="63"/>
      <c r="T132" s="63"/>
      <c r="U132" s="63"/>
      <c r="V132" s="63"/>
      <c r="W132" s="63"/>
      <c r="X132" s="63"/>
    </row>
    <row r="133" spans="1:24" s="1" customFormat="1" ht="211.2" x14ac:dyDescent="0.25">
      <c r="A133" s="69" t="str">
        <f>'Scenario Test'!$A$15</f>
        <v>DPT_CER</v>
      </c>
      <c r="B133" s="70" t="str">
        <f>VLOOKUP(TestCase!A133,'Scenario Test'!$A$4:$B$125,2,0)</f>
        <v>DPT_CER: 11803: Fixed deposit receipt issue</v>
      </c>
      <c r="C133" s="64" t="s">
        <v>235</v>
      </c>
      <c r="D133" s="64"/>
      <c r="E133" s="95" t="s">
        <v>392</v>
      </c>
      <c r="F133" s="103" t="s">
        <v>183</v>
      </c>
      <c r="G133" s="61" t="s">
        <v>27</v>
      </c>
      <c r="H133" s="64"/>
      <c r="I133" s="66">
        <v>45631</v>
      </c>
      <c r="J133" s="77"/>
      <c r="K133" s="77"/>
      <c r="L133" s="77"/>
      <c r="M133" s="77"/>
      <c r="N133" s="60"/>
      <c r="O133" s="66" t="s">
        <v>144</v>
      </c>
      <c r="P133" s="64"/>
      <c r="Q133" s="63"/>
      <c r="R133" s="63"/>
      <c r="S133" s="63"/>
      <c r="T133" s="63"/>
      <c r="U133" s="63"/>
      <c r="V133" s="63"/>
      <c r="W133" s="63"/>
      <c r="X133" s="63"/>
    </row>
    <row r="134" spans="1:24" s="1" customFormat="1" ht="211.2" x14ac:dyDescent="0.25">
      <c r="A134" s="69" t="str">
        <f>'Scenario Test'!$A$15</f>
        <v>DPT_CER</v>
      </c>
      <c r="B134" s="70" t="str">
        <f>VLOOKUP(TestCase!A134,'Scenario Test'!$A$4:$B$125,2,0)</f>
        <v>DPT_CER: 11803: Fixed deposit receipt issue</v>
      </c>
      <c r="C134" s="64" t="s">
        <v>236</v>
      </c>
      <c r="D134" s="64"/>
      <c r="E134" s="95" t="s">
        <v>393</v>
      </c>
      <c r="F134" s="103" t="s">
        <v>183</v>
      </c>
      <c r="G134" s="61" t="s">
        <v>27</v>
      </c>
      <c r="H134" s="64"/>
      <c r="I134" s="66">
        <v>45631</v>
      </c>
      <c r="J134" s="77"/>
      <c r="K134" s="77"/>
      <c r="L134" s="77"/>
      <c r="M134" s="77"/>
      <c r="N134" s="60"/>
      <c r="O134" s="66" t="s">
        <v>144</v>
      </c>
      <c r="P134" s="64"/>
      <c r="Q134" s="63"/>
      <c r="R134" s="63"/>
      <c r="S134" s="63"/>
      <c r="T134" s="63"/>
      <c r="U134" s="63"/>
      <c r="V134" s="63"/>
      <c r="W134" s="63"/>
      <c r="X134" s="63"/>
    </row>
    <row r="135" spans="1:24" s="1" customFormat="1" ht="211.2" x14ac:dyDescent="0.25">
      <c r="A135" s="69" t="str">
        <f>'Scenario Test'!$A$15</f>
        <v>DPT_CER</v>
      </c>
      <c r="B135" s="70" t="str">
        <f>VLOOKUP(TestCase!A135,'Scenario Test'!$A$4:$B$125,2,0)</f>
        <v>DPT_CER: 11803: Fixed deposit receipt issue</v>
      </c>
      <c r="C135" s="64" t="s">
        <v>237</v>
      </c>
      <c r="D135" s="64"/>
      <c r="E135" s="95" t="s">
        <v>394</v>
      </c>
      <c r="F135" s="103" t="s">
        <v>183</v>
      </c>
      <c r="G135" s="61" t="s">
        <v>27</v>
      </c>
      <c r="H135" s="64"/>
      <c r="I135" s="66">
        <v>45631</v>
      </c>
      <c r="J135" s="77"/>
      <c r="K135" s="77"/>
      <c r="L135" s="77"/>
      <c r="M135" s="77"/>
      <c r="N135" s="60"/>
      <c r="O135" s="66" t="s">
        <v>144</v>
      </c>
      <c r="P135" s="64"/>
      <c r="Q135" s="63"/>
      <c r="R135" s="63"/>
      <c r="S135" s="63"/>
      <c r="T135" s="63"/>
      <c r="U135" s="63"/>
      <c r="V135" s="63"/>
      <c r="W135" s="63"/>
      <c r="X135" s="63"/>
    </row>
    <row r="136" spans="1:24" s="1" customFormat="1" ht="26.4" x14ac:dyDescent="0.25">
      <c r="A136" s="69" t="str">
        <f>'Scenario Test'!$A$15</f>
        <v>DPT_CER</v>
      </c>
      <c r="B136" s="70" t="str">
        <f>VLOOKUP(TestCase!A136,'Scenario Test'!$A$4:$B$125,2,0)</f>
        <v>DPT_CER: 11803: Fixed deposit receipt issue</v>
      </c>
      <c r="C136" s="64" t="s">
        <v>395</v>
      </c>
      <c r="D136" s="64"/>
      <c r="E136" s="110" t="s">
        <v>184</v>
      </c>
      <c r="F136" s="103" t="s">
        <v>187</v>
      </c>
      <c r="G136" s="61" t="s">
        <v>27</v>
      </c>
      <c r="H136" s="64"/>
      <c r="I136" s="66">
        <v>45631</v>
      </c>
      <c r="J136" s="67"/>
      <c r="K136" s="67"/>
      <c r="L136" s="67"/>
      <c r="M136" s="67"/>
      <c r="N136" s="67"/>
      <c r="O136" s="66" t="s">
        <v>144</v>
      </c>
      <c r="P136" s="64"/>
      <c r="Q136" s="63"/>
      <c r="R136" s="63"/>
      <c r="S136" s="63"/>
      <c r="T136" s="63"/>
      <c r="U136" s="63"/>
      <c r="V136" s="63"/>
      <c r="W136" s="63"/>
      <c r="X136" s="63"/>
    </row>
    <row r="137" spans="1:24" s="68" customFormat="1" ht="13.2" x14ac:dyDescent="0.25">
      <c r="A137" s="97" t="str">
        <f>'Scenario Test'!$A$18</f>
        <v>DPT_CWC</v>
      </c>
      <c r="B137" s="98" t="str">
        <f>VLOOKUP(TestCase!A137,'Scenario Test'!$A$4:$B$125,2,0)</f>
        <v>DPT_CWC: 1121: Cash withdrawal by cheque</v>
      </c>
      <c r="C137" s="107"/>
      <c r="D137" s="107"/>
      <c r="E137" s="108"/>
      <c r="F137" s="107"/>
      <c r="G137" s="107"/>
      <c r="H137" s="107"/>
      <c r="I137" s="109"/>
      <c r="J137" s="109"/>
      <c r="K137" s="109"/>
      <c r="L137" s="109"/>
      <c r="M137" s="109"/>
      <c r="N137" s="109"/>
      <c r="O137" s="109"/>
      <c r="P137" s="109"/>
      <c r="Q137" s="1"/>
      <c r="R137" s="1"/>
      <c r="S137" s="1"/>
      <c r="T137" s="1"/>
      <c r="U137" s="1"/>
      <c r="V137" s="1"/>
      <c r="W137" s="1"/>
      <c r="X137" s="1"/>
    </row>
    <row r="138" spans="1:24" s="72" customFormat="1" ht="172.2" x14ac:dyDescent="0.25">
      <c r="A138" s="69" t="str">
        <f>'Scenario Test'!$A$18</f>
        <v>DPT_CWC</v>
      </c>
      <c r="B138" s="70" t="str">
        <f>VLOOKUP(TestCase!A138,'Scenario Test'!$A$4:$B$125,2,0)</f>
        <v>DPT_CWC: 1121: Cash withdrawal by cheque</v>
      </c>
      <c r="C138" s="64" t="s">
        <v>106</v>
      </c>
      <c r="D138" s="75"/>
      <c r="E138" s="103" t="s">
        <v>473</v>
      </c>
      <c r="F138" s="64" t="s">
        <v>238</v>
      </c>
      <c r="G138" s="61" t="s">
        <v>27</v>
      </c>
      <c r="H138" s="64"/>
      <c r="I138" s="66">
        <v>45632</v>
      </c>
      <c r="J138" s="76"/>
      <c r="K138" s="76"/>
      <c r="L138" s="76"/>
      <c r="M138" s="76"/>
      <c r="N138" s="76"/>
      <c r="O138" s="66" t="s">
        <v>144</v>
      </c>
      <c r="P138" s="76"/>
      <c r="Q138" s="71"/>
      <c r="R138" s="71"/>
      <c r="S138" s="71"/>
      <c r="T138" s="71"/>
      <c r="U138" s="71"/>
      <c r="V138" s="71"/>
      <c r="W138" s="71"/>
      <c r="X138" s="71"/>
    </row>
    <row r="139" spans="1:24" s="72" customFormat="1" ht="186" x14ac:dyDescent="0.25">
      <c r="A139" s="69" t="str">
        <f>'Scenario Test'!$A$18</f>
        <v>DPT_CWC</v>
      </c>
      <c r="B139" s="70" t="str">
        <f>VLOOKUP(TestCase!A139,'Scenario Test'!$A$4:$B$125,2,0)</f>
        <v>DPT_CWC: 1121: Cash withdrawal by cheque</v>
      </c>
      <c r="C139" s="64" t="s">
        <v>107</v>
      </c>
      <c r="D139" s="75"/>
      <c r="E139" s="103" t="s">
        <v>485</v>
      </c>
      <c r="F139" s="64" t="s">
        <v>238</v>
      </c>
      <c r="G139" s="61" t="s">
        <v>27</v>
      </c>
      <c r="H139" s="64"/>
      <c r="I139" s="66">
        <v>45632</v>
      </c>
      <c r="J139" s="76"/>
      <c r="K139" s="76"/>
      <c r="L139" s="76"/>
      <c r="M139" s="76"/>
      <c r="N139" s="76"/>
      <c r="O139" s="66" t="s">
        <v>144</v>
      </c>
      <c r="P139" s="76"/>
      <c r="Q139" s="71"/>
      <c r="R139" s="71"/>
      <c r="S139" s="71"/>
      <c r="T139" s="71"/>
      <c r="U139" s="71"/>
      <c r="V139" s="71"/>
      <c r="W139" s="71"/>
      <c r="X139" s="71"/>
    </row>
    <row r="140" spans="1:24" s="72" customFormat="1" ht="255" x14ac:dyDescent="0.25">
      <c r="A140" s="69" t="str">
        <f>'Scenario Test'!$A$18</f>
        <v>DPT_CWC</v>
      </c>
      <c r="B140" s="70" t="str">
        <f>VLOOKUP(TestCase!A140,'Scenario Test'!$A$4:$B$125,2,0)</f>
        <v>DPT_CWC: 1121: Cash withdrawal by cheque</v>
      </c>
      <c r="C140" s="64" t="s">
        <v>108</v>
      </c>
      <c r="D140" s="75"/>
      <c r="E140" s="103" t="s">
        <v>475</v>
      </c>
      <c r="F140" s="64" t="s">
        <v>238</v>
      </c>
      <c r="G140" s="61" t="s">
        <v>27</v>
      </c>
      <c r="H140" s="64"/>
      <c r="I140" s="66">
        <v>45632</v>
      </c>
      <c r="J140" s="76"/>
      <c r="K140" s="76"/>
      <c r="L140" s="76"/>
      <c r="M140" s="76"/>
      <c r="N140" s="76"/>
      <c r="O140" s="66" t="s">
        <v>144</v>
      </c>
      <c r="P140" s="76"/>
      <c r="Q140" s="71"/>
      <c r="R140" s="71"/>
      <c r="S140" s="71"/>
      <c r="T140" s="71"/>
      <c r="U140" s="71"/>
      <c r="V140" s="71"/>
      <c r="W140" s="71"/>
      <c r="X140" s="71"/>
    </row>
    <row r="141" spans="1:24" s="63" customFormat="1" ht="26.4" x14ac:dyDescent="0.25">
      <c r="A141" s="69" t="str">
        <f>'Scenario Test'!$A$18</f>
        <v>DPT_CWC</v>
      </c>
      <c r="B141" s="70" t="str">
        <f>VLOOKUP(TestCase!A141,'Scenario Test'!$A$4:$B$125,2,0)</f>
        <v>DPT_CWC: 1121: Cash withdrawal by cheque</v>
      </c>
      <c r="C141" s="64" t="s">
        <v>109</v>
      </c>
      <c r="D141" s="100"/>
      <c r="E141" s="112" t="s">
        <v>436</v>
      </c>
      <c r="F141" s="101" t="s">
        <v>185</v>
      </c>
      <c r="G141" s="102" t="s">
        <v>27</v>
      </c>
      <c r="H141" s="103"/>
      <c r="I141" s="66">
        <v>45632</v>
      </c>
      <c r="J141" s="104"/>
      <c r="K141" s="104"/>
      <c r="L141" s="104"/>
      <c r="M141" s="104"/>
      <c r="N141" s="102" t="s">
        <v>144</v>
      </c>
      <c r="O141" s="103"/>
      <c r="P141" s="113"/>
    </row>
    <row r="142" spans="1:24" s="1" customFormat="1" ht="26.4" x14ac:dyDescent="0.25">
      <c r="A142" s="69" t="str">
        <f>'Scenario Test'!$A$18</f>
        <v>DPT_CWC</v>
      </c>
      <c r="B142" s="70" t="str">
        <f>VLOOKUP(TestCase!A142,'Scenario Test'!$A$4:$B$125,2,0)</f>
        <v>DPT_CWC: 1121: Cash withdrawal by cheque</v>
      </c>
      <c r="C142" s="64" t="s">
        <v>110</v>
      </c>
      <c r="D142" s="75"/>
      <c r="E142" s="110" t="s">
        <v>396</v>
      </c>
      <c r="F142" s="103" t="s">
        <v>183</v>
      </c>
      <c r="G142" s="102" t="s">
        <v>27</v>
      </c>
      <c r="H142" s="64"/>
      <c r="I142" s="66">
        <v>45632</v>
      </c>
      <c r="J142" s="67"/>
      <c r="K142" s="67"/>
      <c r="L142" s="67"/>
      <c r="M142" s="67"/>
      <c r="N142" s="67"/>
      <c r="O142" s="66" t="s">
        <v>144</v>
      </c>
      <c r="P142" s="64"/>
      <c r="Q142" s="63"/>
      <c r="R142" s="63"/>
      <c r="S142" s="63"/>
      <c r="T142" s="63"/>
      <c r="U142" s="63"/>
      <c r="V142" s="63"/>
      <c r="W142" s="63"/>
      <c r="X142" s="63"/>
    </row>
    <row r="143" spans="1:24" s="72" customFormat="1" ht="26.4" x14ac:dyDescent="0.25">
      <c r="A143" s="69" t="str">
        <f>'Scenario Test'!$A$18</f>
        <v>DPT_CWC</v>
      </c>
      <c r="B143" s="70" t="str">
        <f>VLOOKUP(TestCase!A143,'Scenario Test'!$A$4:$B$125,2,0)</f>
        <v>DPT_CWC: 1121: Cash withdrawal by cheque</v>
      </c>
      <c r="C143" s="64" t="s">
        <v>111</v>
      </c>
      <c r="D143" s="75"/>
      <c r="E143" s="110" t="s">
        <v>397</v>
      </c>
      <c r="F143" s="103" t="s">
        <v>183</v>
      </c>
      <c r="G143" s="102" t="s">
        <v>27</v>
      </c>
      <c r="H143" s="64"/>
      <c r="I143" s="66">
        <v>45632</v>
      </c>
      <c r="J143" s="76"/>
      <c r="K143" s="76"/>
      <c r="L143" s="76"/>
      <c r="M143" s="76"/>
      <c r="N143" s="76"/>
      <c r="O143" s="66" t="s">
        <v>144</v>
      </c>
      <c r="P143" s="76"/>
      <c r="Q143" s="71"/>
      <c r="R143" s="71"/>
      <c r="S143" s="71"/>
      <c r="T143" s="71"/>
      <c r="U143" s="71"/>
      <c r="V143" s="71"/>
      <c r="W143" s="71"/>
      <c r="X143" s="71"/>
    </row>
    <row r="144" spans="1:24" s="1" customFormat="1" ht="26.4" x14ac:dyDescent="0.25">
      <c r="A144" s="69" t="str">
        <f>'Scenario Test'!$A$18</f>
        <v>DPT_CWC</v>
      </c>
      <c r="B144" s="70" t="str">
        <f>VLOOKUP(TestCase!A144,'Scenario Test'!$A$4:$B$125,2,0)</f>
        <v>DPT_CWC: 1121: Cash withdrawal by cheque</v>
      </c>
      <c r="C144" s="64" t="s">
        <v>112</v>
      </c>
      <c r="D144" s="75"/>
      <c r="E144" s="110" t="s">
        <v>398</v>
      </c>
      <c r="F144" s="103" t="s">
        <v>183</v>
      </c>
      <c r="G144" s="102" t="s">
        <v>27</v>
      </c>
      <c r="H144" s="64"/>
      <c r="I144" s="66">
        <v>45632</v>
      </c>
      <c r="J144" s="67"/>
      <c r="K144" s="67"/>
      <c r="L144" s="67"/>
      <c r="M144" s="67"/>
      <c r="N144" s="67"/>
      <c r="O144" s="66" t="s">
        <v>144</v>
      </c>
      <c r="P144" s="64"/>
      <c r="Q144" s="63"/>
      <c r="R144" s="63"/>
      <c r="S144" s="63"/>
      <c r="T144" s="63"/>
      <c r="U144" s="63"/>
      <c r="V144" s="63"/>
      <c r="W144" s="63"/>
      <c r="X144" s="63"/>
    </row>
    <row r="145" spans="1:24" s="72" customFormat="1" ht="105.6" x14ac:dyDescent="0.25">
      <c r="A145" s="69" t="str">
        <f>'Scenario Test'!$A$18</f>
        <v>DPT_CWC</v>
      </c>
      <c r="B145" s="70" t="str">
        <f>VLOOKUP(TestCase!A145,'Scenario Test'!$A$4:$B$125,2,0)</f>
        <v>DPT_CWC: 1121: Cash withdrawal by cheque</v>
      </c>
      <c r="C145" s="64" t="s">
        <v>113</v>
      </c>
      <c r="D145" s="75"/>
      <c r="E145" s="103" t="s">
        <v>401</v>
      </c>
      <c r="F145" s="103" t="s">
        <v>183</v>
      </c>
      <c r="G145" s="61" t="s">
        <v>27</v>
      </c>
      <c r="H145" s="64"/>
      <c r="I145" s="66">
        <v>45632</v>
      </c>
      <c r="J145" s="76"/>
      <c r="K145" s="76"/>
      <c r="L145" s="76"/>
      <c r="M145" s="76"/>
      <c r="N145" s="76"/>
      <c r="O145" s="66" t="s">
        <v>144</v>
      </c>
      <c r="P145" s="76"/>
      <c r="Q145" s="71"/>
      <c r="R145" s="71"/>
      <c r="S145" s="71"/>
      <c r="T145" s="71"/>
      <c r="U145" s="71"/>
      <c r="V145" s="71"/>
      <c r="W145" s="71"/>
      <c r="X145" s="71"/>
    </row>
    <row r="146" spans="1:24" s="78" customFormat="1" ht="105.6" x14ac:dyDescent="0.25">
      <c r="A146" s="69" t="str">
        <f>'Scenario Test'!$A$18</f>
        <v>DPT_CWC</v>
      </c>
      <c r="B146" s="70" t="str">
        <f>VLOOKUP(TestCase!A146,'Scenario Test'!$A$4:$B$125,2,0)</f>
        <v>DPT_CWC: 1121: Cash withdrawal by cheque</v>
      </c>
      <c r="C146" s="64" t="s">
        <v>114</v>
      </c>
      <c r="D146" s="75"/>
      <c r="E146" s="103" t="s">
        <v>402</v>
      </c>
      <c r="F146" s="103" t="s">
        <v>183</v>
      </c>
      <c r="G146" s="61" t="s">
        <v>27</v>
      </c>
      <c r="H146" s="64"/>
      <c r="I146" s="66">
        <v>45632</v>
      </c>
      <c r="J146" s="67"/>
      <c r="K146" s="67"/>
      <c r="L146" s="67"/>
      <c r="M146" s="67"/>
      <c r="N146" s="67"/>
      <c r="O146" s="66" t="s">
        <v>144</v>
      </c>
      <c r="P146" s="64"/>
      <c r="Q146" s="63"/>
      <c r="R146" s="63"/>
      <c r="S146" s="63"/>
      <c r="T146" s="63"/>
      <c r="U146" s="63"/>
      <c r="V146" s="63"/>
      <c r="W146" s="63"/>
      <c r="X146" s="63"/>
    </row>
    <row r="147" spans="1:24" s="78" customFormat="1" ht="105.6" x14ac:dyDescent="0.25">
      <c r="A147" s="69" t="str">
        <f>'Scenario Test'!$A$18</f>
        <v>DPT_CWC</v>
      </c>
      <c r="B147" s="70" t="str">
        <f>VLOOKUP(TestCase!A147,'Scenario Test'!$A$4:$B$125,2,0)</f>
        <v>DPT_CWC: 1121: Cash withdrawal by cheque</v>
      </c>
      <c r="C147" s="64" t="s">
        <v>115</v>
      </c>
      <c r="D147" s="75"/>
      <c r="E147" s="103" t="s">
        <v>403</v>
      </c>
      <c r="F147" s="103" t="s">
        <v>183</v>
      </c>
      <c r="G147" s="61" t="s">
        <v>27</v>
      </c>
      <c r="H147" s="64"/>
      <c r="I147" s="66">
        <v>45632</v>
      </c>
      <c r="J147" s="67"/>
      <c r="K147" s="67"/>
      <c r="L147" s="67"/>
      <c r="M147" s="67"/>
      <c r="N147" s="67"/>
      <c r="O147" s="66" t="s">
        <v>144</v>
      </c>
      <c r="P147" s="64"/>
      <c r="Q147" s="63"/>
      <c r="R147" s="63"/>
      <c r="S147" s="63"/>
      <c r="T147" s="63"/>
      <c r="U147" s="63"/>
      <c r="V147" s="63"/>
      <c r="W147" s="63"/>
      <c r="X147" s="63"/>
    </row>
    <row r="148" spans="1:24" s="72" customFormat="1" ht="105.6" x14ac:dyDescent="0.25">
      <c r="A148" s="69" t="str">
        <f>'Scenario Test'!$A$18</f>
        <v>DPT_CWC</v>
      </c>
      <c r="B148" s="70" t="str">
        <f>VLOOKUP(TestCase!A148,'Scenario Test'!$A$4:$B$125,2,0)</f>
        <v>DPT_CWC: 1121: Cash withdrawal by cheque</v>
      </c>
      <c r="C148" s="64" t="s">
        <v>125</v>
      </c>
      <c r="D148" s="75"/>
      <c r="E148" s="103" t="s">
        <v>399</v>
      </c>
      <c r="F148" s="103" t="s">
        <v>183</v>
      </c>
      <c r="G148" s="61" t="s">
        <v>27</v>
      </c>
      <c r="H148" s="64"/>
      <c r="I148" s="66">
        <v>45632</v>
      </c>
      <c r="J148" s="76"/>
      <c r="K148" s="76"/>
      <c r="L148" s="76"/>
      <c r="M148" s="76"/>
      <c r="N148" s="76"/>
      <c r="O148" s="66" t="s">
        <v>144</v>
      </c>
      <c r="P148" s="76"/>
      <c r="Q148" s="71"/>
      <c r="R148" s="71"/>
      <c r="S148" s="71"/>
      <c r="T148" s="71"/>
      <c r="U148" s="71"/>
      <c r="V148" s="71"/>
      <c r="W148" s="71"/>
      <c r="X148" s="71"/>
    </row>
    <row r="149" spans="1:24" s="1" customFormat="1" ht="105.6" x14ac:dyDescent="0.25">
      <c r="A149" s="69" t="str">
        <f>'Scenario Test'!$A$18</f>
        <v>DPT_CWC</v>
      </c>
      <c r="B149" s="70" t="str">
        <f>VLOOKUP(TestCase!A149,'Scenario Test'!$A$4:$B$125,2,0)</f>
        <v>DPT_CWC: 1121: Cash withdrawal by cheque</v>
      </c>
      <c r="C149" s="64" t="s">
        <v>474</v>
      </c>
      <c r="D149" s="75"/>
      <c r="E149" s="103" t="s">
        <v>400</v>
      </c>
      <c r="F149" s="103" t="s">
        <v>183</v>
      </c>
      <c r="G149" s="61" t="s">
        <v>27</v>
      </c>
      <c r="H149" s="64"/>
      <c r="I149" s="66">
        <v>45632</v>
      </c>
      <c r="J149" s="67"/>
      <c r="K149" s="67"/>
      <c r="L149" s="67"/>
      <c r="M149" s="67"/>
      <c r="N149" s="67"/>
      <c r="O149" s="66" t="s">
        <v>144</v>
      </c>
      <c r="P149" s="64"/>
      <c r="Q149" s="63"/>
      <c r="R149" s="63"/>
      <c r="S149" s="63"/>
      <c r="T149" s="63"/>
      <c r="U149" s="63"/>
      <c r="V149" s="63"/>
      <c r="W149" s="63"/>
      <c r="X149" s="63"/>
    </row>
    <row r="150" spans="1:24" s="72" customFormat="1" ht="255" x14ac:dyDescent="0.25">
      <c r="A150" s="69" t="str">
        <f>'Scenario Test'!$A$18</f>
        <v>DPT_CWC</v>
      </c>
      <c r="B150" s="70" t="str">
        <f>VLOOKUP(TestCase!A150,'Scenario Test'!$A$4:$B$125,2,0)</f>
        <v>DPT_CWC: 1121: Cash withdrawal by cheque</v>
      </c>
      <c r="C150" s="64" t="s">
        <v>481</v>
      </c>
      <c r="D150" s="75"/>
      <c r="E150" s="103" t="s">
        <v>476</v>
      </c>
      <c r="F150" s="103" t="s">
        <v>183</v>
      </c>
      <c r="G150" s="61" t="s">
        <v>27</v>
      </c>
      <c r="H150" s="64"/>
      <c r="I150" s="66">
        <v>45632</v>
      </c>
      <c r="J150" s="76"/>
      <c r="K150" s="76"/>
      <c r="L150" s="76"/>
      <c r="M150" s="76"/>
      <c r="N150" s="76"/>
      <c r="O150" s="66" t="s">
        <v>144</v>
      </c>
      <c r="P150" s="76"/>
      <c r="Q150" s="71"/>
      <c r="R150" s="71"/>
      <c r="S150" s="71"/>
      <c r="T150" s="71"/>
      <c r="U150" s="71"/>
      <c r="V150" s="71"/>
      <c r="W150" s="71"/>
      <c r="X150" s="71"/>
    </row>
    <row r="151" spans="1:24" s="72" customFormat="1" ht="255" x14ac:dyDescent="0.25">
      <c r="A151" s="69" t="str">
        <f>'Scenario Test'!$A$18</f>
        <v>DPT_CWC</v>
      </c>
      <c r="B151" s="70" t="str">
        <f>VLOOKUP(TestCase!A151,'Scenario Test'!$A$4:$B$125,2,0)</f>
        <v>DPT_CWC: 1121: Cash withdrawal by cheque</v>
      </c>
      <c r="C151" s="64" t="s">
        <v>482</v>
      </c>
      <c r="D151" s="75"/>
      <c r="E151" s="103" t="s">
        <v>477</v>
      </c>
      <c r="F151" s="103" t="s">
        <v>183</v>
      </c>
      <c r="G151" s="61" t="s">
        <v>27</v>
      </c>
      <c r="H151" s="64"/>
      <c r="I151" s="66">
        <v>45632</v>
      </c>
      <c r="J151" s="76"/>
      <c r="K151" s="76"/>
      <c r="L151" s="76"/>
      <c r="M151" s="76"/>
      <c r="N151" s="76"/>
      <c r="O151" s="66" t="s">
        <v>144</v>
      </c>
      <c r="P151" s="76"/>
      <c r="Q151" s="71"/>
      <c r="R151" s="71"/>
      <c r="S151" s="71"/>
      <c r="T151" s="71"/>
      <c r="U151" s="71"/>
      <c r="V151" s="71"/>
      <c r="W151" s="71"/>
      <c r="X151" s="71"/>
    </row>
    <row r="152" spans="1:24" s="72" customFormat="1" ht="255" x14ac:dyDescent="0.25">
      <c r="A152" s="69" t="str">
        <f>'Scenario Test'!$A$18</f>
        <v>DPT_CWC</v>
      </c>
      <c r="B152" s="70" t="str">
        <f>VLOOKUP(TestCase!A152,'Scenario Test'!$A$4:$B$125,2,0)</f>
        <v>DPT_CWC: 1121: Cash withdrawal by cheque</v>
      </c>
      <c r="C152" s="64" t="s">
        <v>483</v>
      </c>
      <c r="D152" s="75"/>
      <c r="E152" s="103" t="s">
        <v>478</v>
      </c>
      <c r="F152" s="103" t="s">
        <v>183</v>
      </c>
      <c r="G152" s="61" t="s">
        <v>27</v>
      </c>
      <c r="H152" s="64"/>
      <c r="I152" s="66">
        <v>45632</v>
      </c>
      <c r="J152" s="76"/>
      <c r="K152" s="76"/>
      <c r="L152" s="76"/>
      <c r="M152" s="76"/>
      <c r="N152" s="76"/>
      <c r="O152" s="66" t="s">
        <v>144</v>
      </c>
      <c r="P152" s="76"/>
      <c r="Q152" s="71"/>
      <c r="R152" s="71"/>
      <c r="S152" s="71"/>
      <c r="T152" s="71"/>
      <c r="U152" s="71"/>
      <c r="V152" s="71"/>
      <c r="W152" s="71"/>
      <c r="X152" s="71"/>
    </row>
    <row r="153" spans="1:24" s="78" customFormat="1" ht="26.4" x14ac:dyDescent="0.25">
      <c r="A153" s="69" t="str">
        <f>'Scenario Test'!$A$18</f>
        <v>DPT_CWC</v>
      </c>
      <c r="B153" s="70" t="str">
        <f>VLOOKUP(TestCase!A153,'Scenario Test'!$A$4:$B$125,2,0)</f>
        <v>DPT_CWC: 1121: Cash withdrawal by cheque</v>
      </c>
      <c r="C153" s="64" t="s">
        <v>484</v>
      </c>
      <c r="D153" s="64"/>
      <c r="E153" s="110" t="s">
        <v>184</v>
      </c>
      <c r="F153" s="103" t="s">
        <v>187</v>
      </c>
      <c r="G153" s="61" t="s">
        <v>27</v>
      </c>
      <c r="H153" s="64"/>
      <c r="I153" s="66">
        <v>45632</v>
      </c>
      <c r="J153" s="67"/>
      <c r="K153" s="67"/>
      <c r="L153" s="67"/>
      <c r="M153" s="67"/>
      <c r="N153" s="67"/>
      <c r="O153" s="66" t="s">
        <v>144</v>
      </c>
      <c r="P153" s="64"/>
      <c r="Q153" s="63"/>
      <c r="R153" s="63"/>
      <c r="S153" s="63"/>
      <c r="T153" s="63"/>
      <c r="U153" s="63"/>
      <c r="V153" s="63"/>
      <c r="W153" s="63"/>
      <c r="X153" s="63"/>
    </row>
    <row r="154" spans="1:24" s="68" customFormat="1" ht="13.2" x14ac:dyDescent="0.25">
      <c r="A154" s="97" t="str">
        <f>'Scenario Test'!$A$19</f>
        <v>DPT_CWM</v>
      </c>
      <c r="B154" s="99" t="str">
        <f>VLOOKUP(TestCase!A154,'Scenario Test'!$A$4:$B$125,2,0)</f>
        <v>DPT_CWM: 1125: Miscellaneous debit by cheque</v>
      </c>
      <c r="C154" s="111"/>
      <c r="D154" s="107"/>
      <c r="E154" s="108"/>
      <c r="F154" s="107"/>
      <c r="G154" s="107"/>
      <c r="H154" s="107"/>
      <c r="I154" s="109"/>
      <c r="J154" s="109"/>
      <c r="K154" s="109"/>
      <c r="L154" s="109"/>
      <c r="M154" s="109"/>
      <c r="N154" s="109"/>
      <c r="O154" s="109"/>
      <c r="P154" s="109"/>
      <c r="Q154" s="1"/>
      <c r="R154" s="1"/>
      <c r="S154" s="1"/>
      <c r="T154" s="1"/>
      <c r="U154" s="1"/>
      <c r="V154" s="1"/>
      <c r="W154" s="1"/>
      <c r="X154" s="1"/>
    </row>
    <row r="155" spans="1:24" s="72" customFormat="1" ht="224.4" x14ac:dyDescent="0.25">
      <c r="A155" s="69" t="str">
        <f>'Scenario Test'!$A$19</f>
        <v>DPT_CWM</v>
      </c>
      <c r="B155" s="70" t="str">
        <f>VLOOKUP(TestCase!A155,'Scenario Test'!$A$4:$B$125,2,0)</f>
        <v>DPT_CWM: 1125: Miscellaneous debit by cheque</v>
      </c>
      <c r="C155" s="64" t="s">
        <v>116</v>
      </c>
      <c r="D155" s="75"/>
      <c r="E155" s="89" t="s">
        <v>408</v>
      </c>
      <c r="F155" s="64" t="s">
        <v>239</v>
      </c>
      <c r="G155" s="61" t="s">
        <v>27</v>
      </c>
      <c r="H155" s="64"/>
      <c r="I155" s="66">
        <v>45632</v>
      </c>
      <c r="J155" s="76"/>
      <c r="K155" s="76"/>
      <c r="L155" s="76"/>
      <c r="M155" s="76"/>
      <c r="N155" s="76"/>
      <c r="O155" s="66" t="s">
        <v>144</v>
      </c>
      <c r="P155" s="76"/>
      <c r="Q155" s="71"/>
      <c r="R155" s="71"/>
      <c r="S155" s="71"/>
      <c r="T155" s="71"/>
      <c r="U155" s="71"/>
      <c r="V155" s="71"/>
      <c r="W155" s="71"/>
      <c r="X155" s="71"/>
    </row>
    <row r="156" spans="1:24" s="63" customFormat="1" ht="26.4" x14ac:dyDescent="0.25">
      <c r="A156" s="69" t="str">
        <f>'Scenario Test'!$A$19</f>
        <v>DPT_CWM</v>
      </c>
      <c r="B156" s="70" t="str">
        <f>VLOOKUP(TestCase!A156,'Scenario Test'!$A$4:$B$125,2,0)</f>
        <v>DPT_CWM: 1125: Miscellaneous debit by cheque</v>
      </c>
      <c r="C156" s="64" t="s">
        <v>117</v>
      </c>
      <c r="D156" s="100"/>
      <c r="E156" s="112" t="s">
        <v>436</v>
      </c>
      <c r="F156" s="101" t="s">
        <v>185</v>
      </c>
      <c r="G156" s="102" t="s">
        <v>27</v>
      </c>
      <c r="H156" s="103"/>
      <c r="I156" s="104">
        <v>45618</v>
      </c>
      <c r="J156" s="104"/>
      <c r="K156" s="104"/>
      <c r="L156" s="104"/>
      <c r="M156" s="104"/>
      <c r="N156" s="102" t="s">
        <v>144</v>
      </c>
      <c r="O156" s="103"/>
      <c r="P156" s="113"/>
    </row>
    <row r="157" spans="1:24" s="1" customFormat="1" ht="26.4" x14ac:dyDescent="0.25">
      <c r="A157" s="69" t="str">
        <f>'Scenario Test'!$A$19</f>
        <v>DPT_CWM</v>
      </c>
      <c r="B157" s="70" t="str">
        <f>VLOOKUP(TestCase!A157,'Scenario Test'!$A$4:$B$125,2,0)</f>
        <v>DPT_CWM: 1125: Miscellaneous debit by cheque</v>
      </c>
      <c r="C157" s="64" t="s">
        <v>118</v>
      </c>
      <c r="D157" s="75"/>
      <c r="E157" s="110" t="s">
        <v>396</v>
      </c>
      <c r="F157" s="103" t="s">
        <v>183</v>
      </c>
      <c r="G157" s="61" t="s">
        <v>27</v>
      </c>
      <c r="H157" s="64"/>
      <c r="I157" s="66">
        <v>45632</v>
      </c>
      <c r="J157" s="67"/>
      <c r="K157" s="67"/>
      <c r="L157" s="67"/>
      <c r="M157" s="67"/>
      <c r="N157" s="67"/>
      <c r="O157" s="66" t="s">
        <v>144</v>
      </c>
      <c r="P157" s="64"/>
      <c r="Q157" s="63"/>
      <c r="R157" s="63"/>
      <c r="S157" s="63"/>
      <c r="T157" s="63"/>
      <c r="U157" s="63"/>
      <c r="V157" s="63"/>
      <c r="W157" s="63"/>
      <c r="X157" s="63"/>
    </row>
    <row r="158" spans="1:24" s="72" customFormat="1" ht="26.4" x14ac:dyDescent="0.25">
      <c r="A158" s="69" t="str">
        <f>'Scenario Test'!$A$19</f>
        <v>DPT_CWM</v>
      </c>
      <c r="B158" s="70" t="str">
        <f>VLOOKUP(TestCase!A158,'Scenario Test'!$A$4:$B$125,2,0)</f>
        <v>DPT_CWM: 1125: Miscellaneous debit by cheque</v>
      </c>
      <c r="C158" s="64" t="s">
        <v>119</v>
      </c>
      <c r="D158" s="75"/>
      <c r="E158" s="110" t="s">
        <v>397</v>
      </c>
      <c r="F158" s="103" t="s">
        <v>183</v>
      </c>
      <c r="G158" s="61" t="s">
        <v>27</v>
      </c>
      <c r="H158" s="64"/>
      <c r="I158" s="66">
        <v>45632</v>
      </c>
      <c r="J158" s="76"/>
      <c r="K158" s="76"/>
      <c r="L158" s="76"/>
      <c r="M158" s="76"/>
      <c r="N158" s="76"/>
      <c r="O158" s="66" t="s">
        <v>144</v>
      </c>
      <c r="P158" s="76"/>
      <c r="Q158" s="71"/>
      <c r="R158" s="71"/>
      <c r="S158" s="71"/>
      <c r="T158" s="71"/>
      <c r="U158" s="71"/>
      <c r="V158" s="71"/>
      <c r="W158" s="71"/>
      <c r="X158" s="71"/>
    </row>
    <row r="159" spans="1:24" s="1" customFormat="1" ht="26.4" x14ac:dyDescent="0.25">
      <c r="A159" s="69" t="str">
        <f>'Scenario Test'!$A$19</f>
        <v>DPT_CWM</v>
      </c>
      <c r="B159" s="70" t="str">
        <f>VLOOKUP(TestCase!A159,'Scenario Test'!$A$4:$B$125,2,0)</f>
        <v>DPT_CWM: 1125: Miscellaneous debit by cheque</v>
      </c>
      <c r="C159" s="64" t="s">
        <v>120</v>
      </c>
      <c r="D159" s="75"/>
      <c r="E159" s="110" t="s">
        <v>398</v>
      </c>
      <c r="F159" s="103" t="s">
        <v>183</v>
      </c>
      <c r="G159" s="61" t="s">
        <v>27</v>
      </c>
      <c r="H159" s="64"/>
      <c r="I159" s="66">
        <v>45632</v>
      </c>
      <c r="J159" s="67"/>
      <c r="K159" s="67"/>
      <c r="L159" s="67"/>
      <c r="M159" s="67"/>
      <c r="N159" s="67"/>
      <c r="O159" s="66" t="s">
        <v>144</v>
      </c>
      <c r="P159" s="64"/>
      <c r="Q159" s="63"/>
      <c r="R159" s="63"/>
      <c r="S159" s="63"/>
      <c r="T159" s="63"/>
      <c r="U159" s="63"/>
      <c r="V159" s="63"/>
      <c r="W159" s="63"/>
      <c r="X159" s="63"/>
    </row>
    <row r="160" spans="1:24" s="1" customFormat="1" ht="26.4" x14ac:dyDescent="0.25">
      <c r="A160" s="69" t="str">
        <f>'Scenario Test'!$A$19</f>
        <v>DPT_CWM</v>
      </c>
      <c r="B160" s="70" t="str">
        <f>VLOOKUP(TestCase!A160,'Scenario Test'!$A$4:$B$125,2,0)</f>
        <v>DPT_CWM: 1125: Miscellaneous debit by cheque</v>
      </c>
      <c r="C160" s="64" t="s">
        <v>121</v>
      </c>
      <c r="D160" s="75"/>
      <c r="E160" s="110" t="s">
        <v>404</v>
      </c>
      <c r="F160" s="103" t="s">
        <v>183</v>
      </c>
      <c r="G160" s="61" t="s">
        <v>27</v>
      </c>
      <c r="H160" s="64"/>
      <c r="I160" s="66">
        <v>45632</v>
      </c>
      <c r="J160" s="67"/>
      <c r="K160" s="67"/>
      <c r="L160" s="67"/>
      <c r="M160" s="67"/>
      <c r="N160" s="67"/>
      <c r="O160" s="66" t="s">
        <v>144</v>
      </c>
      <c r="P160" s="64"/>
      <c r="Q160" s="63"/>
      <c r="R160" s="63"/>
      <c r="S160" s="63"/>
      <c r="T160" s="63"/>
      <c r="U160" s="63"/>
      <c r="V160" s="63"/>
      <c r="W160" s="63"/>
      <c r="X160" s="63"/>
    </row>
    <row r="161" spans="1:24" s="72" customFormat="1" ht="26.4" x14ac:dyDescent="0.25">
      <c r="A161" s="69" t="str">
        <f>'Scenario Test'!$A$19</f>
        <v>DPT_CWM</v>
      </c>
      <c r="B161" s="70" t="str">
        <f>VLOOKUP(TestCase!A161,'Scenario Test'!$A$4:$B$125,2,0)</f>
        <v>DPT_CWM: 1125: Miscellaneous debit by cheque</v>
      </c>
      <c r="C161" s="64" t="s">
        <v>122</v>
      </c>
      <c r="D161" s="75"/>
      <c r="E161" s="110" t="s">
        <v>405</v>
      </c>
      <c r="F161" s="103" t="s">
        <v>183</v>
      </c>
      <c r="G161" s="61" t="s">
        <v>27</v>
      </c>
      <c r="H161" s="64"/>
      <c r="I161" s="66">
        <v>45632</v>
      </c>
      <c r="J161" s="76"/>
      <c r="K161" s="76"/>
      <c r="L161" s="76"/>
      <c r="M161" s="76"/>
      <c r="N161" s="76"/>
      <c r="O161" s="66" t="s">
        <v>144</v>
      </c>
      <c r="P161" s="76"/>
      <c r="Q161" s="71"/>
      <c r="R161" s="71"/>
      <c r="S161" s="71"/>
      <c r="T161" s="71"/>
      <c r="U161" s="71"/>
      <c r="V161" s="71"/>
      <c r="W161" s="71"/>
      <c r="X161" s="71"/>
    </row>
    <row r="162" spans="1:24" s="72" customFormat="1" ht="145.19999999999999" x14ac:dyDescent="0.25">
      <c r="A162" s="69" t="str">
        <f>'Scenario Test'!$A$19</f>
        <v>DPT_CWM</v>
      </c>
      <c r="B162" s="70" t="str">
        <f>VLOOKUP(TestCase!A162,'Scenario Test'!$A$4:$B$125,2,0)</f>
        <v>DPT_CWM: 1125: Miscellaneous debit by cheque</v>
      </c>
      <c r="C162" s="64" t="s">
        <v>123</v>
      </c>
      <c r="D162" s="75"/>
      <c r="E162" s="89" t="s">
        <v>409</v>
      </c>
      <c r="F162" s="103" t="s">
        <v>183</v>
      </c>
      <c r="G162" s="61" t="s">
        <v>27</v>
      </c>
      <c r="H162" s="64"/>
      <c r="I162" s="66">
        <v>45632</v>
      </c>
      <c r="J162" s="76"/>
      <c r="K162" s="76"/>
      <c r="L162" s="76"/>
      <c r="M162" s="76"/>
      <c r="N162" s="76"/>
      <c r="O162" s="66" t="s">
        <v>144</v>
      </c>
      <c r="P162" s="76"/>
      <c r="Q162" s="71"/>
      <c r="R162" s="71"/>
      <c r="S162" s="71"/>
      <c r="T162" s="71"/>
      <c r="U162" s="71"/>
      <c r="V162" s="71"/>
      <c r="W162" s="71"/>
      <c r="X162" s="71"/>
    </row>
    <row r="163" spans="1:24" s="78" customFormat="1" ht="145.19999999999999" x14ac:dyDescent="0.25">
      <c r="A163" s="69" t="str">
        <f>'Scenario Test'!$A$19</f>
        <v>DPT_CWM</v>
      </c>
      <c r="B163" s="70" t="str">
        <f>VLOOKUP(TestCase!A163,'Scenario Test'!$A$4:$B$125,2,0)</f>
        <v>DPT_CWM: 1125: Miscellaneous debit by cheque</v>
      </c>
      <c r="C163" s="64" t="s">
        <v>124</v>
      </c>
      <c r="D163" s="75"/>
      <c r="E163" s="89" t="s">
        <v>410</v>
      </c>
      <c r="F163" s="103" t="s">
        <v>183</v>
      </c>
      <c r="G163" s="61" t="s">
        <v>27</v>
      </c>
      <c r="H163" s="64"/>
      <c r="I163" s="66">
        <v>45632</v>
      </c>
      <c r="J163" s="67"/>
      <c r="K163" s="67"/>
      <c r="L163" s="67"/>
      <c r="M163" s="67"/>
      <c r="N163" s="67"/>
      <c r="O163" s="66" t="s">
        <v>144</v>
      </c>
      <c r="P163" s="64"/>
      <c r="Q163" s="63"/>
      <c r="R163" s="63"/>
      <c r="S163" s="63"/>
      <c r="T163" s="63"/>
      <c r="U163" s="63"/>
      <c r="V163" s="63"/>
      <c r="W163" s="63"/>
      <c r="X163" s="63"/>
    </row>
    <row r="164" spans="1:24" s="78" customFormat="1" ht="145.19999999999999" x14ac:dyDescent="0.25">
      <c r="A164" s="69" t="str">
        <f>'Scenario Test'!$A$19</f>
        <v>DPT_CWM</v>
      </c>
      <c r="B164" s="70" t="str">
        <f>VLOOKUP(TestCase!A164,'Scenario Test'!$A$4:$B$125,2,0)</f>
        <v>DPT_CWM: 1125: Miscellaneous debit by cheque</v>
      </c>
      <c r="C164" s="64" t="s">
        <v>169</v>
      </c>
      <c r="D164" s="64"/>
      <c r="E164" s="89" t="s">
        <v>411</v>
      </c>
      <c r="F164" s="103" t="s">
        <v>183</v>
      </c>
      <c r="G164" s="61" t="s">
        <v>27</v>
      </c>
      <c r="H164" s="64"/>
      <c r="I164" s="66">
        <v>45632</v>
      </c>
      <c r="J164" s="67"/>
      <c r="K164" s="67"/>
      <c r="L164" s="67"/>
      <c r="M164" s="67"/>
      <c r="N164" s="67"/>
      <c r="O164" s="66" t="s">
        <v>144</v>
      </c>
      <c r="P164" s="64"/>
      <c r="Q164" s="63"/>
      <c r="R164" s="63"/>
      <c r="S164" s="63"/>
      <c r="T164" s="63"/>
      <c r="U164" s="63"/>
      <c r="V164" s="63"/>
      <c r="W164" s="63"/>
      <c r="X164" s="63"/>
    </row>
    <row r="165" spans="1:24" s="78" customFormat="1" ht="145.19999999999999" x14ac:dyDescent="0.25">
      <c r="A165" s="69" t="str">
        <f>'Scenario Test'!$A$19</f>
        <v>DPT_CWM</v>
      </c>
      <c r="B165" s="70" t="str">
        <f>VLOOKUP(TestCase!A165,'Scenario Test'!$A$4:$B$125,2,0)</f>
        <v>DPT_CWM: 1125: Miscellaneous debit by cheque</v>
      </c>
      <c r="C165" s="64" t="s">
        <v>170</v>
      </c>
      <c r="D165" s="64"/>
      <c r="E165" s="89" t="s">
        <v>412</v>
      </c>
      <c r="F165" s="103" t="s">
        <v>183</v>
      </c>
      <c r="G165" s="61" t="s">
        <v>27</v>
      </c>
      <c r="H165" s="64"/>
      <c r="I165" s="66">
        <v>45632</v>
      </c>
      <c r="J165" s="67"/>
      <c r="K165" s="67"/>
      <c r="L165" s="67"/>
      <c r="M165" s="67"/>
      <c r="N165" s="67"/>
      <c r="O165" s="66" t="s">
        <v>144</v>
      </c>
      <c r="P165" s="64"/>
      <c r="Q165" s="63"/>
      <c r="R165" s="63"/>
      <c r="S165" s="63"/>
      <c r="T165" s="63"/>
      <c r="U165" s="63"/>
      <c r="V165" s="63"/>
      <c r="W165" s="63"/>
      <c r="X165" s="63"/>
    </row>
    <row r="166" spans="1:24" s="78" customFormat="1" ht="145.19999999999999" x14ac:dyDescent="0.25">
      <c r="A166" s="69" t="str">
        <f>'Scenario Test'!$A$19</f>
        <v>DPT_CWM</v>
      </c>
      <c r="B166" s="70" t="str">
        <f>VLOOKUP(TestCase!A166,'Scenario Test'!$A$4:$B$125,2,0)</f>
        <v>DPT_CWM: 1125: Miscellaneous debit by cheque</v>
      </c>
      <c r="C166" s="64" t="s">
        <v>171</v>
      </c>
      <c r="D166" s="64"/>
      <c r="E166" s="89" t="s">
        <v>413</v>
      </c>
      <c r="F166" s="103" t="s">
        <v>183</v>
      </c>
      <c r="G166" s="61" t="s">
        <v>27</v>
      </c>
      <c r="H166" s="64"/>
      <c r="I166" s="66">
        <v>45632</v>
      </c>
      <c r="J166" s="67"/>
      <c r="K166" s="67"/>
      <c r="L166" s="67"/>
      <c r="M166" s="67"/>
      <c r="N166" s="67"/>
      <c r="O166" s="66" t="s">
        <v>144</v>
      </c>
      <c r="P166" s="64"/>
      <c r="Q166" s="63"/>
      <c r="R166" s="63"/>
      <c r="S166" s="63"/>
      <c r="T166" s="63"/>
      <c r="U166" s="63"/>
      <c r="V166" s="63"/>
      <c r="W166" s="63"/>
      <c r="X166" s="63"/>
    </row>
    <row r="167" spans="1:24" s="78" customFormat="1" ht="145.19999999999999" x14ac:dyDescent="0.25">
      <c r="A167" s="69" t="str">
        <f>'Scenario Test'!$A$19</f>
        <v>DPT_CWM</v>
      </c>
      <c r="B167" s="70" t="str">
        <f>VLOOKUP(TestCase!A167,'Scenario Test'!$A$4:$B$125,2,0)</f>
        <v>DPT_CWM: 1125: Miscellaneous debit by cheque</v>
      </c>
      <c r="C167" s="64" t="s">
        <v>172</v>
      </c>
      <c r="D167" s="64"/>
      <c r="E167" s="89" t="s">
        <v>414</v>
      </c>
      <c r="F167" s="103" t="s">
        <v>183</v>
      </c>
      <c r="G167" s="61" t="s">
        <v>27</v>
      </c>
      <c r="H167" s="64"/>
      <c r="I167" s="66">
        <v>45632</v>
      </c>
      <c r="J167" s="67"/>
      <c r="K167" s="67"/>
      <c r="L167" s="67"/>
      <c r="M167" s="67"/>
      <c r="N167" s="67"/>
      <c r="O167" s="66" t="s">
        <v>144</v>
      </c>
      <c r="P167" s="64"/>
      <c r="Q167" s="63"/>
      <c r="R167" s="63"/>
      <c r="S167" s="63"/>
      <c r="T167" s="63"/>
      <c r="U167" s="63"/>
      <c r="V167" s="63"/>
      <c r="W167" s="63"/>
      <c r="X167" s="63"/>
    </row>
    <row r="168" spans="1:24" s="78" customFormat="1" ht="145.19999999999999" x14ac:dyDescent="0.25">
      <c r="A168" s="69" t="str">
        <f>'Scenario Test'!$A$19</f>
        <v>DPT_CWM</v>
      </c>
      <c r="B168" s="70" t="str">
        <f>VLOOKUP(TestCase!A168,'Scenario Test'!$A$4:$B$125,2,0)</f>
        <v>DPT_CWM: 1125: Miscellaneous debit by cheque</v>
      </c>
      <c r="C168" s="64" t="s">
        <v>406</v>
      </c>
      <c r="D168" s="64"/>
      <c r="E168" s="89" t="s">
        <v>415</v>
      </c>
      <c r="F168" s="103" t="s">
        <v>183</v>
      </c>
      <c r="G168" s="61" t="s">
        <v>27</v>
      </c>
      <c r="H168" s="64"/>
      <c r="I168" s="66">
        <v>45632</v>
      </c>
      <c r="J168" s="67"/>
      <c r="K168" s="67"/>
      <c r="L168" s="67"/>
      <c r="M168" s="67"/>
      <c r="N168" s="67"/>
      <c r="O168" s="66" t="s">
        <v>144</v>
      </c>
      <c r="P168" s="64"/>
      <c r="Q168" s="63"/>
      <c r="R168" s="63"/>
      <c r="S168" s="63"/>
      <c r="T168" s="63"/>
      <c r="U168" s="63"/>
      <c r="V168" s="63"/>
      <c r="W168" s="63"/>
      <c r="X168" s="63"/>
    </row>
    <row r="169" spans="1:24" s="78" customFormat="1" ht="145.19999999999999" x14ac:dyDescent="0.25">
      <c r="A169" s="69" t="str">
        <f>'Scenario Test'!$A$19</f>
        <v>DPT_CWM</v>
      </c>
      <c r="B169" s="70" t="str">
        <f>VLOOKUP(TestCase!A169,'Scenario Test'!$A$4:$B$125,2,0)</f>
        <v>DPT_CWM: 1125: Miscellaneous debit by cheque</v>
      </c>
      <c r="C169" s="64" t="s">
        <v>407</v>
      </c>
      <c r="D169" s="64"/>
      <c r="E169" s="89" t="s">
        <v>416</v>
      </c>
      <c r="F169" s="103" t="s">
        <v>183</v>
      </c>
      <c r="G169" s="61" t="s">
        <v>27</v>
      </c>
      <c r="H169" s="64"/>
      <c r="I169" s="66">
        <v>45632</v>
      </c>
      <c r="J169" s="67"/>
      <c r="K169" s="67"/>
      <c r="L169" s="67"/>
      <c r="M169" s="67"/>
      <c r="N169" s="67"/>
      <c r="O169" s="66" t="s">
        <v>144</v>
      </c>
      <c r="P169" s="64"/>
      <c r="Q169" s="63"/>
      <c r="R169" s="63"/>
      <c r="S169" s="63"/>
      <c r="T169" s="63"/>
      <c r="U169" s="63"/>
      <c r="V169" s="63"/>
      <c r="W169" s="63"/>
      <c r="X169" s="63"/>
    </row>
    <row r="170" spans="1:24" s="78" customFormat="1" ht="26.4" x14ac:dyDescent="0.25">
      <c r="A170" s="69" t="str">
        <f>'Scenario Test'!$A$19</f>
        <v>DPT_CWM</v>
      </c>
      <c r="B170" s="70" t="str">
        <f>VLOOKUP(TestCase!A170,'Scenario Test'!$A$4:$B$125,2,0)</f>
        <v>DPT_CWM: 1125: Miscellaneous debit by cheque</v>
      </c>
      <c r="C170" s="64" t="s">
        <v>437</v>
      </c>
      <c r="D170" s="64"/>
      <c r="E170" s="110" t="s">
        <v>184</v>
      </c>
      <c r="F170" s="103" t="s">
        <v>187</v>
      </c>
      <c r="G170" s="61" t="s">
        <v>27</v>
      </c>
      <c r="H170" s="64"/>
      <c r="I170" s="66">
        <v>45632</v>
      </c>
      <c r="J170" s="67"/>
      <c r="K170" s="67"/>
      <c r="L170" s="67"/>
      <c r="M170" s="67"/>
      <c r="N170" s="67"/>
      <c r="O170" s="66" t="s">
        <v>144</v>
      </c>
      <c r="P170" s="64"/>
      <c r="Q170" s="63"/>
      <c r="R170" s="63"/>
      <c r="S170" s="63"/>
      <c r="T170" s="63"/>
      <c r="U170" s="63"/>
      <c r="V170" s="63"/>
      <c r="W170" s="63"/>
      <c r="X170" s="63"/>
    </row>
    <row r="171" spans="1:24" s="68" customFormat="1" ht="13.2" x14ac:dyDescent="0.25">
      <c r="A171" s="97" t="str">
        <f>'Scenario Test'!$A$20</f>
        <v>DPT_CDT</v>
      </c>
      <c r="B171" s="98" t="str">
        <f>VLOOKUP(TestCase!A171,'Scenario Test'!$A$4:$B$125,2,0)</f>
        <v xml:space="preserve">DPT_CDT: 1111: Deposit by cheque </v>
      </c>
      <c r="C171" s="107"/>
      <c r="D171" s="107"/>
      <c r="E171" s="108"/>
      <c r="F171" s="107"/>
      <c r="G171" s="107"/>
      <c r="H171" s="107"/>
      <c r="I171" s="109"/>
      <c r="J171" s="109"/>
      <c r="K171" s="109"/>
      <c r="L171" s="109"/>
      <c r="M171" s="109"/>
      <c r="N171" s="109"/>
      <c r="O171" s="109"/>
      <c r="P171" s="109"/>
      <c r="Q171" s="1"/>
      <c r="R171" s="1"/>
      <c r="S171" s="1"/>
      <c r="T171" s="1"/>
      <c r="U171" s="1"/>
      <c r="V171" s="1"/>
      <c r="W171" s="1"/>
      <c r="X171" s="1"/>
    </row>
    <row r="172" spans="1:24" s="72" customFormat="1" ht="198" x14ac:dyDescent="0.25">
      <c r="A172" s="69" t="str">
        <f>'Scenario Test'!$A$20</f>
        <v>DPT_CDT</v>
      </c>
      <c r="B172" s="70" t="str">
        <f>VLOOKUP(TestCase!A172,'Scenario Test'!$A$4:$B$125,2,0)</f>
        <v xml:space="preserve">DPT_CDT: 1111: Deposit by cheque </v>
      </c>
      <c r="C172" s="64" t="s">
        <v>97</v>
      </c>
      <c r="D172" s="75"/>
      <c r="E172" s="89" t="s">
        <v>427</v>
      </c>
      <c r="F172" s="64" t="s">
        <v>240</v>
      </c>
      <c r="G172" s="75"/>
      <c r="H172" s="75"/>
      <c r="I172" s="66">
        <v>45632</v>
      </c>
      <c r="J172" s="76"/>
      <c r="K172" s="76"/>
      <c r="L172" s="76"/>
      <c r="M172" s="76"/>
      <c r="N172" s="76"/>
      <c r="O172" s="76" t="s">
        <v>144</v>
      </c>
      <c r="P172" s="76"/>
      <c r="Q172" s="71"/>
      <c r="R172" s="71"/>
      <c r="S172" s="71"/>
      <c r="T172" s="71"/>
      <c r="U172" s="71"/>
      <c r="V172" s="71"/>
      <c r="W172" s="71"/>
      <c r="X172" s="71"/>
    </row>
    <row r="173" spans="1:24" s="72" customFormat="1" ht="184.8" x14ac:dyDescent="0.25">
      <c r="A173" s="69" t="str">
        <f>'Scenario Test'!$A$20</f>
        <v>DPT_CDT</v>
      </c>
      <c r="B173" s="70" t="str">
        <f>VLOOKUP(TestCase!A173,'Scenario Test'!$A$4:$B$125,2,0)</f>
        <v xml:space="preserve">DPT_CDT: 1111: Deposit by cheque </v>
      </c>
      <c r="C173" s="64" t="s">
        <v>98</v>
      </c>
      <c r="D173" s="75"/>
      <c r="E173" s="89" t="s">
        <v>428</v>
      </c>
      <c r="F173" s="64" t="s">
        <v>240</v>
      </c>
      <c r="G173" s="75"/>
      <c r="H173" s="75"/>
      <c r="I173" s="66">
        <v>45632</v>
      </c>
      <c r="J173" s="76"/>
      <c r="K173" s="76"/>
      <c r="L173" s="76"/>
      <c r="M173" s="76"/>
      <c r="N173" s="76"/>
      <c r="O173" s="76" t="s">
        <v>144</v>
      </c>
      <c r="P173" s="76"/>
      <c r="Q173" s="71"/>
      <c r="R173" s="71"/>
      <c r="S173" s="71"/>
      <c r="T173" s="71"/>
      <c r="U173" s="71"/>
      <c r="V173" s="71"/>
      <c r="W173" s="71"/>
      <c r="X173" s="71"/>
    </row>
    <row r="174" spans="1:24" s="72" customFormat="1" ht="198" x14ac:dyDescent="0.25">
      <c r="A174" s="69" t="str">
        <f>'Scenario Test'!$A$20</f>
        <v>DPT_CDT</v>
      </c>
      <c r="B174" s="70" t="str">
        <f>VLOOKUP(TestCase!A174,'Scenario Test'!$A$4:$B$125,2,0)</f>
        <v xml:space="preserve">DPT_CDT: 1111: Deposit by cheque </v>
      </c>
      <c r="C174" s="64" t="s">
        <v>99</v>
      </c>
      <c r="D174" s="75"/>
      <c r="E174" s="89" t="s">
        <v>429</v>
      </c>
      <c r="F174" s="64" t="s">
        <v>240</v>
      </c>
      <c r="G174" s="75"/>
      <c r="H174" s="75"/>
      <c r="I174" s="66">
        <v>45632</v>
      </c>
      <c r="J174" s="76"/>
      <c r="K174" s="76"/>
      <c r="L174" s="76"/>
      <c r="M174" s="76"/>
      <c r="N174" s="76"/>
      <c r="O174" s="76" t="s">
        <v>144</v>
      </c>
      <c r="P174" s="76"/>
      <c r="Q174" s="71"/>
      <c r="R174" s="71"/>
      <c r="S174" s="71"/>
      <c r="T174" s="71"/>
      <c r="U174" s="71"/>
      <c r="V174" s="71"/>
      <c r="W174" s="71"/>
      <c r="X174" s="71"/>
    </row>
    <row r="175" spans="1:24" s="72" customFormat="1" ht="184.8" x14ac:dyDescent="0.25">
      <c r="A175" s="69" t="str">
        <f>'Scenario Test'!$A$20</f>
        <v>DPT_CDT</v>
      </c>
      <c r="B175" s="70" t="str">
        <f>VLOOKUP(TestCase!A175,'Scenario Test'!$A$4:$B$125,2,0)</f>
        <v xml:space="preserve">DPT_CDT: 1111: Deposit by cheque </v>
      </c>
      <c r="C175" s="64" t="s">
        <v>100</v>
      </c>
      <c r="D175" s="75"/>
      <c r="E175" s="89" t="s">
        <v>430</v>
      </c>
      <c r="F175" s="64" t="s">
        <v>240</v>
      </c>
      <c r="G175" s="75"/>
      <c r="H175" s="75"/>
      <c r="I175" s="66">
        <v>45632</v>
      </c>
      <c r="J175" s="76"/>
      <c r="K175" s="76"/>
      <c r="L175" s="76"/>
      <c r="M175" s="76"/>
      <c r="N175" s="76"/>
      <c r="O175" s="76" t="s">
        <v>144</v>
      </c>
      <c r="P175" s="76"/>
      <c r="Q175" s="71"/>
      <c r="R175" s="71"/>
      <c r="S175" s="71"/>
      <c r="T175" s="71"/>
      <c r="U175" s="71"/>
      <c r="V175" s="71"/>
      <c r="W175" s="71"/>
      <c r="X175" s="71"/>
    </row>
    <row r="176" spans="1:24" s="72" customFormat="1" ht="198" x14ac:dyDescent="0.25">
      <c r="A176" s="69" t="str">
        <f>'Scenario Test'!$A$20</f>
        <v>DPT_CDT</v>
      </c>
      <c r="B176" s="70" t="str">
        <f>VLOOKUP(TestCase!A176,'Scenario Test'!$A$4:$B$125,2,0)</f>
        <v xml:space="preserve">DPT_CDT: 1111: Deposit by cheque </v>
      </c>
      <c r="C176" s="64" t="s">
        <v>101</v>
      </c>
      <c r="D176" s="75"/>
      <c r="E176" s="89" t="s">
        <v>426</v>
      </c>
      <c r="F176" s="103" t="s">
        <v>425</v>
      </c>
      <c r="G176" s="75"/>
      <c r="H176" s="75"/>
      <c r="I176" s="66">
        <v>45632</v>
      </c>
      <c r="J176" s="76"/>
      <c r="K176" s="76"/>
      <c r="L176" s="76"/>
      <c r="M176" s="76"/>
      <c r="N176" s="76"/>
      <c r="O176" s="76" t="s">
        <v>144</v>
      </c>
      <c r="P176" s="76"/>
      <c r="Q176" s="71"/>
      <c r="R176" s="71"/>
      <c r="S176" s="71"/>
      <c r="T176" s="71"/>
      <c r="U176" s="71"/>
      <c r="V176" s="71"/>
      <c r="W176" s="71"/>
      <c r="X176" s="71"/>
    </row>
    <row r="177" spans="1:24" s="63" customFormat="1" ht="105.6" x14ac:dyDescent="0.25">
      <c r="A177" s="69" t="str">
        <f>'Scenario Test'!$A$20</f>
        <v>DPT_CDT</v>
      </c>
      <c r="B177" s="70" t="str">
        <f>VLOOKUP(TestCase!A177,'Scenario Test'!$A$4:$B$125,2,0)</f>
        <v xml:space="preserve">DPT_CDT: 1111: Deposit by cheque </v>
      </c>
      <c r="C177" s="64" t="s">
        <v>102</v>
      </c>
      <c r="D177" s="100" t="str">
        <f>C176</f>
        <v>DPT_CDT_005</v>
      </c>
      <c r="E177" s="114" t="s">
        <v>424</v>
      </c>
      <c r="F177" s="64" t="s">
        <v>240</v>
      </c>
      <c r="G177" s="102" t="s">
        <v>27</v>
      </c>
      <c r="H177" s="103"/>
      <c r="I177" s="66">
        <v>45632</v>
      </c>
      <c r="J177" s="104"/>
      <c r="K177" s="104"/>
      <c r="L177" s="104"/>
      <c r="M177" s="104"/>
      <c r="N177" s="102" t="s">
        <v>144</v>
      </c>
      <c r="O177" s="103"/>
      <c r="P177" s="113"/>
    </row>
    <row r="178" spans="1:24" s="63" customFormat="1" ht="26.4" x14ac:dyDescent="0.25">
      <c r="A178" s="69" t="str">
        <f>'Scenario Test'!$A$20</f>
        <v>DPT_CDT</v>
      </c>
      <c r="B178" s="70" t="str">
        <f>VLOOKUP(TestCase!A178,'Scenario Test'!$A$4:$B$125,2,0)</f>
        <v xml:space="preserve">DPT_CDT: 1111: Deposit by cheque </v>
      </c>
      <c r="C178" s="64" t="s">
        <v>103</v>
      </c>
      <c r="D178" s="100"/>
      <c r="E178" s="112" t="s">
        <v>436</v>
      </c>
      <c r="F178" s="101" t="s">
        <v>185</v>
      </c>
      <c r="G178" s="102" t="s">
        <v>27</v>
      </c>
      <c r="H178" s="103"/>
      <c r="I178" s="104">
        <v>45618</v>
      </c>
      <c r="J178" s="104"/>
      <c r="K178" s="104"/>
      <c r="L178" s="104"/>
      <c r="M178" s="104"/>
      <c r="N178" s="102" t="s">
        <v>144</v>
      </c>
      <c r="O178" s="103"/>
      <c r="P178" s="113"/>
    </row>
    <row r="179" spans="1:24" s="1" customFormat="1" ht="26.4" x14ac:dyDescent="0.25">
      <c r="A179" s="69" t="str">
        <f>'Scenario Test'!$A$20</f>
        <v>DPT_CDT</v>
      </c>
      <c r="B179" s="70" t="str">
        <f>VLOOKUP(TestCase!A179,'Scenario Test'!$A$4:$B$125,2,0)</f>
        <v xml:space="preserve">DPT_CDT: 1111: Deposit by cheque </v>
      </c>
      <c r="C179" s="64" t="s">
        <v>104</v>
      </c>
      <c r="D179" s="75"/>
      <c r="E179" s="110" t="s">
        <v>396</v>
      </c>
      <c r="F179" s="103" t="s">
        <v>183</v>
      </c>
      <c r="G179" s="61" t="s">
        <v>27</v>
      </c>
      <c r="H179" s="64"/>
      <c r="I179" s="66">
        <v>45632</v>
      </c>
      <c r="J179" s="67"/>
      <c r="K179" s="67"/>
      <c r="L179" s="67"/>
      <c r="M179" s="67"/>
      <c r="N179" s="67"/>
      <c r="O179" s="66" t="s">
        <v>144</v>
      </c>
      <c r="P179" s="64"/>
      <c r="Q179" s="63"/>
      <c r="R179" s="63"/>
      <c r="S179" s="63"/>
      <c r="T179" s="63"/>
      <c r="U179" s="63"/>
      <c r="V179" s="63"/>
      <c r="W179" s="63"/>
      <c r="X179" s="63"/>
    </row>
    <row r="180" spans="1:24" s="72" customFormat="1" ht="26.4" x14ac:dyDescent="0.25">
      <c r="A180" s="69" t="str">
        <f>'Scenario Test'!$A$20</f>
        <v>DPT_CDT</v>
      </c>
      <c r="B180" s="70" t="str">
        <f>VLOOKUP(TestCase!A180,'Scenario Test'!$A$4:$B$125,2,0)</f>
        <v xml:space="preserve">DPT_CDT: 1111: Deposit by cheque </v>
      </c>
      <c r="C180" s="64" t="s">
        <v>105</v>
      </c>
      <c r="D180" s="75"/>
      <c r="E180" s="110" t="s">
        <v>397</v>
      </c>
      <c r="F180" s="103" t="s">
        <v>183</v>
      </c>
      <c r="G180" s="61" t="s">
        <v>27</v>
      </c>
      <c r="H180" s="64"/>
      <c r="I180" s="66">
        <v>45632</v>
      </c>
      <c r="J180" s="76"/>
      <c r="K180" s="76"/>
      <c r="L180" s="76"/>
      <c r="M180" s="76"/>
      <c r="N180" s="76"/>
      <c r="O180" s="66" t="s">
        <v>144</v>
      </c>
      <c r="P180" s="76"/>
      <c r="Q180" s="71"/>
      <c r="R180" s="71"/>
      <c r="S180" s="71"/>
      <c r="T180" s="71"/>
      <c r="U180" s="71"/>
      <c r="V180" s="71"/>
      <c r="W180" s="71"/>
      <c r="X180" s="71"/>
    </row>
    <row r="181" spans="1:24" s="1" customFormat="1" ht="26.4" x14ac:dyDescent="0.25">
      <c r="A181" s="69" t="str">
        <f>'Scenario Test'!$A$20</f>
        <v>DPT_CDT</v>
      </c>
      <c r="B181" s="70" t="str">
        <f>VLOOKUP(TestCase!A181,'Scenario Test'!$A$4:$B$125,2,0)</f>
        <v xml:space="preserve">DPT_CDT: 1111: Deposit by cheque </v>
      </c>
      <c r="C181" s="64" t="s">
        <v>126</v>
      </c>
      <c r="D181" s="75"/>
      <c r="E181" s="110" t="s">
        <v>423</v>
      </c>
      <c r="F181" s="103" t="s">
        <v>183</v>
      </c>
      <c r="G181" s="61" t="s">
        <v>27</v>
      </c>
      <c r="H181" s="64"/>
      <c r="I181" s="66">
        <v>45632</v>
      </c>
      <c r="J181" s="67"/>
      <c r="K181" s="67"/>
      <c r="L181" s="67"/>
      <c r="M181" s="67"/>
      <c r="N181" s="67"/>
      <c r="O181" s="66" t="s">
        <v>144</v>
      </c>
      <c r="P181" s="64"/>
      <c r="Q181" s="63"/>
      <c r="R181" s="63"/>
      <c r="S181" s="63"/>
      <c r="T181" s="63"/>
      <c r="U181" s="63"/>
      <c r="V181" s="63"/>
      <c r="W181" s="63"/>
      <c r="X181" s="63"/>
    </row>
    <row r="182" spans="1:24" s="1" customFormat="1" ht="26.4" x14ac:dyDescent="0.25">
      <c r="A182" s="69" t="str">
        <f>'Scenario Test'!$A$20</f>
        <v>DPT_CDT</v>
      </c>
      <c r="B182" s="70" t="str">
        <f>VLOOKUP(TestCase!A182,'Scenario Test'!$A$4:$B$125,2,0)</f>
        <v xml:space="preserve">DPT_CDT: 1111: Deposit by cheque </v>
      </c>
      <c r="C182" s="64" t="s">
        <v>173</v>
      </c>
      <c r="D182" s="75"/>
      <c r="E182" s="110" t="s">
        <v>421</v>
      </c>
      <c r="F182" s="103" t="s">
        <v>183</v>
      </c>
      <c r="G182" s="61" t="s">
        <v>27</v>
      </c>
      <c r="H182" s="64"/>
      <c r="I182" s="66">
        <v>45632</v>
      </c>
      <c r="J182" s="67"/>
      <c r="K182" s="67"/>
      <c r="L182" s="67"/>
      <c r="M182" s="67"/>
      <c r="N182" s="67"/>
      <c r="O182" s="66" t="s">
        <v>144</v>
      </c>
      <c r="P182" s="64"/>
      <c r="Q182" s="63"/>
      <c r="R182" s="63"/>
      <c r="S182" s="63"/>
      <c r="T182" s="63"/>
      <c r="U182" s="63"/>
      <c r="V182" s="63"/>
      <c r="W182" s="63"/>
      <c r="X182" s="63"/>
    </row>
    <row r="183" spans="1:24" s="72" customFormat="1" ht="26.4" x14ac:dyDescent="0.25">
      <c r="A183" s="69" t="str">
        <f>'Scenario Test'!$A$20</f>
        <v>DPT_CDT</v>
      </c>
      <c r="B183" s="70" t="str">
        <f>VLOOKUP(TestCase!A183,'Scenario Test'!$A$4:$B$125,2,0)</f>
        <v xml:space="preserve">DPT_CDT: 1111: Deposit by cheque </v>
      </c>
      <c r="C183" s="64" t="s">
        <v>174</v>
      </c>
      <c r="D183" s="75"/>
      <c r="E183" s="110" t="s">
        <v>422</v>
      </c>
      <c r="F183" s="103" t="s">
        <v>183</v>
      </c>
      <c r="G183" s="61" t="s">
        <v>27</v>
      </c>
      <c r="H183" s="64"/>
      <c r="I183" s="66">
        <v>45632</v>
      </c>
      <c r="J183" s="76"/>
      <c r="K183" s="76"/>
      <c r="L183" s="76"/>
      <c r="M183" s="76"/>
      <c r="N183" s="76"/>
      <c r="O183" s="66" t="s">
        <v>144</v>
      </c>
      <c r="P183" s="76"/>
      <c r="Q183" s="71"/>
      <c r="R183" s="71"/>
      <c r="S183" s="71"/>
      <c r="T183" s="71"/>
      <c r="U183" s="71"/>
      <c r="V183" s="71"/>
      <c r="W183" s="71"/>
      <c r="X183" s="71"/>
    </row>
    <row r="184" spans="1:24" s="1" customFormat="1" ht="118.8" x14ac:dyDescent="0.25">
      <c r="A184" s="69" t="str">
        <f>'Scenario Test'!$A$20</f>
        <v>DPT_CDT</v>
      </c>
      <c r="B184" s="70" t="str">
        <f>VLOOKUP(TestCase!A184,'Scenario Test'!$A$4:$B$125,2,0)</f>
        <v xml:space="preserve">DPT_CDT: 1111: Deposit by cheque </v>
      </c>
      <c r="C184" s="64" t="s">
        <v>175</v>
      </c>
      <c r="D184" s="75"/>
      <c r="E184" s="89" t="s">
        <v>435</v>
      </c>
      <c r="F184" s="103" t="s">
        <v>183</v>
      </c>
      <c r="G184" s="61" t="s">
        <v>27</v>
      </c>
      <c r="H184" s="64"/>
      <c r="I184" s="66">
        <v>45632</v>
      </c>
      <c r="J184" s="67"/>
      <c r="K184" s="67"/>
      <c r="L184" s="67"/>
      <c r="M184" s="67"/>
      <c r="N184" s="67"/>
      <c r="O184" s="66" t="s">
        <v>144</v>
      </c>
      <c r="P184" s="64"/>
      <c r="Q184" s="63"/>
      <c r="R184" s="63"/>
      <c r="S184" s="63"/>
      <c r="T184" s="63"/>
      <c r="U184" s="63"/>
      <c r="V184" s="63"/>
      <c r="W184" s="63"/>
      <c r="X184" s="63"/>
    </row>
    <row r="185" spans="1:24" s="72" customFormat="1" ht="105.6" x14ac:dyDescent="0.25">
      <c r="A185" s="69" t="str">
        <f>'Scenario Test'!$A$20</f>
        <v>DPT_CDT</v>
      </c>
      <c r="B185" s="70" t="str">
        <f>VLOOKUP(TestCase!A185,'Scenario Test'!$A$4:$B$125,2,0)</f>
        <v xml:space="preserve">DPT_CDT: 1111: Deposit by cheque </v>
      </c>
      <c r="C185" s="64" t="s">
        <v>176</v>
      </c>
      <c r="D185" s="75"/>
      <c r="E185" s="89" t="s">
        <v>434</v>
      </c>
      <c r="F185" s="103" t="s">
        <v>183</v>
      </c>
      <c r="G185" s="61" t="s">
        <v>27</v>
      </c>
      <c r="H185" s="64"/>
      <c r="I185" s="66">
        <v>45632</v>
      </c>
      <c r="J185" s="76"/>
      <c r="K185" s="76"/>
      <c r="L185" s="76"/>
      <c r="M185" s="76"/>
      <c r="N185" s="76"/>
      <c r="O185" s="66" t="s">
        <v>144</v>
      </c>
      <c r="P185" s="76"/>
      <c r="Q185" s="71"/>
      <c r="R185" s="71"/>
      <c r="S185" s="71"/>
      <c r="T185" s="71"/>
      <c r="U185" s="71"/>
      <c r="V185" s="71"/>
      <c r="W185" s="71"/>
      <c r="X185" s="71"/>
    </row>
    <row r="186" spans="1:24" s="78" customFormat="1" ht="105.6" x14ac:dyDescent="0.25">
      <c r="A186" s="69" t="str">
        <f>'Scenario Test'!$A$20</f>
        <v>DPT_CDT</v>
      </c>
      <c r="B186" s="70" t="str">
        <f>VLOOKUP(TestCase!A186,'Scenario Test'!$A$4:$B$125,2,0)</f>
        <v xml:space="preserve">DPT_CDT: 1111: Deposit by cheque </v>
      </c>
      <c r="C186" s="64" t="s">
        <v>417</v>
      </c>
      <c r="D186" s="75"/>
      <c r="E186" s="89" t="s">
        <v>433</v>
      </c>
      <c r="F186" s="103" t="s">
        <v>183</v>
      </c>
      <c r="G186" s="61" t="s">
        <v>27</v>
      </c>
      <c r="H186" s="64"/>
      <c r="I186" s="66">
        <v>45632</v>
      </c>
      <c r="J186" s="67"/>
      <c r="K186" s="67"/>
      <c r="L186" s="67"/>
      <c r="M186" s="67"/>
      <c r="N186" s="67"/>
      <c r="O186" s="66" t="s">
        <v>144</v>
      </c>
      <c r="P186" s="64"/>
      <c r="Q186" s="63"/>
      <c r="R186" s="63"/>
      <c r="S186" s="63"/>
      <c r="T186" s="63"/>
      <c r="U186" s="63"/>
      <c r="V186" s="63"/>
      <c r="W186" s="63"/>
      <c r="X186" s="63"/>
    </row>
    <row r="187" spans="1:24" s="78" customFormat="1" ht="118.8" x14ac:dyDescent="0.25">
      <c r="A187" s="69" t="str">
        <f>'Scenario Test'!$A$20</f>
        <v>DPT_CDT</v>
      </c>
      <c r="B187" s="70" t="str">
        <f>VLOOKUP(TestCase!A187,'Scenario Test'!$A$4:$B$125,2,0)</f>
        <v xml:space="preserve">DPT_CDT: 1111: Deposit by cheque </v>
      </c>
      <c r="C187" s="64" t="s">
        <v>418</v>
      </c>
      <c r="D187" s="64"/>
      <c r="E187" s="89" t="s">
        <v>431</v>
      </c>
      <c r="F187" s="103" t="s">
        <v>183</v>
      </c>
      <c r="G187" s="61" t="s">
        <v>27</v>
      </c>
      <c r="H187" s="64"/>
      <c r="I187" s="66">
        <v>45632</v>
      </c>
      <c r="J187" s="67"/>
      <c r="K187" s="67"/>
      <c r="L187" s="67"/>
      <c r="M187" s="67"/>
      <c r="N187" s="67"/>
      <c r="O187" s="66" t="s">
        <v>144</v>
      </c>
      <c r="P187" s="64"/>
      <c r="Q187" s="63"/>
      <c r="R187" s="63"/>
      <c r="S187" s="63"/>
      <c r="T187" s="63"/>
      <c r="U187" s="63"/>
      <c r="V187" s="63"/>
      <c r="W187" s="63"/>
      <c r="X187" s="63"/>
    </row>
    <row r="188" spans="1:24" s="78" customFormat="1" ht="105.6" x14ac:dyDescent="0.25">
      <c r="A188" s="69" t="str">
        <f>'Scenario Test'!$A$20</f>
        <v>DPT_CDT</v>
      </c>
      <c r="B188" s="70" t="str">
        <f>VLOOKUP(TestCase!A188,'Scenario Test'!$A$4:$B$125,2,0)</f>
        <v xml:space="preserve">DPT_CDT: 1111: Deposit by cheque </v>
      </c>
      <c r="C188" s="64" t="s">
        <v>419</v>
      </c>
      <c r="D188" s="64"/>
      <c r="E188" s="89" t="s">
        <v>432</v>
      </c>
      <c r="F188" s="103" t="s">
        <v>183</v>
      </c>
      <c r="G188" s="61" t="s">
        <v>27</v>
      </c>
      <c r="H188" s="64"/>
      <c r="I188" s="66">
        <v>45632</v>
      </c>
      <c r="J188" s="67"/>
      <c r="K188" s="67"/>
      <c r="L188" s="67"/>
      <c r="M188" s="67"/>
      <c r="N188" s="67"/>
      <c r="O188" s="66" t="s">
        <v>144</v>
      </c>
      <c r="P188" s="64"/>
      <c r="Q188" s="63"/>
      <c r="R188" s="63"/>
      <c r="S188" s="63"/>
      <c r="T188" s="63"/>
      <c r="U188" s="63"/>
      <c r="V188" s="63"/>
      <c r="W188" s="63"/>
      <c r="X188" s="63"/>
    </row>
    <row r="189" spans="1:24" s="78" customFormat="1" ht="26.4" x14ac:dyDescent="0.25">
      <c r="A189" s="69" t="str">
        <f>'Scenario Test'!$A$20</f>
        <v>DPT_CDT</v>
      </c>
      <c r="B189" s="70" t="str">
        <f>VLOOKUP(TestCase!A189,'Scenario Test'!$A$4:$B$125,2,0)</f>
        <v xml:space="preserve">DPT_CDT: 1111: Deposit by cheque </v>
      </c>
      <c r="C189" s="64" t="s">
        <v>420</v>
      </c>
      <c r="D189" s="64"/>
      <c r="E189" s="110" t="s">
        <v>184</v>
      </c>
      <c r="F189" s="103" t="s">
        <v>187</v>
      </c>
      <c r="G189" s="61" t="s">
        <v>27</v>
      </c>
      <c r="H189" s="64"/>
      <c r="I189" s="66">
        <v>45632</v>
      </c>
      <c r="J189" s="67"/>
      <c r="K189" s="67"/>
      <c r="L189" s="67"/>
      <c r="M189" s="67"/>
      <c r="N189" s="67"/>
      <c r="O189" s="66" t="s">
        <v>144</v>
      </c>
      <c r="P189" s="64"/>
      <c r="Q189" s="63"/>
      <c r="R189" s="63"/>
      <c r="S189" s="63"/>
      <c r="T189" s="63"/>
      <c r="U189" s="63"/>
      <c r="V189" s="63"/>
      <c r="W189" s="63"/>
      <c r="X189" s="63"/>
    </row>
  </sheetData>
  <autoFilter ref="A5:P189" xr:uid="{00000000-0009-0000-0000-000003000000}"/>
  <phoneticPr fontId="19" type="noConversion"/>
  <dataValidations count="2">
    <dataValidation type="list" allowBlank="1" showErrorMessage="1" sqref="G7:G44 G179:G189 G145:G153 G138:G140 G157:G170 G155 G46:G75 G77:G105 G107:G136" xr:uid="{3C167C21-21B5-4109-9E8C-F557E5969F16}">
      <formula1>"Pass,Fail,-,+,Block,Pending,Not Completed"</formula1>
    </dataValidation>
    <dataValidation type="list" allowBlank="1" showInputMessage="1" showErrorMessage="1" sqref="G156 G141:G144 G177:G178" xr:uid="{74D1E267-E256-43A6-ADAE-3B1551CF0BC4}">
      <formula1>"Pass,Fail,-, ,+,Block, Pending, Not Completed"</formula1>
    </dataValidation>
  </dataValidation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82F-2867-4E77-876E-AF875B2C25F5}">
  <dimension ref="A1:J17"/>
  <sheetViews>
    <sheetView topLeftCell="A4" zoomScale="70" zoomScaleNormal="70" workbookViewId="0">
      <pane xSplit="2" topLeftCell="C1" activePane="topRight" state="frozen"/>
      <selection pane="topRight" activeCell="G11" sqref="G11"/>
    </sheetView>
  </sheetViews>
  <sheetFormatPr defaultRowHeight="13.8" x14ac:dyDescent="0.25"/>
  <cols>
    <col min="1" max="1" width="35.09765625" style="115" customWidth="1"/>
    <col min="2" max="2" width="76.69921875" style="115" customWidth="1"/>
    <col min="3" max="3" width="21.796875" style="115" customWidth="1"/>
    <col min="4" max="4" width="28.3984375" style="115" bestFit="1" customWidth="1"/>
    <col min="5" max="5" width="21.796875" style="115" customWidth="1"/>
    <col min="6" max="6" width="20.796875" style="115" customWidth="1"/>
    <col min="7" max="7" width="21.69921875" style="115" customWidth="1"/>
    <col min="8" max="8" width="62.8984375" style="115" customWidth="1"/>
    <col min="9" max="9" width="21.69921875" style="115" customWidth="1"/>
    <col min="10" max="10" width="58.796875" style="115" customWidth="1"/>
    <col min="11" max="16384" width="8.796875" style="115"/>
  </cols>
  <sheetData>
    <row r="1" spans="1:10" ht="17.399999999999999" x14ac:dyDescent="0.25">
      <c r="A1" s="164" t="s">
        <v>438</v>
      </c>
      <c r="B1" s="166" t="s">
        <v>439</v>
      </c>
      <c r="C1" s="166" t="s">
        <v>440</v>
      </c>
      <c r="D1" s="166"/>
      <c r="E1" s="166"/>
      <c r="F1" s="166"/>
      <c r="G1" s="166"/>
      <c r="H1" s="166"/>
      <c r="I1" s="166"/>
      <c r="J1" s="168"/>
    </row>
    <row r="2" spans="1:10" ht="17.399999999999999" x14ac:dyDescent="0.25">
      <c r="A2" s="165"/>
      <c r="B2" s="167"/>
      <c r="C2" s="169" t="s">
        <v>441</v>
      </c>
      <c r="D2" s="169"/>
      <c r="E2" s="169" t="s">
        <v>442</v>
      </c>
      <c r="F2" s="169"/>
      <c r="G2" s="169" t="s">
        <v>443</v>
      </c>
      <c r="H2" s="169"/>
      <c r="I2" s="169" t="s">
        <v>444</v>
      </c>
      <c r="J2" s="170"/>
    </row>
    <row r="3" spans="1:10" ht="17.399999999999999" x14ac:dyDescent="0.25">
      <c r="A3" s="165"/>
      <c r="B3" s="167"/>
      <c r="C3" s="116" t="s">
        <v>445</v>
      </c>
      <c r="D3" s="116" t="s">
        <v>438</v>
      </c>
      <c r="E3" s="116" t="s">
        <v>445</v>
      </c>
      <c r="F3" s="116" t="s">
        <v>438</v>
      </c>
      <c r="G3" s="116" t="s">
        <v>445</v>
      </c>
      <c r="H3" s="116" t="s">
        <v>438</v>
      </c>
      <c r="I3" s="116" t="s">
        <v>445</v>
      </c>
      <c r="J3" s="117" t="s">
        <v>438</v>
      </c>
    </row>
    <row r="4" spans="1:10" ht="55.2" x14ac:dyDescent="0.25">
      <c r="A4" s="155" t="s">
        <v>465</v>
      </c>
      <c r="B4" s="157" t="s">
        <v>468</v>
      </c>
      <c r="C4" s="132" t="s">
        <v>446</v>
      </c>
      <c r="D4" s="132" t="s">
        <v>447</v>
      </c>
      <c r="E4" s="132" t="s">
        <v>448</v>
      </c>
      <c r="F4" s="132" t="s">
        <v>447</v>
      </c>
      <c r="G4" s="133" t="s">
        <v>449</v>
      </c>
      <c r="H4" s="134" t="s">
        <v>450</v>
      </c>
      <c r="I4" s="131" t="s">
        <v>466</v>
      </c>
      <c r="J4" s="129" t="s">
        <v>467</v>
      </c>
    </row>
    <row r="5" spans="1:10" ht="138" x14ac:dyDescent="0.25">
      <c r="A5" s="155"/>
      <c r="B5" s="157"/>
      <c r="C5" s="135" t="s">
        <v>452</v>
      </c>
      <c r="D5" s="135" t="s">
        <v>453</v>
      </c>
      <c r="E5" s="136" t="s">
        <v>454</v>
      </c>
      <c r="F5" s="132" t="s">
        <v>447</v>
      </c>
      <c r="G5" s="137" t="s">
        <v>455</v>
      </c>
      <c r="H5" s="134" t="s">
        <v>456</v>
      </c>
      <c r="I5" s="130" t="s">
        <v>451</v>
      </c>
      <c r="J5" s="129" t="s">
        <v>471</v>
      </c>
    </row>
    <row r="6" spans="1:10" ht="13.8" customHeight="1" x14ac:dyDescent="0.25">
      <c r="A6" s="155"/>
      <c r="B6" s="157"/>
      <c r="C6" s="136" t="s">
        <v>458</v>
      </c>
      <c r="D6" s="132" t="s">
        <v>447</v>
      </c>
      <c r="E6" s="135" t="s">
        <v>459</v>
      </c>
      <c r="F6" s="132" t="s">
        <v>447</v>
      </c>
      <c r="G6" s="138" t="s">
        <v>460</v>
      </c>
      <c r="H6" s="124" t="s">
        <v>447</v>
      </c>
      <c r="I6" s="124" t="s">
        <v>461</v>
      </c>
      <c r="J6" s="125" t="s">
        <v>447</v>
      </c>
    </row>
    <row r="7" spans="1:10" ht="13.8" customHeight="1" x14ac:dyDescent="0.25">
      <c r="A7" s="155"/>
      <c r="B7" s="157"/>
      <c r="C7" s="135" t="s">
        <v>454</v>
      </c>
      <c r="D7" s="132" t="s">
        <v>447</v>
      </c>
      <c r="E7" s="135"/>
      <c r="F7" s="135"/>
      <c r="G7" s="124" t="s">
        <v>446</v>
      </c>
      <c r="H7" s="124" t="s">
        <v>447</v>
      </c>
      <c r="I7" s="118" t="s">
        <v>454</v>
      </c>
      <c r="J7" s="125" t="s">
        <v>447</v>
      </c>
    </row>
    <row r="8" spans="1:10" ht="13.8" customHeight="1" x14ac:dyDescent="0.25">
      <c r="A8" s="155"/>
      <c r="B8" s="157"/>
      <c r="C8" s="135" t="s">
        <v>459</v>
      </c>
      <c r="D8" s="132" t="s">
        <v>447</v>
      </c>
      <c r="E8" s="135"/>
      <c r="F8" s="135"/>
      <c r="G8" s="138" t="s">
        <v>454</v>
      </c>
      <c r="H8" s="124" t="s">
        <v>447</v>
      </c>
      <c r="I8" s="118" t="s">
        <v>459</v>
      </c>
      <c r="J8" s="125" t="s">
        <v>447</v>
      </c>
    </row>
    <row r="9" spans="1:10" ht="14.4" thickBot="1" x14ac:dyDescent="0.3">
      <c r="A9" s="156"/>
      <c r="B9" s="158"/>
      <c r="C9" s="119"/>
      <c r="D9" s="119"/>
      <c r="E9" s="119"/>
      <c r="F9" s="119"/>
      <c r="G9" s="120" t="s">
        <v>459</v>
      </c>
      <c r="H9" s="121" t="s">
        <v>447</v>
      </c>
      <c r="I9" s="120"/>
      <c r="J9" s="122"/>
    </row>
    <row r="10" spans="1:10" ht="27.6" x14ac:dyDescent="0.25">
      <c r="A10" s="159" t="s">
        <v>469</v>
      </c>
      <c r="B10" s="160" t="s">
        <v>470</v>
      </c>
      <c r="C10" s="123" t="s">
        <v>446</v>
      </c>
      <c r="D10" s="123" t="s">
        <v>447</v>
      </c>
      <c r="E10" s="123" t="s">
        <v>448</v>
      </c>
      <c r="F10" s="123" t="s">
        <v>447</v>
      </c>
      <c r="G10" s="123" t="s">
        <v>449</v>
      </c>
      <c r="H10" s="134" t="s">
        <v>463</v>
      </c>
      <c r="I10" s="131" t="s">
        <v>466</v>
      </c>
      <c r="J10" s="129" t="s">
        <v>472</v>
      </c>
    </row>
    <row r="11" spans="1:10" ht="193.2" x14ac:dyDescent="0.25">
      <c r="A11" s="155"/>
      <c r="B11" s="161"/>
      <c r="C11" s="124" t="s">
        <v>458</v>
      </c>
      <c r="D11" s="139" t="s">
        <v>447</v>
      </c>
      <c r="E11" s="124" t="s">
        <v>454</v>
      </c>
      <c r="F11" s="139" t="s">
        <v>447</v>
      </c>
      <c r="G11" s="124" t="s">
        <v>455</v>
      </c>
      <c r="H11" s="134" t="s">
        <v>456</v>
      </c>
      <c r="I11" s="139" t="s">
        <v>451</v>
      </c>
      <c r="J11" s="141" t="s">
        <v>464</v>
      </c>
    </row>
    <row r="12" spans="1:10" ht="13.8" customHeight="1" x14ac:dyDescent="0.25">
      <c r="A12" s="155"/>
      <c r="B12" s="161"/>
      <c r="C12" s="126" t="s">
        <v>454</v>
      </c>
      <c r="D12" s="139" t="s">
        <v>447</v>
      </c>
      <c r="E12" s="126" t="s">
        <v>459</v>
      </c>
      <c r="F12" s="139" t="s">
        <v>447</v>
      </c>
      <c r="G12" s="126" t="s">
        <v>460</v>
      </c>
      <c r="H12" s="124" t="s">
        <v>447</v>
      </c>
      <c r="I12" s="124" t="s">
        <v>457</v>
      </c>
      <c r="J12" s="125" t="s">
        <v>447</v>
      </c>
    </row>
    <row r="13" spans="1:10" ht="13.8" customHeight="1" x14ac:dyDescent="0.25">
      <c r="A13" s="155"/>
      <c r="B13" s="161"/>
      <c r="C13" s="126" t="s">
        <v>459</v>
      </c>
      <c r="D13" s="139" t="s">
        <v>447</v>
      </c>
      <c r="E13" s="126"/>
      <c r="F13" s="126"/>
      <c r="G13" s="124" t="s">
        <v>446</v>
      </c>
      <c r="H13" s="124" t="s">
        <v>447</v>
      </c>
      <c r="I13" s="124" t="s">
        <v>461</v>
      </c>
      <c r="J13" s="125" t="s">
        <v>447</v>
      </c>
    </row>
    <row r="14" spans="1:10" ht="13.8" customHeight="1" x14ac:dyDescent="0.25">
      <c r="A14" s="155"/>
      <c r="B14" s="161"/>
      <c r="C14" s="126"/>
      <c r="D14" s="126"/>
      <c r="E14" s="126"/>
      <c r="F14" s="126"/>
      <c r="G14" s="126" t="s">
        <v>454</v>
      </c>
      <c r="H14" s="124" t="s">
        <v>447</v>
      </c>
      <c r="I14" s="124" t="s">
        <v>462</v>
      </c>
      <c r="J14" s="125" t="s">
        <v>447</v>
      </c>
    </row>
    <row r="15" spans="1:10" x14ac:dyDescent="0.25">
      <c r="A15" s="155"/>
      <c r="B15" s="161"/>
      <c r="C15" s="140"/>
      <c r="D15" s="140"/>
      <c r="E15" s="126"/>
      <c r="F15" s="126"/>
      <c r="G15" s="126" t="s">
        <v>459</v>
      </c>
      <c r="H15" s="124" t="s">
        <v>447</v>
      </c>
      <c r="I15" s="124" t="s">
        <v>446</v>
      </c>
      <c r="J15" s="125" t="s">
        <v>447</v>
      </c>
    </row>
    <row r="16" spans="1:10" x14ac:dyDescent="0.25">
      <c r="A16" s="155"/>
      <c r="B16" s="162"/>
      <c r="C16" s="135"/>
      <c r="D16" s="135"/>
      <c r="E16" s="143"/>
      <c r="F16" s="140"/>
      <c r="G16" s="140"/>
      <c r="H16" s="142"/>
      <c r="I16" s="126" t="s">
        <v>454</v>
      </c>
      <c r="J16" s="125" t="s">
        <v>447</v>
      </c>
    </row>
    <row r="17" spans="1:10" ht="14.4" thickBot="1" x14ac:dyDescent="0.3">
      <c r="A17" s="156"/>
      <c r="B17" s="163"/>
      <c r="C17" s="119"/>
      <c r="D17" s="119"/>
      <c r="E17" s="127"/>
      <c r="F17" s="127"/>
      <c r="G17" s="127"/>
      <c r="H17" s="127"/>
      <c r="I17" s="127" t="s">
        <v>459</v>
      </c>
      <c r="J17" s="128" t="s">
        <v>447</v>
      </c>
    </row>
  </sheetData>
  <mergeCells count="11">
    <mergeCell ref="C1:J1"/>
    <mergeCell ref="C2:D2"/>
    <mergeCell ref="E2:F2"/>
    <mergeCell ref="G2:H2"/>
    <mergeCell ref="I2:J2"/>
    <mergeCell ref="A4:A9"/>
    <mergeCell ref="B4:B9"/>
    <mergeCell ref="A10:A17"/>
    <mergeCell ref="B10:B17"/>
    <mergeCell ref="A1:A3"/>
    <mergeCell ref="B1:B3"/>
  </mergeCells>
  <phoneticPr fontId="19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Version</vt:lpstr>
      <vt:lpstr>Summary</vt:lpstr>
      <vt:lpstr>Scenario Test</vt:lpstr>
      <vt:lpstr>TestCase</vt:lpstr>
      <vt:lpstr>UpdateData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Thuc Uyen</dc:creator>
  <cp:lastModifiedBy>LaptopNCT</cp:lastModifiedBy>
  <dcterms:created xsi:type="dcterms:W3CDTF">2017-08-07T02:35:23Z</dcterms:created>
  <dcterms:modified xsi:type="dcterms:W3CDTF">2025-03-24T02:31:28Z</dcterms:modified>
</cp:coreProperties>
</file>