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D:\JITS\NEPTUNE\testcases-zip\CBS-SHWE\"/>
    </mc:Choice>
  </mc:AlternateContent>
  <xr:revisionPtr revIDLastSave="0" documentId="13_ncr:1_{9EB5F5E8-B80E-4E5A-BD7A-5FA7FFBF6A0A}" xr6:coauthVersionLast="45" xr6:coauthVersionMax="45" xr10:uidLastSave="{00000000-0000-0000-0000-000000000000}"/>
  <bookViews>
    <workbookView xWindow="22932" yWindow="-84" windowWidth="23256" windowHeight="12720" xr2:uid="{00000000-000D-0000-FFFF-FFFF00000000}"/>
  </bookViews>
  <sheets>
    <sheet name="Version" sheetId="3" r:id="rId1"/>
    <sheet name="Summary" sheetId="5" r:id="rId2"/>
    <sheet name="Scenario Test" sheetId="4" r:id="rId3"/>
    <sheet name="TestCase" sheetId="1" r:id="rId4"/>
    <sheet name="UpdateData" sheetId="6" r:id="rId5"/>
  </sheets>
  <externalReferences>
    <externalReference r:id="rId6"/>
  </externalReferences>
  <definedNames>
    <definedName name="_xlnm._FilterDatabase" localSheetId="3" hidden="1">TestCase!$A$5:$N$5</definedName>
    <definedName name="Pass">'[1]Test Case_ILC'!$H$13</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64" i="1" l="1"/>
  <c r="B64" i="1" s="1"/>
  <c r="A175" i="1" l="1"/>
  <c r="B175" i="1" s="1"/>
  <c r="A8" i="1" l="1"/>
  <c r="B8" i="1" s="1"/>
  <c r="A12" i="1"/>
  <c r="B12" i="1" s="1"/>
  <c r="A11" i="1"/>
  <c r="B11" i="1" s="1"/>
  <c r="A10" i="1"/>
  <c r="B10" i="1" s="1"/>
  <c r="A9" i="1"/>
  <c r="B9" i="1" s="1"/>
  <c r="A7" i="1"/>
  <c r="B7" i="1" s="1"/>
  <c r="A6" i="1"/>
  <c r="B6" i="1" s="1"/>
  <c r="A63" i="1" l="1"/>
  <c r="B63" i="1" s="1"/>
  <c r="A62" i="1"/>
  <c r="B62" i="1" s="1"/>
  <c r="A59" i="1"/>
  <c r="A61" i="1"/>
  <c r="B61" i="1" s="1"/>
  <c r="A60" i="1"/>
  <c r="B60" i="1" s="1"/>
  <c r="A58" i="1"/>
  <c r="B58" i="1" s="1"/>
  <c r="B59" i="1"/>
  <c r="D57" i="1"/>
  <c r="A57" i="1"/>
  <c r="B57" i="1" s="1"/>
  <c r="A56" i="1"/>
  <c r="B56" i="1" s="1"/>
  <c r="D51" i="1"/>
  <c r="A51" i="1"/>
  <c r="B51" i="1" s="1"/>
  <c r="A50" i="1"/>
  <c r="B50" i="1" s="1"/>
  <c r="A52" i="1"/>
  <c r="B52" i="1" s="1"/>
  <c r="A53" i="1"/>
  <c r="B53" i="1" s="1"/>
  <c r="D53" i="1"/>
  <c r="D55" i="1"/>
  <c r="A55" i="1"/>
  <c r="B55" i="1" s="1"/>
  <c r="A54" i="1"/>
  <c r="B54" i="1" s="1"/>
  <c r="D49" i="1"/>
  <c r="A49" i="1"/>
  <c r="B49" i="1" s="1"/>
  <c r="A48" i="1"/>
  <c r="B48" i="1" s="1"/>
  <c r="D47" i="1"/>
  <c r="A47" i="1"/>
  <c r="B47" i="1" s="1"/>
  <c r="A46" i="1"/>
  <c r="B46" i="1" s="1"/>
  <c r="A45" i="1"/>
  <c r="B45" i="1" s="1"/>
  <c r="D45" i="1"/>
  <c r="A40" i="1"/>
  <c r="B40" i="1" s="1"/>
  <c r="A41" i="1"/>
  <c r="B41" i="1" s="1"/>
  <c r="A42" i="1"/>
  <c r="B42" i="1" s="1"/>
  <c r="A43" i="1"/>
  <c r="B43" i="1" s="1"/>
  <c r="D40" i="1"/>
  <c r="A44" i="1"/>
  <c r="B44" i="1" s="1"/>
  <c r="A39" i="1"/>
  <c r="B39" i="1" s="1"/>
  <c r="A38" i="1"/>
  <c r="B38" i="1" s="1"/>
  <c r="D36" i="1"/>
  <c r="D34" i="1"/>
  <c r="D32" i="1"/>
  <c r="D30" i="1"/>
  <c r="D28" i="1"/>
  <c r="D26" i="1"/>
  <c r="D24" i="1"/>
  <c r="D22" i="1"/>
  <c r="D20" i="1"/>
  <c r="A37"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B37" i="1"/>
  <c r="A36" i="1"/>
  <c r="B36" i="1" s="1"/>
  <c r="A35" i="1"/>
  <c r="B35" i="1" s="1"/>
  <c r="A32" i="1"/>
  <c r="B32" i="1" s="1"/>
  <c r="A30" i="1"/>
  <c r="B30" i="1" s="1"/>
  <c r="A28" i="1"/>
  <c r="B28" i="1" s="1"/>
  <c r="A26" i="1"/>
  <c r="B26" i="1" s="1"/>
  <c r="A24" i="1"/>
  <c r="B24" i="1" s="1"/>
  <c r="A22" i="1"/>
  <c r="B22" i="1" s="1"/>
  <c r="A20" i="1"/>
  <c r="B20" i="1" s="1"/>
  <c r="A27" i="1"/>
  <c r="B27" i="1" s="1"/>
  <c r="A29" i="1"/>
  <c r="B29" i="1" s="1"/>
  <c r="A31" i="1"/>
  <c r="B31" i="1" s="1"/>
  <c r="A25" i="1"/>
  <c r="B25" i="1" s="1"/>
  <c r="A21" i="1"/>
  <c r="B21" i="1" s="1"/>
  <c r="A19" i="1"/>
  <c r="B19" i="1" s="1"/>
  <c r="A33" i="1"/>
  <c r="B33" i="1" s="1"/>
  <c r="A18" i="1"/>
  <c r="B18" i="1" s="1"/>
  <c r="A17" i="1"/>
  <c r="B17" i="1" s="1"/>
  <c r="A16" i="1"/>
  <c r="B16" i="1" s="1"/>
  <c r="A15" i="1"/>
  <c r="B15" i="1" s="1"/>
  <c r="A23" i="1"/>
  <c r="B23" i="1" s="1"/>
  <c r="A34" i="1"/>
  <c r="B34" i="1" s="1"/>
  <c r="D15" i="1"/>
  <c r="A14" i="1" l="1"/>
  <c r="B14" i="1" s="1"/>
  <c r="A13" i="1"/>
  <c r="B13" i="1" s="1"/>
  <c r="B233" i="1" l="1"/>
  <c r="B222" i="1"/>
  <c r="B223" i="1"/>
  <c r="B224" i="1"/>
  <c r="B226" i="1"/>
  <c r="B227" i="1"/>
  <c r="B228" i="1"/>
  <c r="B230" i="1"/>
  <c r="B231" i="1"/>
  <c r="B232" i="1"/>
  <c r="B235" i="1"/>
  <c r="B236" i="1"/>
  <c r="B237" i="1"/>
  <c r="B239" i="1"/>
  <c r="B240" i="1"/>
  <c r="B220" i="1"/>
  <c r="B219" i="1"/>
  <c r="B238" i="1"/>
  <c r="B234" i="1"/>
  <c r="B229" i="1"/>
  <c r="B225" i="1"/>
  <c r="B221" i="1"/>
  <c r="B215" i="1"/>
  <c r="B147" i="1"/>
  <c r="B213" i="1"/>
  <c r="B200" i="1"/>
  <c r="B201" i="1"/>
  <c r="B202" i="1"/>
  <c r="B203" i="1"/>
  <c r="B204" i="1"/>
  <c r="B205" i="1"/>
  <c r="B206" i="1"/>
  <c r="B208" i="1"/>
  <c r="B209" i="1"/>
  <c r="B210" i="1"/>
  <c r="B211" i="1"/>
  <c r="B212" i="1"/>
  <c r="B214" i="1"/>
  <c r="B216" i="1"/>
  <c r="B217" i="1"/>
  <c r="B218" i="1"/>
  <c r="B199" i="1"/>
  <c r="B198" i="1"/>
  <c r="B207" i="1"/>
  <c r="B193" i="1"/>
  <c r="B182" i="1"/>
  <c r="B183" i="1"/>
  <c r="B184" i="1"/>
  <c r="B185" i="1"/>
  <c r="B186" i="1"/>
  <c r="B187" i="1"/>
  <c r="B188" i="1"/>
  <c r="B189" i="1"/>
  <c r="B190" i="1"/>
  <c r="B191" i="1"/>
  <c r="B192" i="1"/>
  <c r="B194" i="1"/>
  <c r="B195" i="1"/>
  <c r="B196" i="1"/>
  <c r="B197" i="1"/>
  <c r="B181" i="1"/>
  <c r="B180" i="1"/>
  <c r="B173" i="1" l="1"/>
  <c r="B172" i="1"/>
  <c r="B156" i="1"/>
  <c r="B157" i="1"/>
  <c r="B158" i="1"/>
  <c r="B159" i="1"/>
  <c r="B160" i="1"/>
  <c r="B161" i="1"/>
  <c r="B162" i="1"/>
  <c r="B164" i="1"/>
  <c r="B165" i="1"/>
  <c r="B167" i="1"/>
  <c r="B168" i="1"/>
  <c r="B169" i="1"/>
  <c r="B170" i="1"/>
  <c r="B171" i="1"/>
  <c r="B174" i="1"/>
  <c r="B176" i="1"/>
  <c r="B177" i="1"/>
  <c r="B178" i="1"/>
  <c r="B179" i="1"/>
  <c r="B155" i="1"/>
  <c r="B166" i="1"/>
  <c r="B163" i="1"/>
  <c r="B151" i="1"/>
  <c r="B152" i="1"/>
  <c r="B150" i="1"/>
  <c r="B153" i="1"/>
  <c r="B154" i="1"/>
  <c r="B127" i="1"/>
  <c r="B128" i="1"/>
  <c r="B126" i="1"/>
  <c r="B140" i="1"/>
  <c r="B141" i="1"/>
  <c r="B142" i="1"/>
  <c r="B120" i="1"/>
  <c r="B115" i="1"/>
  <c r="B149" i="1"/>
  <c r="B148" i="1"/>
  <c r="B146" i="1"/>
  <c r="B145" i="1"/>
  <c r="B144" i="1"/>
  <c r="B143" i="1"/>
  <c r="B139" i="1"/>
  <c r="B138" i="1"/>
  <c r="B137" i="1"/>
  <c r="B136" i="1"/>
  <c r="B135" i="1"/>
  <c r="B134" i="1"/>
  <c r="B129" i="1"/>
  <c r="B125" i="1"/>
  <c r="B124" i="1"/>
  <c r="B123" i="1"/>
  <c r="B122" i="1"/>
  <c r="B116" i="1"/>
  <c r="B117" i="1"/>
  <c r="B118" i="1"/>
  <c r="B119" i="1"/>
  <c r="B114" i="1"/>
  <c r="B113" i="1"/>
  <c r="B112" i="1"/>
  <c r="B111" i="1"/>
  <c r="B132" i="1"/>
  <c r="B133" i="1"/>
  <c r="B131" i="1"/>
  <c r="B130" i="1"/>
  <c r="B108" i="1"/>
  <c r="B107" i="1"/>
  <c r="B106" i="1"/>
  <c r="B105" i="1"/>
  <c r="B104" i="1"/>
  <c r="B103" i="1"/>
  <c r="B98" i="1"/>
  <c r="B99" i="1"/>
  <c r="B100" i="1"/>
  <c r="B101" i="1"/>
  <c r="B94" i="1"/>
  <c r="B95" i="1"/>
  <c r="B96" i="1"/>
  <c r="B97" i="1"/>
  <c r="B86" i="1"/>
  <c r="B85" i="1"/>
  <c r="B83" i="1"/>
  <c r="B84" i="1"/>
  <c r="B87" i="1"/>
  <c r="B88" i="1"/>
  <c r="B89" i="1"/>
  <c r="B90" i="1"/>
  <c r="B91" i="1"/>
  <c r="B80" i="1" l="1"/>
  <c r="B79" i="1"/>
  <c r="B74" i="1"/>
  <c r="B73" i="1"/>
  <c r="B72" i="1"/>
  <c r="B71" i="1"/>
  <c r="B75" i="1" l="1"/>
  <c r="B70" i="1" l="1"/>
  <c r="C9" i="5" l="1"/>
  <c r="B76" i="1" l="1"/>
  <c r="B69" i="1"/>
  <c r="D9" i="4"/>
  <c r="H10" i="4" l="1"/>
  <c r="D10" i="4"/>
  <c r="F9" i="4"/>
  <c r="C10" i="4"/>
  <c r="I9" i="4"/>
  <c r="E9" i="4"/>
  <c r="G10" i="4"/>
  <c r="F10" i="4"/>
  <c r="H9" i="4"/>
  <c r="I10" i="4"/>
  <c r="E10" i="4"/>
  <c r="G9" i="4"/>
  <c r="C9" i="4"/>
  <c r="H8" i="4"/>
  <c r="D8" i="4"/>
  <c r="F7" i="4"/>
  <c r="E7" i="4"/>
  <c r="G7" i="4"/>
  <c r="G8" i="4"/>
  <c r="C8" i="4"/>
  <c r="I7" i="4"/>
  <c r="I8" i="4"/>
  <c r="C7" i="4"/>
  <c r="F8" i="4"/>
  <c r="H7" i="4"/>
  <c r="D7" i="4"/>
  <c r="E8" i="4"/>
  <c r="G16" i="4"/>
  <c r="I19" i="4"/>
  <c r="E18" i="4"/>
  <c r="D16" i="4"/>
  <c r="C16" i="4"/>
  <c r="D18" i="4"/>
  <c r="E19" i="4"/>
  <c r="G14" i="4"/>
  <c r="H16" i="4"/>
  <c r="I18" i="4"/>
  <c r="C14" i="4"/>
  <c r="H18" i="4"/>
  <c r="F20" i="4"/>
  <c r="F16" i="4"/>
  <c r="C18" i="4"/>
  <c r="G18" i="4"/>
  <c r="D19" i="4"/>
  <c r="H19" i="4"/>
  <c r="E20" i="4"/>
  <c r="I20" i="4"/>
  <c r="F14" i="4"/>
  <c r="E16" i="4"/>
  <c r="I16" i="4"/>
  <c r="F18" i="4"/>
  <c r="C19" i="4"/>
  <c r="G19" i="4"/>
  <c r="D20" i="4"/>
  <c r="H20" i="4"/>
  <c r="E14" i="4"/>
  <c r="I14" i="4"/>
  <c r="F19" i="4"/>
  <c r="C20" i="4"/>
  <c r="G20" i="4"/>
  <c r="D14" i="4"/>
  <c r="H14" i="4"/>
  <c r="J18" i="4"/>
  <c r="P18" i="4" s="1"/>
  <c r="J16" i="4"/>
  <c r="P16" i="4" s="1"/>
  <c r="D13" i="5"/>
  <c r="E13" i="5"/>
  <c r="F13" i="5"/>
  <c r="G13" i="5"/>
  <c r="H13" i="5"/>
  <c r="I13" i="5"/>
  <c r="D12" i="5"/>
  <c r="E12" i="5"/>
  <c r="F12" i="5"/>
  <c r="G12" i="5"/>
  <c r="H12" i="5"/>
  <c r="I12" i="5"/>
  <c r="C13" i="5"/>
  <c r="C12" i="5"/>
  <c r="D23" i="5"/>
  <c r="E23" i="5"/>
  <c r="F23" i="5"/>
  <c r="G23" i="5"/>
  <c r="H23" i="5"/>
  <c r="I23" i="5"/>
  <c r="C23" i="5"/>
  <c r="D22" i="5"/>
  <c r="E22" i="5"/>
  <c r="F22" i="5"/>
  <c r="G22" i="5"/>
  <c r="H22" i="5"/>
  <c r="I22" i="5"/>
  <c r="C22" i="5"/>
  <c r="D21" i="5"/>
  <c r="E21" i="5"/>
  <c r="F21" i="5"/>
  <c r="G21" i="5"/>
  <c r="H21" i="5"/>
  <c r="I21" i="5"/>
  <c r="C21" i="5"/>
  <c r="D20" i="5"/>
  <c r="E20" i="5"/>
  <c r="F20" i="5"/>
  <c r="G20" i="5"/>
  <c r="H20" i="5"/>
  <c r="I20" i="5"/>
  <c r="C20" i="5"/>
  <c r="D19" i="5"/>
  <c r="E19" i="5"/>
  <c r="F19" i="5"/>
  <c r="G19" i="5"/>
  <c r="H19" i="5"/>
  <c r="I19" i="5"/>
  <c r="C19" i="5"/>
  <c r="J10" i="4" l="1"/>
  <c r="N10" i="4" s="1"/>
  <c r="J9" i="4"/>
  <c r="L9" i="4" s="1"/>
  <c r="J8" i="4"/>
  <c r="O8" i="4" s="1"/>
  <c r="J7" i="4"/>
  <c r="J19" i="4"/>
  <c r="P19" i="4" s="1"/>
  <c r="J14" i="4"/>
  <c r="L14" i="4" s="1"/>
  <c r="J20" i="4"/>
  <c r="O20" i="4" s="1"/>
  <c r="M18" i="4"/>
  <c r="K18" i="4"/>
  <c r="O18" i="4"/>
  <c r="N18" i="4"/>
  <c r="L18" i="4"/>
  <c r="O16" i="4"/>
  <c r="N16" i="4"/>
  <c r="M16" i="4"/>
  <c r="K16" i="4"/>
  <c r="L16" i="4"/>
  <c r="H13" i="4"/>
  <c r="H15" i="4"/>
  <c r="H17" i="4"/>
  <c r="G13" i="4"/>
  <c r="G15" i="4"/>
  <c r="G17" i="4"/>
  <c r="G12" i="4"/>
  <c r="F13" i="4"/>
  <c r="F15" i="4"/>
  <c r="F17" i="4"/>
  <c r="F12" i="4"/>
  <c r="H12" i="4"/>
  <c r="H21" i="4" s="1"/>
  <c r="E11" i="5"/>
  <c r="F11" i="5"/>
  <c r="G11" i="5"/>
  <c r="H11" i="5"/>
  <c r="I11" i="5"/>
  <c r="D11" i="5"/>
  <c r="E10" i="5"/>
  <c r="F10" i="5"/>
  <c r="G10" i="5"/>
  <c r="H10" i="5"/>
  <c r="I10" i="5"/>
  <c r="D10" i="5"/>
  <c r="E9" i="5"/>
  <c r="E14" i="5" s="1"/>
  <c r="F9" i="5"/>
  <c r="F14" i="5" s="1"/>
  <c r="G9" i="5"/>
  <c r="H9" i="5"/>
  <c r="I9" i="5"/>
  <c r="D9" i="5"/>
  <c r="D14" i="5" s="1"/>
  <c r="I14" i="5" l="1"/>
  <c r="H14" i="5"/>
  <c r="F21" i="4"/>
  <c r="G21" i="4"/>
  <c r="C39" i="5" s="1"/>
  <c r="P7" i="4"/>
  <c r="P9" i="4"/>
  <c r="M10" i="4"/>
  <c r="O10" i="4"/>
  <c r="L10" i="4"/>
  <c r="K10" i="4"/>
  <c r="O9" i="4"/>
  <c r="K9" i="4"/>
  <c r="P10" i="4"/>
  <c r="M9" i="4"/>
  <c r="N9" i="4"/>
  <c r="P8" i="4"/>
  <c r="L7" i="4"/>
  <c r="O7" i="4"/>
  <c r="N7" i="4"/>
  <c r="K7" i="4"/>
  <c r="M7" i="4"/>
  <c r="K8" i="4"/>
  <c r="L8" i="4"/>
  <c r="M8" i="4"/>
  <c r="N8" i="4"/>
  <c r="M20" i="4"/>
  <c r="K19" i="4"/>
  <c r="M19" i="4"/>
  <c r="L20" i="4"/>
  <c r="P20" i="4"/>
  <c r="N20" i="4"/>
  <c r="M14" i="4"/>
  <c r="P14" i="4"/>
  <c r="N19" i="4"/>
  <c r="O19" i="4"/>
  <c r="L19" i="4"/>
  <c r="K14" i="4"/>
  <c r="O14" i="4"/>
  <c r="N14" i="4"/>
  <c r="K20" i="4"/>
  <c r="G14" i="5"/>
  <c r="C24" i="5"/>
  <c r="C11" i="5"/>
  <c r="C10" i="5"/>
  <c r="C14" i="5" l="1"/>
  <c r="C38" i="5"/>
  <c r="I17" i="4"/>
  <c r="E17" i="4"/>
  <c r="D17" i="4"/>
  <c r="C17" i="4"/>
  <c r="C12" i="4"/>
  <c r="D12" i="4"/>
  <c r="E13" i="4"/>
  <c r="E15" i="4"/>
  <c r="E12" i="4"/>
  <c r="I12" i="4"/>
  <c r="E21" i="4" l="1"/>
  <c r="J12" i="4"/>
  <c r="D24" i="5"/>
  <c r="J17" i="4"/>
  <c r="L17" i="4" s="1"/>
  <c r="C40" i="5"/>
  <c r="K12" i="4" l="1"/>
  <c r="N17" i="4"/>
  <c r="O17" i="4"/>
  <c r="P17" i="4"/>
  <c r="K17" i="4"/>
  <c r="M17" i="4"/>
  <c r="P12" i="4"/>
  <c r="O12" i="4"/>
  <c r="N12" i="4"/>
  <c r="L12" i="4"/>
  <c r="M12" i="4"/>
  <c r="E24" i="5"/>
  <c r="C41" i="5" l="1"/>
  <c r="F24" i="5"/>
  <c r="B121" i="1"/>
  <c r="B102" i="1"/>
  <c r="B81" i="1"/>
  <c r="B67" i="1"/>
  <c r="G24" i="5" l="1"/>
  <c r="I13" i="4"/>
  <c r="I15" i="4"/>
  <c r="D13" i="4"/>
  <c r="D15" i="4"/>
  <c r="C13" i="4"/>
  <c r="C15" i="4"/>
  <c r="I21" i="4" l="1"/>
  <c r="D21" i="4"/>
  <c r="C37" i="5" s="1"/>
  <c r="C21" i="4"/>
  <c r="C36" i="5" s="1"/>
  <c r="J15" i="4"/>
  <c r="L15" i="4" s="1"/>
  <c r="H24" i="5"/>
  <c r="I24" i="5"/>
  <c r="J13" i="4"/>
  <c r="J21" i="4" l="1"/>
  <c r="K15" i="4"/>
  <c r="N15" i="4"/>
  <c r="P15" i="4"/>
  <c r="O15" i="4"/>
  <c r="M15" i="4"/>
  <c r="N13" i="4"/>
  <c r="P13" i="4"/>
  <c r="O13" i="4"/>
  <c r="M13" i="4"/>
  <c r="K13" i="4"/>
  <c r="L13" i="4"/>
  <c r="N21" i="4" l="1"/>
  <c r="C30" i="5" s="1"/>
  <c r="M21" i="4"/>
  <c r="C33" i="5" s="1"/>
  <c r="O21" i="4"/>
  <c r="C31" i="5" s="1"/>
  <c r="L21" i="4"/>
  <c r="P21" i="4"/>
  <c r="C32" i="5" s="1"/>
  <c r="C5" i="5"/>
  <c r="B109" i="1"/>
  <c r="B110" i="1"/>
  <c r="K21" i="4" l="1"/>
  <c r="C28" i="5" s="1"/>
  <c r="C29" i="5"/>
  <c r="C15" i="5"/>
  <c r="D15" i="5" s="1"/>
  <c r="C25" i="5"/>
  <c r="D25" i="5" s="1"/>
  <c r="E25" i="5" s="1"/>
  <c r="F25" i="5" s="1"/>
  <c r="G25" i="5" s="1"/>
  <c r="H25" i="5" s="1"/>
  <c r="I25" i="5" s="1"/>
  <c r="E15" i="5" l="1"/>
  <c r="F15" i="5" s="1"/>
  <c r="G15" i="5" s="1"/>
  <c r="H15" i="5" s="1"/>
  <c r="I15" i="5" s="1"/>
  <c r="B93" i="1"/>
  <c r="B92" i="1"/>
  <c r="B82" i="1" l="1"/>
  <c r="B78" i="1"/>
  <c r="B77" i="1"/>
  <c r="B66" i="1"/>
  <c r="B68" i="1"/>
  <c r="B65" i="1"/>
</calcChain>
</file>

<file path=xl/sharedStrings.xml><?xml version="1.0" encoding="utf-8"?>
<sst xmlns="http://schemas.openxmlformats.org/spreadsheetml/2006/main" count="1168" uniqueCount="521">
  <si>
    <t>Condition</t>
  </si>
  <si>
    <t>Expected Result</t>
  </si>
  <si>
    <t>Result</t>
  </si>
  <si>
    <t>Comments</t>
  </si>
  <si>
    <t>Editor</t>
  </si>
  <si>
    <t>+</t>
  </si>
  <si>
    <t>Version history</t>
  </si>
  <si>
    <t>Scenario ID</t>
  </si>
  <si>
    <t>Remark</t>
  </si>
  <si>
    <t>Scenario name</t>
  </si>
  <si>
    <t>Pass</t>
  </si>
  <si>
    <t>Fail</t>
  </si>
  <si>
    <t>Total</t>
  </si>
  <si>
    <t>TEST CASES</t>
  </si>
  <si>
    <t>SUMMARY</t>
  </si>
  <si>
    <t>Create date</t>
  </si>
  <si>
    <t>Block</t>
  </si>
  <si>
    <t>Bàn giao test case</t>
  </si>
  <si>
    <t>Ngày</t>
  </si>
  <si>
    <t>Giờ</t>
  </si>
  <si>
    <t>15h00</t>
  </si>
  <si>
    <t>Actual execution</t>
  </si>
  <si>
    <t>Not yet execution</t>
  </si>
  <si>
    <t>-</t>
  </si>
  <si>
    <t>Test
condition ID</t>
  </si>
  <si>
    <t>Test lần 1</t>
  </si>
  <si>
    <t>Test lần 2</t>
  </si>
  <si>
    <t>Execute test case lần 1 theo ngày</t>
  </si>
  <si>
    <t>Execute test case lần 2 theo ngày</t>
  </si>
  <si>
    <t xml:space="preserve">                                Date
Status</t>
  </si>
  <si>
    <t>Percent pass</t>
  </si>
  <si>
    <t>Percent fail</t>
  </si>
  <si>
    <t>Percent block</t>
  </si>
  <si>
    <t>Percent execute test case</t>
  </si>
  <si>
    <t>Execute test case</t>
  </si>
  <si>
    <t>Tổng số case</t>
  </si>
  <si>
    <t>Environment:</t>
  </si>
  <si>
    <t>Test 
case ID</t>
  </si>
  <si>
    <t>Maker</t>
  </si>
  <si>
    <t>Revision Date</t>
  </si>
  <si>
    <t>Checker</t>
  </si>
  <si>
    <t>Approval Date</t>
  </si>
  <si>
    <t>Document Changes</t>
  </si>
  <si>
    <t xml:space="preserve">Version </t>
  </si>
  <si>
    <t>Update date</t>
  </si>
  <si>
    <t>Pending</t>
  </si>
  <si>
    <t>Not Completed</t>
  </si>
  <si>
    <r>
      <rPr>
        <b/>
        <i/>
        <sz val="10"/>
        <color theme="1"/>
        <rFont val="Arial"/>
        <family val="2"/>
      </rPr>
      <t>Remark</t>
    </r>
    <r>
      <rPr>
        <sz val="10"/>
        <color theme="1"/>
        <rFont val="Arial"/>
        <family val="2"/>
      </rPr>
      <t>: Status of Test Scenario on section “Overall Status”:</t>
    </r>
  </si>
  <si>
    <r>
      <t xml:space="preserve">- </t>
    </r>
    <r>
      <rPr>
        <b/>
        <sz val="10"/>
        <color theme="1"/>
        <rFont val="Arial"/>
        <family val="2"/>
      </rPr>
      <t>Passed</t>
    </r>
    <r>
      <rPr>
        <sz val="10"/>
        <color theme="1"/>
        <rFont val="Arial"/>
        <family val="2"/>
      </rPr>
      <t xml:space="preserve"> = Test Scenario has been tested as planned and application works as expected result.</t>
    </r>
  </si>
  <si>
    <r>
      <t xml:space="preserve">- </t>
    </r>
    <r>
      <rPr>
        <b/>
        <sz val="10"/>
        <color theme="1"/>
        <rFont val="Arial"/>
        <family val="2"/>
      </rPr>
      <t>Failed</t>
    </r>
    <r>
      <rPr>
        <sz val="10"/>
        <color theme="1"/>
        <rFont val="Arial"/>
        <family val="2"/>
      </rPr>
      <t xml:space="preserve"> = Test Scenario has been tested as planned but application does not work as expected.</t>
    </r>
  </si>
  <si>
    <r>
      <t xml:space="preserve">- </t>
    </r>
    <r>
      <rPr>
        <b/>
        <sz val="10"/>
        <color theme="1"/>
        <rFont val="Arial"/>
        <family val="2"/>
      </rPr>
      <t>Blocked</t>
    </r>
    <r>
      <rPr>
        <sz val="10"/>
        <color theme="1"/>
        <rFont val="Arial"/>
        <family val="2"/>
      </rPr>
      <t xml:space="preserve"> = Test Scenario could not be tested as planned because there is an outstanding defect in related function area.</t>
    </r>
  </si>
  <si>
    <r>
      <t xml:space="preserve">- </t>
    </r>
    <r>
      <rPr>
        <b/>
        <sz val="10"/>
        <color theme="1"/>
        <rFont val="Tahoma"/>
        <family val="2"/>
      </rPr>
      <t>Not Completed</t>
    </r>
    <r>
      <rPr>
        <sz val="10"/>
        <color theme="1"/>
        <rFont val="Tahoma"/>
        <family val="2"/>
      </rPr>
      <t xml:space="preserve"> = Test Scenario has been tested as planned but not yet finished due to awaiting test result (ex: require EOD batch).</t>
    </r>
  </si>
  <si>
    <r>
      <t>-</t>
    </r>
    <r>
      <rPr>
        <b/>
        <sz val="10"/>
        <color theme="1"/>
        <rFont val="Arial"/>
        <family val="2"/>
      </rPr>
      <t xml:space="preserve"> No Run (+) </t>
    </r>
    <r>
      <rPr>
        <sz val="10"/>
        <color theme="1"/>
        <rFont val="Arial"/>
        <family val="2"/>
      </rPr>
      <t>= Test Scenario has not been tested as planned.</t>
    </r>
  </si>
  <si>
    <r>
      <t xml:space="preserve">- </t>
    </r>
    <r>
      <rPr>
        <b/>
        <sz val="10"/>
        <color theme="1"/>
        <rFont val="Arial"/>
        <family val="2"/>
      </rPr>
      <t>Pending</t>
    </r>
    <r>
      <rPr>
        <sz val="10"/>
        <color theme="1"/>
        <rFont val="Arial"/>
        <family val="2"/>
      </rPr>
      <t xml:space="preserve"> = Test Scenario will be tested after confirming about the business.</t>
    </r>
  </si>
  <si>
    <r>
      <t xml:space="preserve">- </t>
    </r>
    <r>
      <rPr>
        <b/>
        <sz val="10"/>
        <color theme="1"/>
        <rFont val="Arial"/>
        <family val="2"/>
      </rPr>
      <t xml:space="preserve">Cancel (-) </t>
    </r>
    <r>
      <rPr>
        <sz val="10"/>
        <color theme="1"/>
        <rFont val="Arial"/>
        <family val="2"/>
      </rPr>
      <t>= Test Scenario could not be tested because of wrong condition, not suitable with the environment.</t>
    </r>
  </si>
  <si>
    <t>Percent not run</t>
  </si>
  <si>
    <t>Percent pending</t>
  </si>
  <si>
    <t>Percent 
not run</t>
  </si>
  <si>
    <t>Percent not completed</t>
  </si>
  <si>
    <t xml:space="preserve">Percent block </t>
  </si>
  <si>
    <t>Not run</t>
  </si>
  <si>
    <t>Executor</t>
  </si>
  <si>
    <t>FX_001</t>
  </si>
  <si>
    <t>FX Cash-Cash</t>
  </si>
  <si>
    <t>FX_002</t>
  </si>
  <si>
    <t>FX Cash-Deposit</t>
  </si>
  <si>
    <t>FX_003</t>
  </si>
  <si>
    <t>FX Deposit-Cash</t>
  </si>
  <si>
    <t>FX_004</t>
  </si>
  <si>
    <t>FX Deposit-GL</t>
  </si>
  <si>
    <t>FX_005</t>
  </si>
  <si>
    <t>FX Deposit-Deposit</t>
  </si>
  <si>
    <t>FX_006</t>
  </si>
  <si>
    <t>FX GL-Deposit</t>
  </si>
  <si>
    <t>FX_007</t>
  </si>
  <si>
    <t>FX GL-Cash</t>
  </si>
  <si>
    <t>FX_008</t>
  </si>
  <si>
    <t>FX GL-GL</t>
  </si>
  <si>
    <t>FX_009</t>
  </si>
  <si>
    <t>FX Cash-GL</t>
  </si>
  <si>
    <t>FX_001_001</t>
  </si>
  <si>
    <t>FX_001_002</t>
  </si>
  <si>
    <t>FX_001_003</t>
  </si>
  <si>
    <t>FX_001_004</t>
  </si>
  <si>
    <t>FX_001_005</t>
  </si>
  <si>
    <t>FX_002_001</t>
  </si>
  <si>
    <t>FX_002_002</t>
  </si>
  <si>
    <t>FX_002_003</t>
  </si>
  <si>
    <t>FX_003_001</t>
  </si>
  <si>
    <t>FX_003_002</t>
  </si>
  <si>
    <t>FX_003_003</t>
  </si>
  <si>
    <t>FX_004_001</t>
  </si>
  <si>
    <t>FX_004_002</t>
  </si>
  <si>
    <t>FX_004_003</t>
  </si>
  <si>
    <t>Reverse transaction</t>
  </si>
  <si>
    <t>Transaction successfully</t>
  </si>
  <si>
    <t>FX_001_006</t>
  </si>
  <si>
    <t>FX_001_007</t>
  </si>
  <si>
    <t>FX_001_008</t>
  </si>
  <si>
    <t>Debit amount &lt;= 0</t>
  </si>
  <si>
    <t>Credit amount &lt;= 0</t>
  </si>
  <si>
    <r>
      <rPr>
        <b/>
        <sz val="10"/>
        <rFont val="Arial"/>
        <family val="2"/>
      </rPr>
      <t>Debit side</t>
    </r>
    <r>
      <rPr>
        <sz val="10"/>
        <rFont val="Arial"/>
        <family val="2"/>
      </rPr>
      <t xml:space="preserve">
  - Accounting type: Cash
  - Debit amount &gt; 0
</t>
    </r>
    <r>
      <rPr>
        <b/>
        <sz val="10"/>
        <rFont val="Arial"/>
        <family val="2"/>
      </rPr>
      <t>Credit side</t>
    </r>
    <r>
      <rPr>
        <sz val="10"/>
        <rFont val="Arial"/>
        <family val="2"/>
      </rPr>
      <t xml:space="preserve">
  - Accounting type: Cash
  - Credit amount &gt; 0
</t>
    </r>
    <r>
      <rPr>
        <b/>
        <sz val="10"/>
        <rFont val="Arial"/>
        <family val="2"/>
      </rPr>
      <t>Teller does this transaction</t>
    </r>
    <r>
      <rPr>
        <sz val="10"/>
        <rFont val="Arial"/>
        <family val="2"/>
      </rPr>
      <t xml:space="preserve">
</t>
    </r>
    <r>
      <rPr>
        <sz val="10"/>
        <color rgb="FFFF0000"/>
        <rFont val="Arial"/>
        <family val="2"/>
      </rPr>
      <t xml:space="preserve">  - User has NO right to do transaction related to cash</t>
    </r>
    <r>
      <rPr>
        <sz val="10"/>
        <rFont val="Arial"/>
        <family val="2"/>
      </rPr>
      <t xml:space="preserve">
  - User has enough cash to withdraw</t>
    </r>
  </si>
  <si>
    <r>
      <rPr>
        <b/>
        <sz val="10"/>
        <rFont val="Arial"/>
        <family val="2"/>
      </rPr>
      <t>Debit side</t>
    </r>
    <r>
      <rPr>
        <sz val="10"/>
        <rFont val="Arial"/>
        <family val="2"/>
      </rPr>
      <t xml:space="preserve">
  - Accounting type: Cash
  - Debit amount &gt; 0
</t>
    </r>
    <r>
      <rPr>
        <b/>
        <sz val="10"/>
        <rFont val="Arial"/>
        <family val="2"/>
      </rPr>
      <t>Credit side</t>
    </r>
    <r>
      <rPr>
        <sz val="10"/>
        <rFont val="Arial"/>
        <family val="2"/>
      </rPr>
      <t xml:space="preserve">
  - Accounting type: Cash
  - Credit amount &gt; 0
</t>
    </r>
    <r>
      <rPr>
        <b/>
        <sz val="10"/>
        <rFont val="Arial"/>
        <family val="2"/>
      </rPr>
      <t>Teller does this transaction</t>
    </r>
    <r>
      <rPr>
        <sz val="10"/>
        <rFont val="Arial"/>
        <family val="2"/>
      </rPr>
      <t xml:space="preserve">
  - User has right to do transaction related to cash
</t>
    </r>
    <r>
      <rPr>
        <sz val="10"/>
        <color rgb="FFFF0000"/>
        <rFont val="Arial"/>
        <family val="2"/>
      </rPr>
      <t xml:space="preserve">  - User has NOT enough cash to withdraw</t>
    </r>
  </si>
  <si>
    <t>FX_001_009</t>
  </si>
  <si>
    <t>FX_001_010</t>
  </si>
  <si>
    <t>FX_001_011</t>
  </si>
  <si>
    <t>Transaction fail</t>
  </si>
  <si>
    <t>FX_002_004</t>
  </si>
  <si>
    <t>FX_002_005</t>
  </si>
  <si>
    <r>
      <rPr>
        <b/>
        <sz val="10"/>
        <rFont val="Arial"/>
        <family val="2"/>
      </rPr>
      <t>Debit side</t>
    </r>
    <r>
      <rPr>
        <sz val="10"/>
        <rFont val="Arial"/>
        <family val="2"/>
      </rPr>
      <t xml:space="preserve">
  - Accounting type: Cash
  - Debit amount &gt; 0
</t>
    </r>
    <r>
      <rPr>
        <b/>
        <sz val="10"/>
        <rFont val="Arial"/>
        <family val="2"/>
      </rPr>
      <t xml:space="preserve">Credit side
</t>
    </r>
    <r>
      <rPr>
        <sz val="10"/>
        <rFont val="Arial"/>
        <family val="2"/>
      </rPr>
      <t xml:space="preserve">  - Accounting type: Deposit
  - Credit amount &gt; 0
</t>
    </r>
    <r>
      <rPr>
        <sz val="10"/>
        <color rgb="FFFF0000"/>
        <rFont val="Arial"/>
        <family val="2"/>
      </rPr>
      <t xml:space="preserve">  - Deposit type: Fixed deposit</t>
    </r>
    <r>
      <rPr>
        <sz val="10"/>
        <rFont val="Arial"/>
        <family val="2"/>
      </rPr>
      <t xml:space="preserve">
  - Deposit status: Normal
</t>
    </r>
    <r>
      <rPr>
        <b/>
        <sz val="10"/>
        <rFont val="Arial"/>
        <family val="2"/>
      </rPr>
      <t>Teller does this transaction</t>
    </r>
    <r>
      <rPr>
        <sz val="10"/>
        <rFont val="Arial"/>
        <family val="2"/>
      </rPr>
      <t xml:space="preserve">
  - User has right to do transaction related to cash</t>
    </r>
  </si>
  <si>
    <r>
      <rPr>
        <b/>
        <sz val="10"/>
        <rFont val="Arial"/>
        <family val="2"/>
      </rPr>
      <t>Debit side</t>
    </r>
    <r>
      <rPr>
        <sz val="10"/>
        <rFont val="Arial"/>
        <family val="2"/>
      </rPr>
      <t xml:space="preserve">
  - Accounting type: Cash
  - Debit amount &gt; 0
</t>
    </r>
    <r>
      <rPr>
        <b/>
        <sz val="10"/>
        <rFont val="Arial"/>
        <family val="2"/>
      </rPr>
      <t xml:space="preserve">Credit side
</t>
    </r>
    <r>
      <rPr>
        <sz val="10"/>
        <rFont val="Arial"/>
        <family val="2"/>
      </rPr>
      <t xml:space="preserve">  - Accounting type: Deposit
  - Credit amount &gt; 0
  - Deposit type: Current/ Saving
</t>
    </r>
    <r>
      <rPr>
        <sz val="10"/>
        <color rgb="FFFF0000"/>
        <rFont val="Arial"/>
        <family val="2"/>
      </rPr>
      <t xml:space="preserve">  - Deposit status &lt;&gt; Normal
</t>
    </r>
    <r>
      <rPr>
        <b/>
        <sz val="10"/>
        <rFont val="Arial"/>
        <family val="2"/>
      </rPr>
      <t>Teller does this transaction</t>
    </r>
    <r>
      <rPr>
        <sz val="10"/>
        <rFont val="Arial"/>
        <family val="2"/>
      </rPr>
      <t xml:space="preserve">
  - User has right to do transaction related to cash</t>
    </r>
  </si>
  <si>
    <r>
      <rPr>
        <b/>
        <sz val="10"/>
        <rFont val="Arial"/>
        <family val="2"/>
      </rPr>
      <t>Debit side</t>
    </r>
    <r>
      <rPr>
        <sz val="10"/>
        <rFont val="Arial"/>
        <family val="2"/>
      </rPr>
      <t xml:space="preserve">
  - Accounting type: Cash
  - Debit amount &gt; 0
</t>
    </r>
    <r>
      <rPr>
        <b/>
        <sz val="10"/>
        <rFont val="Arial"/>
        <family val="2"/>
      </rPr>
      <t>Credit side</t>
    </r>
    <r>
      <rPr>
        <sz val="10"/>
        <rFont val="Arial"/>
        <family val="2"/>
      </rPr>
      <t xml:space="preserve">
  - Accounting type: Deposit
  - Credit amount &gt; 0
  - Deposit type: Current/ Saving
  - Deposit status: Normal
</t>
    </r>
    <r>
      <rPr>
        <b/>
        <sz val="10"/>
        <rFont val="Arial"/>
        <family val="2"/>
      </rPr>
      <t>Teller does this transaction</t>
    </r>
    <r>
      <rPr>
        <sz val="10"/>
        <rFont val="Arial"/>
        <family val="2"/>
      </rPr>
      <t xml:space="preserve">
  - User has right to do transaction related to cash</t>
    </r>
    <r>
      <rPr>
        <b/>
        <sz val="10"/>
        <color rgb="FFFF0000"/>
        <rFont val="Arial"/>
        <family val="2"/>
      </rPr>
      <t xml:space="preserve">
Total fee &gt; Receive amount
</t>
    </r>
    <r>
      <rPr>
        <sz val="10"/>
        <rFont val="Arial"/>
        <family val="2"/>
      </rPr>
      <t xml:space="preserve">
1. Open "FX Transaction" screen
2. Choose Accounting type from Debit
3. Input Debit amount
4. Choose Accounting type from Credit
6. Input Account number
7. Input Credit amount
8. Add fee
9. Click accpet</t>
    </r>
  </si>
  <si>
    <r>
      <rPr>
        <b/>
        <sz val="10"/>
        <rFont val="Arial"/>
        <family val="2"/>
      </rPr>
      <t>Debit side</t>
    </r>
    <r>
      <rPr>
        <sz val="10"/>
        <rFont val="Arial"/>
        <family val="2"/>
      </rPr>
      <t xml:space="preserve">
  - Accounting type: Cash
  - Debit amount &gt; 0
</t>
    </r>
    <r>
      <rPr>
        <b/>
        <sz val="10"/>
        <rFont val="Arial"/>
        <family val="2"/>
      </rPr>
      <t>Credit side</t>
    </r>
    <r>
      <rPr>
        <sz val="10"/>
        <rFont val="Arial"/>
        <family val="2"/>
      </rPr>
      <t xml:space="preserve">
  - Accounting type: Cash
  - Credit amount &gt; 0
</t>
    </r>
    <r>
      <rPr>
        <b/>
        <sz val="10"/>
        <rFont val="Arial"/>
        <family val="2"/>
      </rPr>
      <t>Teller does this transaction</t>
    </r>
    <r>
      <rPr>
        <sz val="10"/>
        <rFont val="Arial"/>
        <family val="2"/>
      </rPr>
      <t xml:space="preserve">
  - User has right to do transaction related to cash
  - User has enough cash to withdraw</t>
    </r>
    <r>
      <rPr>
        <b/>
        <sz val="10"/>
        <rFont val="Arial"/>
        <family val="2"/>
      </rPr>
      <t xml:space="preserve">
</t>
    </r>
    <r>
      <rPr>
        <b/>
        <sz val="10"/>
        <color rgb="FFFF0000"/>
        <rFont val="Arial"/>
        <family val="2"/>
      </rPr>
      <t>Total fee &gt; Receive amount</t>
    </r>
  </si>
  <si>
    <r>
      <rPr>
        <b/>
        <sz val="10"/>
        <rFont val="Arial"/>
        <family val="2"/>
      </rPr>
      <t>Debit side</t>
    </r>
    <r>
      <rPr>
        <sz val="10"/>
        <rFont val="Arial"/>
        <family val="2"/>
      </rPr>
      <t xml:space="preserve">
  - Accounting type: Cash
  - Debit amount &gt; 0
</t>
    </r>
    <r>
      <rPr>
        <b/>
        <sz val="10"/>
        <rFont val="Arial"/>
        <family val="2"/>
      </rPr>
      <t xml:space="preserve">Credit side
</t>
    </r>
    <r>
      <rPr>
        <sz val="10"/>
        <rFont val="Arial"/>
        <family val="2"/>
      </rPr>
      <t xml:space="preserve">  - Accounting type: Deposit
  - Credit amount &gt; 0
  - Deposit type: Current/ Saving
  - Deposit status: Normal
</t>
    </r>
    <r>
      <rPr>
        <b/>
        <sz val="10"/>
        <rFont val="Arial"/>
        <family val="2"/>
      </rPr>
      <t>Teller does this transaction</t>
    </r>
    <r>
      <rPr>
        <sz val="10"/>
        <rFont val="Arial"/>
        <family val="2"/>
      </rPr>
      <t xml:space="preserve">
</t>
    </r>
    <r>
      <rPr>
        <sz val="10"/>
        <color rgb="FFFF0000"/>
        <rFont val="Arial"/>
        <family val="2"/>
      </rPr>
      <t xml:space="preserve">  - User has NO right to do transaction related to cash</t>
    </r>
  </si>
  <si>
    <t>FX_002_006</t>
  </si>
  <si>
    <t>FX_002_007</t>
  </si>
  <si>
    <t>FX_002_008</t>
  </si>
  <si>
    <t>FX_002_009</t>
  </si>
  <si>
    <t>FX_002_010</t>
  </si>
  <si>
    <t>FX_002_011</t>
  </si>
  <si>
    <t>FX_002_012</t>
  </si>
  <si>
    <t>FX_002_013</t>
  </si>
  <si>
    <t>FX_002_014</t>
  </si>
  <si>
    <t>Debit account is empty</t>
  </si>
  <si>
    <t>Debit account does not exist</t>
  </si>
  <si>
    <t>Credit account is empty</t>
  </si>
  <si>
    <t>Credit account does not exist</t>
  </si>
  <si>
    <t>FX_003_004</t>
  </si>
  <si>
    <t>FX_003_005</t>
  </si>
  <si>
    <t>FX_003_006</t>
  </si>
  <si>
    <t>FX_003_007</t>
  </si>
  <si>
    <t>FX_003_008</t>
  </si>
  <si>
    <t>FX_003_009</t>
  </si>
  <si>
    <t>FX_003_010</t>
  </si>
  <si>
    <t>FX_003_011</t>
  </si>
  <si>
    <r>
      <rPr>
        <b/>
        <sz val="10"/>
        <rFont val="Arial"/>
        <family val="2"/>
      </rPr>
      <t>Debit side</t>
    </r>
    <r>
      <rPr>
        <sz val="10"/>
        <rFont val="Arial"/>
        <family val="2"/>
      </rPr>
      <t xml:space="preserve">
  - Accounting type: Cash
  - Debit amount &gt; 0
</t>
    </r>
    <r>
      <rPr>
        <b/>
        <sz val="10"/>
        <rFont val="Arial"/>
        <family val="2"/>
      </rPr>
      <t xml:space="preserve">Credit side
</t>
    </r>
    <r>
      <rPr>
        <sz val="10"/>
        <rFont val="Arial"/>
        <family val="2"/>
      </rPr>
      <t xml:space="preserve">  - Accounting type: Accounting
  - Credit amount &gt; 0
</t>
    </r>
    <r>
      <rPr>
        <sz val="10"/>
        <color rgb="FFFF0000"/>
        <rFont val="Arial"/>
        <family val="2"/>
      </rPr>
      <t xml:space="preserve">  - Posting side: Debit
</t>
    </r>
    <r>
      <rPr>
        <sz val="10"/>
        <rFont val="Arial"/>
        <family val="2"/>
      </rPr>
      <t xml:space="preserve">  - Account level: 9
  - Account group &lt;&gt; Cash
  - Direct posting: Yes
</t>
    </r>
    <r>
      <rPr>
        <b/>
        <sz val="10"/>
        <rFont val="Arial"/>
        <family val="2"/>
      </rPr>
      <t>Teller does this transaction</t>
    </r>
    <r>
      <rPr>
        <sz val="10"/>
        <rFont val="Arial"/>
        <family val="2"/>
      </rPr>
      <t xml:space="preserve">
  - User has right to do transaction related to cash</t>
    </r>
  </si>
  <si>
    <r>
      <rPr>
        <b/>
        <sz val="10"/>
        <rFont val="Arial"/>
        <family val="2"/>
      </rPr>
      <t>Debit side</t>
    </r>
    <r>
      <rPr>
        <sz val="10"/>
        <rFont val="Arial"/>
        <family val="2"/>
      </rPr>
      <t xml:space="preserve">
  - Accounting type: Cash
  - Debit amount &gt; 0
</t>
    </r>
    <r>
      <rPr>
        <b/>
        <sz val="10"/>
        <rFont val="Arial"/>
        <family val="2"/>
      </rPr>
      <t xml:space="preserve">Credit side
</t>
    </r>
    <r>
      <rPr>
        <sz val="10"/>
        <rFont val="Arial"/>
        <family val="2"/>
      </rPr>
      <t xml:space="preserve">  - Accounting type: Accounting
  - Credit amount &gt; 0
  - Posting side: Credit/ Both
</t>
    </r>
    <r>
      <rPr>
        <sz val="10"/>
        <color rgb="FFFF0000"/>
        <rFont val="Arial"/>
        <family val="2"/>
      </rPr>
      <t xml:space="preserve">  - Account level &lt;&gt; 9
</t>
    </r>
    <r>
      <rPr>
        <sz val="10"/>
        <rFont val="Arial"/>
        <family val="2"/>
      </rPr>
      <t xml:space="preserve">  - Account group &lt;&gt; Cash
  - Direct posting: Yes
</t>
    </r>
    <r>
      <rPr>
        <b/>
        <sz val="10"/>
        <rFont val="Arial"/>
        <family val="2"/>
      </rPr>
      <t>Teller does this transaction</t>
    </r>
    <r>
      <rPr>
        <sz val="10"/>
        <rFont val="Arial"/>
        <family val="2"/>
      </rPr>
      <t xml:space="preserve">
  - User has right to do transaction related to cash</t>
    </r>
  </si>
  <si>
    <r>
      <rPr>
        <b/>
        <sz val="10"/>
        <rFont val="Arial"/>
        <family val="2"/>
      </rPr>
      <t>Debit side</t>
    </r>
    <r>
      <rPr>
        <sz val="10"/>
        <rFont val="Arial"/>
        <family val="2"/>
      </rPr>
      <t xml:space="preserve">
  - Accounting type: Cash
  - Debit amount &gt; 0
</t>
    </r>
    <r>
      <rPr>
        <b/>
        <sz val="10"/>
        <rFont val="Arial"/>
        <family val="2"/>
      </rPr>
      <t xml:space="preserve">Credit side
</t>
    </r>
    <r>
      <rPr>
        <sz val="10"/>
        <rFont val="Arial"/>
        <family val="2"/>
      </rPr>
      <t xml:space="preserve">  - Accounting type: Accounting
  - Credit amount &gt; 0
  - Posting side: Credit/ Both
  - Account level: 9
</t>
    </r>
    <r>
      <rPr>
        <sz val="10"/>
        <color rgb="FFFF0000"/>
        <rFont val="Arial"/>
        <family val="2"/>
      </rPr>
      <t xml:space="preserve">  - Account group: Cash</t>
    </r>
    <r>
      <rPr>
        <sz val="10"/>
        <rFont val="Arial"/>
        <family val="2"/>
      </rPr>
      <t xml:space="preserve">
  - Direct posting: Yes
</t>
    </r>
    <r>
      <rPr>
        <b/>
        <sz val="10"/>
        <rFont val="Arial"/>
        <family val="2"/>
      </rPr>
      <t>Teller does this transaction</t>
    </r>
    <r>
      <rPr>
        <sz val="10"/>
        <rFont val="Arial"/>
        <family val="2"/>
      </rPr>
      <t xml:space="preserve">
  - User has right to do transaction related to cash</t>
    </r>
  </si>
  <si>
    <r>
      <rPr>
        <b/>
        <sz val="10"/>
        <rFont val="Arial"/>
        <family val="2"/>
      </rPr>
      <t>Debit side</t>
    </r>
    <r>
      <rPr>
        <sz val="10"/>
        <rFont val="Arial"/>
        <family val="2"/>
      </rPr>
      <t xml:space="preserve">
  - Accounting type: Cash
  - Debit amount &gt; 0
</t>
    </r>
    <r>
      <rPr>
        <b/>
        <sz val="10"/>
        <rFont val="Arial"/>
        <family val="2"/>
      </rPr>
      <t xml:space="preserve">Credit side
</t>
    </r>
    <r>
      <rPr>
        <sz val="10"/>
        <rFont val="Arial"/>
        <family val="2"/>
      </rPr>
      <t xml:space="preserve">  - Accounting type: Accounting
  - Credit amount &gt; 0
  - Posting side: Credit/ Both
  - Account level: 9
  - Account group &lt;&gt; Cash
</t>
    </r>
    <r>
      <rPr>
        <sz val="10"/>
        <color rgb="FFFF0000"/>
        <rFont val="Arial"/>
        <family val="2"/>
      </rPr>
      <t xml:space="preserve">  - Direct posting &lt;&gt; Yes</t>
    </r>
    <r>
      <rPr>
        <sz val="10"/>
        <rFont val="Arial"/>
        <family val="2"/>
      </rPr>
      <t xml:space="preserve">
</t>
    </r>
    <r>
      <rPr>
        <b/>
        <sz val="10"/>
        <rFont val="Arial"/>
        <family val="2"/>
      </rPr>
      <t>Teller does this transaction</t>
    </r>
    <r>
      <rPr>
        <sz val="10"/>
        <rFont val="Arial"/>
        <family val="2"/>
      </rPr>
      <t xml:space="preserve">
  - User has right to do transaction related to cash</t>
    </r>
  </si>
  <si>
    <r>
      <rPr>
        <b/>
        <sz val="10"/>
        <rFont val="Arial"/>
        <family val="2"/>
      </rPr>
      <t>Debit side</t>
    </r>
    <r>
      <rPr>
        <sz val="10"/>
        <rFont val="Arial"/>
        <family val="2"/>
      </rPr>
      <t xml:space="preserve">
  - Accounting type: Cash
  - Debit amount &gt; 0
</t>
    </r>
    <r>
      <rPr>
        <b/>
        <sz val="10"/>
        <rFont val="Arial"/>
        <family val="2"/>
      </rPr>
      <t xml:space="preserve">Credit side
</t>
    </r>
    <r>
      <rPr>
        <sz val="10"/>
        <rFont val="Arial"/>
        <family val="2"/>
      </rPr>
      <t xml:space="preserve">  - Accounting type: Accounting
  - Credit amount &gt; 0
  - Posting side: Credit/ Both
  - Account level: 9
  - Account group &lt;&gt; Cash
  - Direct posting: Yes
</t>
    </r>
    <r>
      <rPr>
        <b/>
        <sz val="10"/>
        <rFont val="Arial"/>
        <family val="2"/>
      </rPr>
      <t>Teller does this transaction</t>
    </r>
    <r>
      <rPr>
        <sz val="10"/>
        <rFont val="Arial"/>
        <family val="2"/>
      </rPr>
      <t xml:space="preserve">
</t>
    </r>
    <r>
      <rPr>
        <sz val="10"/>
        <color rgb="FFFF0000"/>
        <rFont val="Arial"/>
        <family val="2"/>
      </rPr>
      <t xml:space="preserve">  - User has NO right to do transaction related to cash</t>
    </r>
  </si>
  <si>
    <r>
      <rPr>
        <b/>
        <sz val="10"/>
        <rFont val="Arial"/>
        <family val="2"/>
      </rPr>
      <t>Debit side</t>
    </r>
    <r>
      <rPr>
        <sz val="10"/>
        <rFont val="Arial"/>
        <family val="2"/>
      </rPr>
      <t xml:space="preserve">
  - Accounting type: Cash
  - Debit amount &gt; 0
</t>
    </r>
    <r>
      <rPr>
        <b/>
        <sz val="10"/>
        <rFont val="Arial"/>
        <family val="2"/>
      </rPr>
      <t>Credit side</t>
    </r>
    <r>
      <rPr>
        <sz val="10"/>
        <rFont val="Arial"/>
        <family val="2"/>
      </rPr>
      <t xml:space="preserve">
  - Accounting type: Accounting
  - Credit amount &gt; 0
  - Posting side: Credit/ Both
  - Account level: 9
  - Account group &lt;&gt; Cash
  - Direct posting: Yes
</t>
    </r>
    <r>
      <rPr>
        <b/>
        <sz val="10"/>
        <rFont val="Arial"/>
        <family val="2"/>
      </rPr>
      <t>Teller does this transaction</t>
    </r>
    <r>
      <rPr>
        <sz val="10"/>
        <rFont val="Arial"/>
        <family val="2"/>
      </rPr>
      <t xml:space="preserve">
  - User has right to do transaction related to cash</t>
    </r>
    <r>
      <rPr>
        <b/>
        <sz val="10"/>
        <rFont val="Arial"/>
        <family val="2"/>
      </rPr>
      <t xml:space="preserve">
</t>
    </r>
    <r>
      <rPr>
        <b/>
        <sz val="10"/>
        <color rgb="FFFF0000"/>
        <rFont val="Arial"/>
        <family val="2"/>
      </rPr>
      <t>Total fee &gt; Receive amount</t>
    </r>
  </si>
  <si>
    <t>FX_003_012</t>
  </si>
  <si>
    <t>FX_003_013</t>
  </si>
  <si>
    <t>FX_003_014</t>
  </si>
  <si>
    <t>FX_003_015</t>
  </si>
  <si>
    <t>FX_003_016</t>
  </si>
  <si>
    <t>FX_005_001</t>
  </si>
  <si>
    <t>FX_005_002</t>
  </si>
  <si>
    <t>FX_005_003</t>
  </si>
  <si>
    <t>FX_006_001</t>
  </si>
  <si>
    <t>FX_006_002</t>
  </si>
  <si>
    <t>FX_006_003</t>
  </si>
  <si>
    <t>FX_004_004</t>
  </si>
  <si>
    <t>FX_004_005</t>
  </si>
  <si>
    <t>FX_004_006</t>
  </si>
  <si>
    <t>FX_004_007</t>
  </si>
  <si>
    <t>FX_004_008</t>
  </si>
  <si>
    <t>FX_004_009</t>
  </si>
  <si>
    <t>FX_004_010</t>
  </si>
  <si>
    <t>FX_004_011</t>
  </si>
  <si>
    <t>FX_004_012</t>
  </si>
  <si>
    <t>FX_004_013</t>
  </si>
  <si>
    <t>FX_004_014</t>
  </si>
  <si>
    <t>FX_004_015</t>
  </si>
  <si>
    <t>FX_004_016</t>
  </si>
  <si>
    <t>FX_004_017</t>
  </si>
  <si>
    <t>FX_005_004</t>
  </si>
  <si>
    <t>FX_005_005</t>
  </si>
  <si>
    <t>FX_005_006</t>
  </si>
  <si>
    <t>FX_005_007</t>
  </si>
  <si>
    <t>FX_005_008</t>
  </si>
  <si>
    <t>FX_005_009</t>
  </si>
  <si>
    <t>FX_005_010</t>
  </si>
  <si>
    <t>FX_005_011</t>
  </si>
  <si>
    <t>FX_005_012</t>
  </si>
  <si>
    <t>FX_005_013</t>
  </si>
  <si>
    <t>FX_005_014</t>
  </si>
  <si>
    <t>FX_005_015</t>
  </si>
  <si>
    <t>FX_005_016</t>
  </si>
  <si>
    <t>FX_005_017</t>
  </si>
  <si>
    <t>FX_005_018</t>
  </si>
  <si>
    <r>
      <rPr>
        <b/>
        <sz val="10"/>
        <rFont val="Arial"/>
        <family val="2"/>
      </rPr>
      <t>Debit side</t>
    </r>
    <r>
      <rPr>
        <sz val="10"/>
        <rFont val="Arial"/>
        <family val="2"/>
      </rPr>
      <t xml:space="preserve">
  - Accounting type: Deposit
  - 0 &lt; Debit amount &lt;= Available balance
</t>
    </r>
    <r>
      <rPr>
        <sz val="10"/>
        <color rgb="FFFF0000"/>
        <rFont val="Arial"/>
        <family val="2"/>
      </rPr>
      <t xml:space="preserve">  - Deposit type: Fixed deposit
</t>
    </r>
    <r>
      <rPr>
        <sz val="10"/>
        <rFont val="Arial"/>
        <family val="2"/>
      </rPr>
      <t xml:space="preserve">  - Deposit status: Normal
</t>
    </r>
    <r>
      <rPr>
        <b/>
        <sz val="10"/>
        <rFont val="Arial"/>
        <family val="2"/>
      </rPr>
      <t>Credit side</t>
    </r>
    <r>
      <rPr>
        <sz val="10"/>
        <rFont val="Arial"/>
        <family val="2"/>
      </rPr>
      <t xml:space="preserve">
  - Accounting type: Cash
  - Credit amount &gt; 0
</t>
    </r>
    <r>
      <rPr>
        <b/>
        <sz val="10"/>
        <rFont val="Arial"/>
        <family val="2"/>
      </rPr>
      <t>Teller does this transaction</t>
    </r>
    <r>
      <rPr>
        <sz val="10"/>
        <rFont val="Arial"/>
        <family val="2"/>
      </rPr>
      <t xml:space="preserve">
  - User has right to do transaction related to cash
  - User has enough cash to withdraw</t>
    </r>
  </si>
  <si>
    <r>
      <rPr>
        <b/>
        <sz val="10"/>
        <rFont val="Arial"/>
        <family val="2"/>
      </rPr>
      <t>Debit side</t>
    </r>
    <r>
      <rPr>
        <sz val="10"/>
        <rFont val="Arial"/>
        <family val="2"/>
      </rPr>
      <t xml:space="preserve">
  - Accounting type: Deposit
  - 0 &lt; Debit amount &lt;= Available balance
  - Deposit type: Current/ Saving
</t>
    </r>
    <r>
      <rPr>
        <sz val="10"/>
        <color rgb="FFFF0000"/>
        <rFont val="Arial"/>
        <family val="2"/>
      </rPr>
      <t xml:space="preserve">  - Deposit status &lt;&gt; Normal</t>
    </r>
    <r>
      <rPr>
        <sz val="10"/>
        <rFont val="Arial"/>
        <family val="2"/>
      </rPr>
      <t xml:space="preserve">
</t>
    </r>
    <r>
      <rPr>
        <b/>
        <sz val="10"/>
        <rFont val="Arial"/>
        <family val="2"/>
      </rPr>
      <t>Credit side</t>
    </r>
    <r>
      <rPr>
        <sz val="10"/>
        <rFont val="Arial"/>
        <family val="2"/>
      </rPr>
      <t xml:space="preserve">
  - Accounting type: Cash
  - Credit amount &gt; 0
</t>
    </r>
    <r>
      <rPr>
        <b/>
        <sz val="10"/>
        <rFont val="Arial"/>
        <family val="2"/>
      </rPr>
      <t>Teller does this transaction</t>
    </r>
    <r>
      <rPr>
        <sz val="10"/>
        <rFont val="Arial"/>
        <family val="2"/>
      </rPr>
      <t xml:space="preserve">
  - User has right to do transaction related to cash
  - User has enough cash to withdraw</t>
    </r>
  </si>
  <si>
    <r>
      <rPr>
        <b/>
        <sz val="10"/>
        <rFont val="Arial"/>
        <family val="2"/>
      </rPr>
      <t>Debit side</t>
    </r>
    <r>
      <rPr>
        <sz val="10"/>
        <rFont val="Arial"/>
        <family val="2"/>
      </rPr>
      <t xml:space="preserve">
  - Accounting type: Deposit
  - 0 &lt; Debit amount &lt;= Available balance
  - Deposit type: Current/ Saving
  - Deposit status: Normal
</t>
    </r>
    <r>
      <rPr>
        <b/>
        <sz val="10"/>
        <rFont val="Arial"/>
        <family val="2"/>
      </rPr>
      <t>Credit side</t>
    </r>
    <r>
      <rPr>
        <sz val="10"/>
        <rFont val="Arial"/>
        <family val="2"/>
      </rPr>
      <t xml:space="preserve">
  - Accounting type: Cash
  - Credit amount &gt; 0
</t>
    </r>
    <r>
      <rPr>
        <b/>
        <sz val="10"/>
        <rFont val="Arial"/>
        <family val="2"/>
      </rPr>
      <t>Teller does this transaction</t>
    </r>
    <r>
      <rPr>
        <sz val="10"/>
        <rFont val="Arial"/>
        <family val="2"/>
      </rPr>
      <t xml:space="preserve">
</t>
    </r>
    <r>
      <rPr>
        <sz val="10"/>
        <color rgb="FFFF0000"/>
        <rFont val="Arial"/>
        <family val="2"/>
      </rPr>
      <t xml:space="preserve">  - User has NO right to do transaction related to cash</t>
    </r>
    <r>
      <rPr>
        <sz val="10"/>
        <rFont val="Arial"/>
        <family val="2"/>
      </rPr>
      <t xml:space="preserve">
  - User has enough cash to withdraw</t>
    </r>
  </si>
  <si>
    <r>
      <rPr>
        <b/>
        <sz val="10"/>
        <rFont val="Arial"/>
        <family val="2"/>
      </rPr>
      <t>Debit side</t>
    </r>
    <r>
      <rPr>
        <sz val="10"/>
        <rFont val="Arial"/>
        <family val="2"/>
      </rPr>
      <t xml:space="preserve">
  - Accounting type: Deposit
  - 0 &lt; Debit amount &lt;= Available balance
  - Deposit type: Current/ Saving
  - Deposit status: Normal
</t>
    </r>
    <r>
      <rPr>
        <b/>
        <sz val="10"/>
        <rFont val="Arial"/>
        <family val="2"/>
      </rPr>
      <t>Credit side</t>
    </r>
    <r>
      <rPr>
        <sz val="10"/>
        <rFont val="Arial"/>
        <family val="2"/>
      </rPr>
      <t xml:space="preserve">
  - Accounting type: Cash
  - Credit amount &gt; 0
</t>
    </r>
    <r>
      <rPr>
        <b/>
        <sz val="10"/>
        <rFont val="Arial"/>
        <family val="2"/>
      </rPr>
      <t>Teller does this transaction</t>
    </r>
    <r>
      <rPr>
        <sz val="10"/>
        <rFont val="Arial"/>
        <family val="2"/>
      </rPr>
      <t xml:space="preserve">
  - User has right to do transaction related to cash
</t>
    </r>
    <r>
      <rPr>
        <sz val="10"/>
        <color rgb="FFFF0000"/>
        <rFont val="Arial"/>
        <family val="2"/>
      </rPr>
      <t xml:space="preserve">  - User has NOT enough cash to withdraw</t>
    </r>
  </si>
  <si>
    <r>
      <rPr>
        <b/>
        <sz val="10"/>
        <rFont val="Arial"/>
        <family val="2"/>
      </rPr>
      <t>Debit side</t>
    </r>
    <r>
      <rPr>
        <sz val="10"/>
        <rFont val="Arial"/>
        <family val="2"/>
      </rPr>
      <t xml:space="preserve">
  - Accounting type: Deposit
  - 0 &lt; Debit amount &lt;= Available balance
  - Deposit type: Current/ Saving
  - Deposit status: Normal
</t>
    </r>
    <r>
      <rPr>
        <b/>
        <sz val="10"/>
        <rFont val="Arial"/>
        <family val="2"/>
      </rPr>
      <t>Credit side</t>
    </r>
    <r>
      <rPr>
        <sz val="10"/>
        <rFont val="Arial"/>
        <family val="2"/>
      </rPr>
      <t xml:space="preserve">
  - Accounting type: Cash
  - Credit amount &gt; 0
</t>
    </r>
    <r>
      <rPr>
        <b/>
        <sz val="10"/>
        <rFont val="Arial"/>
        <family val="2"/>
      </rPr>
      <t>Teller does this transaction</t>
    </r>
    <r>
      <rPr>
        <sz val="10"/>
        <rFont val="Arial"/>
        <family val="2"/>
      </rPr>
      <t xml:space="preserve">
  - User has right to do transaction related to cash
  - User has enough cash to withdraw
</t>
    </r>
    <r>
      <rPr>
        <b/>
        <sz val="10"/>
        <color rgb="FFFF0000"/>
        <rFont val="Arial"/>
        <family val="2"/>
      </rPr>
      <t>Total fee &gt; Receive amount</t>
    </r>
  </si>
  <si>
    <r>
      <rPr>
        <b/>
        <sz val="10"/>
        <rFont val="Arial"/>
        <family val="2"/>
      </rPr>
      <t>Debit side</t>
    </r>
    <r>
      <rPr>
        <sz val="10"/>
        <rFont val="Arial"/>
        <family val="2"/>
      </rPr>
      <t xml:space="preserve">
  - Accounting type: Deposit
</t>
    </r>
    <r>
      <rPr>
        <sz val="10"/>
        <color rgb="FFFF0000"/>
        <rFont val="Arial"/>
        <family val="2"/>
      </rPr>
      <t xml:space="preserve">  - Debit amount &gt; Available balance
</t>
    </r>
    <r>
      <rPr>
        <sz val="10"/>
        <rFont val="Arial"/>
        <family val="2"/>
      </rPr>
      <t xml:space="preserve">  - Deposit type: Current/ Saving
  - Deposit status: Normal
</t>
    </r>
    <r>
      <rPr>
        <b/>
        <sz val="10"/>
        <rFont val="Arial"/>
        <family val="2"/>
      </rPr>
      <t>Credit side</t>
    </r>
    <r>
      <rPr>
        <sz val="10"/>
        <rFont val="Arial"/>
        <family val="2"/>
      </rPr>
      <t xml:space="preserve">
  - Accounting type: Cash
  - Credit amount &gt; 0
</t>
    </r>
    <r>
      <rPr>
        <b/>
        <sz val="10"/>
        <rFont val="Arial"/>
        <family val="2"/>
      </rPr>
      <t>Teller does this transaction</t>
    </r>
    <r>
      <rPr>
        <sz val="10"/>
        <rFont val="Arial"/>
        <family val="2"/>
      </rPr>
      <t xml:space="preserve">
  - User has right to do transaction related to cash
  - User has enough cash to withdraw</t>
    </r>
  </si>
  <si>
    <t>FX_005_019</t>
  </si>
  <si>
    <t>FX_005_020</t>
  </si>
  <si>
    <r>
      <rPr>
        <b/>
        <sz val="10"/>
        <rFont val="Arial"/>
        <family val="2"/>
      </rPr>
      <t>Debit side</t>
    </r>
    <r>
      <rPr>
        <sz val="10"/>
        <rFont val="Arial"/>
        <family val="2"/>
      </rPr>
      <t xml:space="preserve">
  - Accounting type: Deposit
  - 0 &lt; Debit amount &lt;= Available balance
  - Deposit type: Current/ Saving
  - Deposit status: Normal
</t>
    </r>
    <r>
      <rPr>
        <b/>
        <sz val="10"/>
        <rFont val="Arial"/>
        <family val="2"/>
      </rPr>
      <t>Credit side</t>
    </r>
    <r>
      <rPr>
        <sz val="10"/>
        <rFont val="Arial"/>
        <family val="2"/>
      </rPr>
      <t xml:space="preserve">
  - Accounting type: Deposit
  - Credit amount &gt; 0
</t>
    </r>
    <r>
      <rPr>
        <sz val="10"/>
        <color rgb="FFFF0000"/>
        <rFont val="Arial"/>
        <family val="2"/>
      </rPr>
      <t xml:space="preserve">  - Deposit type: Fixed deposit</t>
    </r>
    <r>
      <rPr>
        <sz val="10"/>
        <rFont val="Arial"/>
        <family val="2"/>
      </rPr>
      <t xml:space="preserve">
  - Deposit status: Normal</t>
    </r>
  </si>
  <si>
    <r>
      <rPr>
        <b/>
        <sz val="10"/>
        <rFont val="Arial"/>
        <family val="2"/>
      </rPr>
      <t>Debit side</t>
    </r>
    <r>
      <rPr>
        <sz val="10"/>
        <rFont val="Arial"/>
        <family val="2"/>
      </rPr>
      <t xml:space="preserve">
  - Accounting type: Deposit
  - 0 &lt; Debit amount &lt;= Available balance
  - Deposit type: Current/ Saving
  - Deposit status: Normal
</t>
    </r>
    <r>
      <rPr>
        <b/>
        <sz val="10"/>
        <rFont val="Arial"/>
        <family val="2"/>
      </rPr>
      <t>Credit side</t>
    </r>
    <r>
      <rPr>
        <sz val="10"/>
        <rFont val="Arial"/>
        <family val="2"/>
      </rPr>
      <t xml:space="preserve">
  - Accounting type: Deposit
  - Credit amount &gt; 0
  - Deposit type: Current/ Saving
  - Deposit status: Normal
</t>
    </r>
    <r>
      <rPr>
        <b/>
        <sz val="10"/>
        <color rgb="FFFF0000"/>
        <rFont val="Arial"/>
        <family val="2"/>
      </rPr>
      <t>Total fee &gt; Receive amount</t>
    </r>
  </si>
  <si>
    <r>
      <rPr>
        <b/>
        <sz val="10"/>
        <rFont val="Arial"/>
        <family val="2"/>
      </rPr>
      <t>Debit side</t>
    </r>
    <r>
      <rPr>
        <sz val="10"/>
        <rFont val="Arial"/>
        <family val="2"/>
      </rPr>
      <t xml:space="preserve">
  - Accounting type: Deposit
</t>
    </r>
    <r>
      <rPr>
        <sz val="10"/>
        <color rgb="FFFF0000"/>
        <rFont val="Arial"/>
        <family val="2"/>
      </rPr>
      <t xml:space="preserve">  - Available balance of master &lt; Debit amount &lt;= Available balance of linkage
</t>
    </r>
    <r>
      <rPr>
        <sz val="10"/>
        <rFont val="Arial"/>
        <family val="2"/>
      </rPr>
      <t xml:space="preserve">  - Deposit type: Current/ Saving
  - Deposit status: Normal
</t>
    </r>
    <r>
      <rPr>
        <sz val="10"/>
        <color rgb="FFFF0000"/>
        <rFont val="Arial"/>
        <family val="2"/>
      </rPr>
      <t xml:space="preserve">  - Has linkage account for fund transfer
</t>
    </r>
    <r>
      <rPr>
        <b/>
        <sz val="10"/>
        <rFont val="Arial"/>
        <family val="2"/>
      </rPr>
      <t>Linkage account</t>
    </r>
    <r>
      <rPr>
        <sz val="10"/>
        <rFont val="Arial"/>
        <family val="2"/>
      </rPr>
      <t xml:space="preserve">
</t>
    </r>
    <r>
      <rPr>
        <sz val="10"/>
        <color rgb="FFFF0000"/>
        <rFont val="Arial"/>
        <family val="2"/>
      </rPr>
      <t xml:space="preserve">  - Deposit type &lt;&gt; Saving</t>
    </r>
    <r>
      <rPr>
        <sz val="10"/>
        <rFont val="Arial"/>
        <family val="2"/>
      </rPr>
      <t xml:space="preserve">
  - Deposit status: Normal
  - Linkage class: Auto fund transfer
</t>
    </r>
    <r>
      <rPr>
        <b/>
        <sz val="10"/>
        <rFont val="Arial"/>
        <family val="2"/>
      </rPr>
      <t xml:space="preserve">Credit side
</t>
    </r>
    <r>
      <rPr>
        <sz val="10"/>
        <rFont val="Arial"/>
        <family val="2"/>
      </rPr>
      <t xml:space="preserve">  - Accounting type: Cash
  - Credit amount &gt; 0
</t>
    </r>
    <r>
      <rPr>
        <b/>
        <sz val="10"/>
        <rFont val="Arial"/>
        <family val="2"/>
      </rPr>
      <t>Teller does this transaction</t>
    </r>
    <r>
      <rPr>
        <sz val="10"/>
        <rFont val="Arial"/>
        <family val="2"/>
      </rPr>
      <t xml:space="preserve">
  - User has right to do transaction related to cash
  - User has enough cash to withdraw</t>
    </r>
  </si>
  <si>
    <r>
      <rPr>
        <b/>
        <sz val="10"/>
        <rFont val="Arial"/>
        <family val="2"/>
      </rPr>
      <t>Debit side</t>
    </r>
    <r>
      <rPr>
        <sz val="10"/>
        <rFont val="Arial"/>
        <family val="2"/>
      </rPr>
      <t xml:space="preserve">
  - Accounting type: Deposit
</t>
    </r>
    <r>
      <rPr>
        <sz val="10"/>
        <color rgb="FFFF0000"/>
        <rFont val="Arial"/>
        <family val="2"/>
      </rPr>
      <t xml:space="preserve">  - Available balance of master &lt; Debit amount &lt;= Available balance of linkage
</t>
    </r>
    <r>
      <rPr>
        <sz val="10"/>
        <rFont val="Arial"/>
        <family val="2"/>
      </rPr>
      <t xml:space="preserve">  - Deposit type: Current/ Saving
  - Deposit status: Normal
</t>
    </r>
    <r>
      <rPr>
        <sz val="10"/>
        <color rgb="FFFF0000"/>
        <rFont val="Arial"/>
        <family val="2"/>
      </rPr>
      <t xml:space="preserve">  - Has linkage account for fund transfer
</t>
    </r>
    <r>
      <rPr>
        <b/>
        <sz val="10"/>
        <rFont val="Arial"/>
        <family val="2"/>
      </rPr>
      <t>Linkage account</t>
    </r>
    <r>
      <rPr>
        <sz val="10"/>
        <rFont val="Arial"/>
        <family val="2"/>
      </rPr>
      <t xml:space="preserve">
  - Deposit type: Saving
</t>
    </r>
    <r>
      <rPr>
        <sz val="10"/>
        <color rgb="FFFF0000"/>
        <rFont val="Arial"/>
        <family val="2"/>
      </rPr>
      <t xml:space="preserve">  - Deposit status &lt;&gt; Normal</t>
    </r>
    <r>
      <rPr>
        <sz val="10"/>
        <rFont val="Arial"/>
        <family val="2"/>
      </rPr>
      <t xml:space="preserve">
  - Linkage class: Auto fund transfer
</t>
    </r>
    <r>
      <rPr>
        <b/>
        <sz val="10"/>
        <rFont val="Arial"/>
        <family val="2"/>
      </rPr>
      <t xml:space="preserve">Credit side
</t>
    </r>
    <r>
      <rPr>
        <sz val="10"/>
        <rFont val="Arial"/>
        <family val="2"/>
      </rPr>
      <t xml:space="preserve">  - Accounting type: Cash
  - Credit amount &gt; 0
</t>
    </r>
    <r>
      <rPr>
        <b/>
        <sz val="10"/>
        <rFont val="Arial"/>
        <family val="2"/>
      </rPr>
      <t>Teller does this transaction</t>
    </r>
    <r>
      <rPr>
        <sz val="10"/>
        <rFont val="Arial"/>
        <family val="2"/>
      </rPr>
      <t xml:space="preserve">
  - User has right to do transaction related to cash
  - User has enough cash to withdraw</t>
    </r>
  </si>
  <si>
    <r>
      <rPr>
        <b/>
        <sz val="10"/>
        <rFont val="Arial"/>
        <family val="2"/>
      </rPr>
      <t>Debit side</t>
    </r>
    <r>
      <rPr>
        <sz val="10"/>
        <rFont val="Arial"/>
        <family val="2"/>
      </rPr>
      <t xml:space="preserve">
  - Accounting type: Deposit
</t>
    </r>
    <r>
      <rPr>
        <sz val="10"/>
        <color rgb="FFFF0000"/>
        <rFont val="Arial"/>
        <family val="2"/>
      </rPr>
      <t xml:space="preserve">  - Available balance of master &lt; Debit amount &lt;= Available balance of linkage
</t>
    </r>
    <r>
      <rPr>
        <sz val="10"/>
        <rFont val="Arial"/>
        <family val="2"/>
      </rPr>
      <t xml:space="preserve">  - Deposit type: Current/ Saving
  - Deposit status: Normal
</t>
    </r>
    <r>
      <rPr>
        <sz val="10"/>
        <color rgb="FFFF0000"/>
        <rFont val="Arial"/>
        <family val="2"/>
      </rPr>
      <t xml:space="preserve">  - Has linkage account for fund transfer
</t>
    </r>
    <r>
      <rPr>
        <b/>
        <sz val="10"/>
        <rFont val="Arial"/>
        <family val="2"/>
      </rPr>
      <t>Linkage account</t>
    </r>
    <r>
      <rPr>
        <sz val="10"/>
        <rFont val="Arial"/>
        <family val="2"/>
      </rPr>
      <t xml:space="preserve">
  - Deposit type: Saving
  - Deposit status: Normal
</t>
    </r>
    <r>
      <rPr>
        <sz val="10"/>
        <color rgb="FFFF0000"/>
        <rFont val="Arial"/>
        <family val="2"/>
      </rPr>
      <t xml:space="preserve">  - Linkage class &lt;&gt; Auto fund transfer</t>
    </r>
    <r>
      <rPr>
        <sz val="10"/>
        <rFont val="Arial"/>
        <family val="2"/>
      </rPr>
      <t xml:space="preserve">
</t>
    </r>
    <r>
      <rPr>
        <b/>
        <sz val="10"/>
        <rFont val="Arial"/>
        <family val="2"/>
      </rPr>
      <t xml:space="preserve">Credit side
</t>
    </r>
    <r>
      <rPr>
        <sz val="10"/>
        <rFont val="Arial"/>
        <family val="2"/>
      </rPr>
      <t xml:space="preserve">  - Accounting type: Cash
  - Credit amount &gt; 0
</t>
    </r>
    <r>
      <rPr>
        <b/>
        <sz val="10"/>
        <rFont val="Arial"/>
        <family val="2"/>
      </rPr>
      <t>Teller does this transaction</t>
    </r>
    <r>
      <rPr>
        <sz val="10"/>
        <rFont val="Arial"/>
        <family val="2"/>
      </rPr>
      <t xml:space="preserve">
  - User has right to do transaction related to cash
  - User has enough cash to withdraw</t>
    </r>
  </si>
  <si>
    <t>FX_004_018</t>
  </si>
  <si>
    <t>FX_004_019</t>
  </si>
  <si>
    <t>FX_004_020</t>
  </si>
  <si>
    <r>
      <rPr>
        <b/>
        <sz val="10"/>
        <rFont val="Arial"/>
        <family val="2"/>
      </rPr>
      <t>Debit side</t>
    </r>
    <r>
      <rPr>
        <sz val="10"/>
        <rFont val="Arial"/>
        <family val="2"/>
      </rPr>
      <t xml:space="preserve">
  - Accounting type: Deposit
</t>
    </r>
    <r>
      <rPr>
        <sz val="10"/>
        <color rgb="FFFF0000"/>
        <rFont val="Arial"/>
        <family val="2"/>
      </rPr>
      <t xml:space="preserve">  - Available balance of master &lt; Debit amount &lt;= Available balance of linkage</t>
    </r>
    <r>
      <rPr>
        <sz val="10"/>
        <rFont val="Arial"/>
        <family val="2"/>
      </rPr>
      <t xml:space="preserve">
  - Deposit type: Current/ Saving
  - Deposit status: Normal
</t>
    </r>
    <r>
      <rPr>
        <sz val="10"/>
        <color rgb="FFFF0000"/>
        <rFont val="Arial"/>
        <family val="2"/>
      </rPr>
      <t xml:space="preserve">  - Has linkage account for fund transfer</t>
    </r>
    <r>
      <rPr>
        <sz val="10"/>
        <rFont val="Arial"/>
        <family val="2"/>
      </rPr>
      <t xml:space="preserve">
</t>
    </r>
    <r>
      <rPr>
        <b/>
        <sz val="10"/>
        <rFont val="Arial"/>
        <family val="2"/>
      </rPr>
      <t>Linkage account</t>
    </r>
    <r>
      <rPr>
        <sz val="10"/>
        <rFont val="Arial"/>
        <family val="2"/>
      </rPr>
      <t xml:space="preserve">
</t>
    </r>
    <r>
      <rPr>
        <sz val="10"/>
        <color rgb="FFFF0000"/>
        <rFont val="Arial"/>
        <family val="2"/>
      </rPr>
      <t xml:space="preserve">  - Deposit type &lt;&gt; Saving</t>
    </r>
    <r>
      <rPr>
        <sz val="10"/>
        <rFont val="Arial"/>
        <family val="2"/>
      </rPr>
      <t xml:space="preserve">
  - Deposit status: Normal
  - Linkage class: Auto fund transfer
</t>
    </r>
    <r>
      <rPr>
        <b/>
        <sz val="10"/>
        <rFont val="Arial"/>
        <family val="2"/>
      </rPr>
      <t xml:space="preserve">Credit side
</t>
    </r>
    <r>
      <rPr>
        <sz val="10"/>
        <rFont val="Arial"/>
        <family val="2"/>
      </rPr>
      <t xml:space="preserve">  - Accounting type: Deposit
  - Credit amount &gt; 0
  - Deposit type: Current/ Saving
  - Deposit status: Normal</t>
    </r>
  </si>
  <si>
    <r>
      <rPr>
        <b/>
        <sz val="10"/>
        <rFont val="Arial"/>
        <family val="2"/>
      </rPr>
      <t>Debit side</t>
    </r>
    <r>
      <rPr>
        <sz val="10"/>
        <rFont val="Arial"/>
        <family val="2"/>
      </rPr>
      <t xml:space="preserve">
  - Accounting type: Deposit
</t>
    </r>
    <r>
      <rPr>
        <sz val="10"/>
        <color rgb="FFFF0000"/>
        <rFont val="Arial"/>
        <family val="2"/>
      </rPr>
      <t xml:space="preserve">  - Available balance of master &lt; Debit amount &lt;= Available balance of linkage</t>
    </r>
    <r>
      <rPr>
        <sz val="10"/>
        <rFont val="Arial"/>
        <family val="2"/>
      </rPr>
      <t xml:space="preserve">
  - Deposit type: Current/ Saving
  - Deposit status: Normal
</t>
    </r>
    <r>
      <rPr>
        <sz val="10"/>
        <color rgb="FFFF0000"/>
        <rFont val="Arial"/>
        <family val="2"/>
      </rPr>
      <t xml:space="preserve">  - Has linkage account for fund transfer</t>
    </r>
    <r>
      <rPr>
        <sz val="10"/>
        <rFont val="Arial"/>
        <family val="2"/>
      </rPr>
      <t xml:space="preserve">
</t>
    </r>
    <r>
      <rPr>
        <b/>
        <sz val="10"/>
        <rFont val="Arial"/>
        <family val="2"/>
      </rPr>
      <t>Linkage account</t>
    </r>
    <r>
      <rPr>
        <sz val="10"/>
        <rFont val="Arial"/>
        <family val="2"/>
      </rPr>
      <t xml:space="preserve">
  - Deposit type: Saving
</t>
    </r>
    <r>
      <rPr>
        <sz val="10"/>
        <color rgb="FFFF0000"/>
        <rFont val="Arial"/>
        <family val="2"/>
      </rPr>
      <t xml:space="preserve">  - Deposit status &lt;&gt; Normal</t>
    </r>
    <r>
      <rPr>
        <sz val="10"/>
        <rFont val="Arial"/>
        <family val="2"/>
      </rPr>
      <t xml:space="preserve">
  - Linkage class: Auto fund transfer
</t>
    </r>
    <r>
      <rPr>
        <b/>
        <sz val="10"/>
        <rFont val="Arial"/>
        <family val="2"/>
      </rPr>
      <t xml:space="preserve">Credit side
</t>
    </r>
    <r>
      <rPr>
        <sz val="10"/>
        <rFont val="Arial"/>
        <family val="2"/>
      </rPr>
      <t xml:space="preserve">  - Accounting type: Deposit
  - Credit amount &gt; 0
  - Deposit type: Current/ Saving
  - Deposit status: Normal</t>
    </r>
  </si>
  <si>
    <r>
      <rPr>
        <b/>
        <sz val="10"/>
        <rFont val="Arial"/>
        <family val="2"/>
      </rPr>
      <t>Debit side</t>
    </r>
    <r>
      <rPr>
        <sz val="10"/>
        <rFont val="Arial"/>
        <family val="2"/>
      </rPr>
      <t xml:space="preserve">
  - Accounting type: Deposit
</t>
    </r>
    <r>
      <rPr>
        <sz val="10"/>
        <color rgb="FFFF0000"/>
        <rFont val="Arial"/>
        <family val="2"/>
      </rPr>
      <t xml:space="preserve">  - Available balance of master &lt; Debit amount &lt;= Available balance of linkage</t>
    </r>
    <r>
      <rPr>
        <sz val="10"/>
        <rFont val="Arial"/>
        <family val="2"/>
      </rPr>
      <t xml:space="preserve">
  - Deposit type: Current/ Saving
  - Deposit status: Normal
</t>
    </r>
    <r>
      <rPr>
        <sz val="10"/>
        <color rgb="FFFF0000"/>
        <rFont val="Arial"/>
        <family val="2"/>
      </rPr>
      <t xml:space="preserve">  - Has linkage account for fund transfer</t>
    </r>
    <r>
      <rPr>
        <sz val="10"/>
        <rFont val="Arial"/>
        <family val="2"/>
      </rPr>
      <t xml:space="preserve">
</t>
    </r>
    <r>
      <rPr>
        <b/>
        <sz val="10"/>
        <rFont val="Arial"/>
        <family val="2"/>
      </rPr>
      <t>Linkage account</t>
    </r>
    <r>
      <rPr>
        <sz val="10"/>
        <rFont val="Arial"/>
        <family val="2"/>
      </rPr>
      <t xml:space="preserve">
  - Deposit type: Saving
  - Deposit status: Normal
</t>
    </r>
    <r>
      <rPr>
        <sz val="10"/>
        <color rgb="FFFF0000"/>
        <rFont val="Arial"/>
        <family val="2"/>
      </rPr>
      <t xml:space="preserve">  - Linkage class &lt;&gt; Auto fund transfer</t>
    </r>
    <r>
      <rPr>
        <sz val="10"/>
        <rFont val="Arial"/>
        <family val="2"/>
      </rPr>
      <t xml:space="preserve">
</t>
    </r>
    <r>
      <rPr>
        <b/>
        <sz val="10"/>
        <rFont val="Arial"/>
        <family val="2"/>
      </rPr>
      <t xml:space="preserve">Credit side
</t>
    </r>
    <r>
      <rPr>
        <sz val="10"/>
        <rFont val="Arial"/>
        <family val="2"/>
      </rPr>
      <t xml:space="preserve">  - Accounting type: Deposit
  - Credit amount &gt; 0
  - Deposit type: Current/ Saving
  - Deposit status: Normal</t>
    </r>
  </si>
  <si>
    <t>FX_005_021</t>
  </si>
  <si>
    <t>FX_005_022</t>
  </si>
  <si>
    <t>FX_006_004</t>
  </si>
  <si>
    <t>FX_006_005</t>
  </si>
  <si>
    <t>FX_006_006</t>
  </si>
  <si>
    <t>FX_006_007</t>
  </si>
  <si>
    <t>FX_006_008</t>
  </si>
  <si>
    <t>FX_006_009</t>
  </si>
  <si>
    <t>FX_006_010</t>
  </si>
  <si>
    <t>FX_006_011</t>
  </si>
  <si>
    <t>FX_006_012</t>
  </si>
  <si>
    <t>FX_006_013</t>
  </si>
  <si>
    <t>FX_006_014</t>
  </si>
  <si>
    <t>FX_006_015</t>
  </si>
  <si>
    <t>FX_006_016</t>
  </si>
  <si>
    <t>FX_006_017</t>
  </si>
  <si>
    <t>FX_006_018</t>
  </si>
  <si>
    <t>FX_006_019</t>
  </si>
  <si>
    <t>FX_006_020</t>
  </si>
  <si>
    <t>FX_006_021</t>
  </si>
  <si>
    <t>FX_006_022</t>
  </si>
  <si>
    <r>
      <rPr>
        <b/>
        <sz val="10"/>
        <rFont val="Arial"/>
        <family val="2"/>
      </rPr>
      <t>Debit side</t>
    </r>
    <r>
      <rPr>
        <sz val="10"/>
        <rFont val="Arial"/>
        <family val="2"/>
      </rPr>
      <t xml:space="preserve">
  - Accounting type: Deposit
  - 0 &lt; Debit amount &lt;= Available balance
</t>
    </r>
    <r>
      <rPr>
        <sz val="10"/>
        <color rgb="FFFF0000"/>
        <rFont val="Arial"/>
        <family val="2"/>
      </rPr>
      <t xml:space="preserve">  - Deposit type: Fixed deposit
</t>
    </r>
    <r>
      <rPr>
        <sz val="10"/>
        <rFont val="Arial"/>
        <family val="2"/>
      </rPr>
      <t xml:space="preserve">  - Deposit status: Normal
</t>
    </r>
    <r>
      <rPr>
        <b/>
        <sz val="10"/>
        <rFont val="Arial"/>
        <family val="2"/>
      </rPr>
      <t>Credit side</t>
    </r>
    <r>
      <rPr>
        <sz val="10"/>
        <rFont val="Arial"/>
        <family val="2"/>
      </rPr>
      <t xml:space="preserve">
  - Accounting type: Accounting
  - Credit amount &gt; 0
  - Posting side: Credit/ Both
  - Account level: 9
  - Account group &lt;&gt; Cash
  - Direct posting: Yes</t>
    </r>
  </si>
  <si>
    <r>
      <rPr>
        <b/>
        <sz val="10"/>
        <rFont val="Arial"/>
        <family val="2"/>
      </rPr>
      <t>Debit side</t>
    </r>
    <r>
      <rPr>
        <sz val="10"/>
        <rFont val="Arial"/>
        <family val="2"/>
      </rPr>
      <t xml:space="preserve">
  - Accounting type: Deposit
  - 0 &lt; Debit amount &lt;= Available balance
  - Deposit type: Current/ Saving
</t>
    </r>
    <r>
      <rPr>
        <sz val="10"/>
        <color rgb="FFFF0000"/>
        <rFont val="Arial"/>
        <family val="2"/>
      </rPr>
      <t xml:space="preserve">  - Deposit status &lt;&gt; Normal</t>
    </r>
    <r>
      <rPr>
        <sz val="10"/>
        <rFont val="Arial"/>
        <family val="2"/>
      </rPr>
      <t xml:space="preserve">
</t>
    </r>
    <r>
      <rPr>
        <b/>
        <sz val="10"/>
        <rFont val="Arial"/>
        <family val="2"/>
      </rPr>
      <t>Credit side</t>
    </r>
    <r>
      <rPr>
        <sz val="10"/>
        <rFont val="Arial"/>
        <family val="2"/>
      </rPr>
      <t xml:space="preserve">
  - Accounting type: Accounting
  - Credit amount &gt; 0
  - Posting side: Credit/ Both
  - Account level: 9
  - Account group &lt;&gt; Cash
  - Direct posting: Yes</t>
    </r>
  </si>
  <si>
    <r>
      <rPr>
        <b/>
        <sz val="10"/>
        <rFont val="Arial"/>
        <family val="2"/>
      </rPr>
      <t>Debit side</t>
    </r>
    <r>
      <rPr>
        <sz val="10"/>
        <rFont val="Arial"/>
        <family val="2"/>
      </rPr>
      <t xml:space="preserve">
  - Accounting type: Deposit
</t>
    </r>
    <r>
      <rPr>
        <sz val="10"/>
        <color rgb="FFFF0000"/>
        <rFont val="Arial"/>
        <family val="2"/>
      </rPr>
      <t xml:space="preserve">  - Debit amount &gt; Available balance
</t>
    </r>
    <r>
      <rPr>
        <sz val="10"/>
        <rFont val="Arial"/>
        <family val="2"/>
      </rPr>
      <t xml:space="preserve">  - Deposit type: Current/ Saving
  - Deposit status: Normal
</t>
    </r>
    <r>
      <rPr>
        <b/>
        <sz val="10"/>
        <rFont val="Arial"/>
        <family val="2"/>
      </rPr>
      <t>Credit side</t>
    </r>
    <r>
      <rPr>
        <sz val="10"/>
        <rFont val="Arial"/>
        <family val="2"/>
      </rPr>
      <t xml:space="preserve">
  - Accounting type: Accounting
  - Credit amount &gt; 0
  - Posting side: Credit/ Both
  - Account level: 9
  - Account group &lt;&gt; Cash
  - Direct posting: Yes</t>
    </r>
  </si>
  <si>
    <r>
      <rPr>
        <b/>
        <sz val="10"/>
        <rFont val="Arial"/>
        <family val="2"/>
      </rPr>
      <t>Debit side</t>
    </r>
    <r>
      <rPr>
        <sz val="10"/>
        <rFont val="Arial"/>
        <family val="2"/>
      </rPr>
      <t xml:space="preserve">
  - Accounting type: Deposit
  - 0 &lt; Debit amount &lt;= Available balance
  - Deposit type: Current/ Saving
  - Deposit status: Normal
</t>
    </r>
    <r>
      <rPr>
        <b/>
        <sz val="10"/>
        <rFont val="Arial"/>
        <family val="2"/>
      </rPr>
      <t>Credit side</t>
    </r>
    <r>
      <rPr>
        <sz val="10"/>
        <rFont val="Arial"/>
        <family val="2"/>
      </rPr>
      <t xml:space="preserve">
  - Accounting type: Accounting
  - Credit amount &gt; 0
</t>
    </r>
    <r>
      <rPr>
        <sz val="10"/>
        <color rgb="FFFF0000"/>
        <rFont val="Arial"/>
        <family val="2"/>
      </rPr>
      <t xml:space="preserve">  - Posting side: Debit</t>
    </r>
    <r>
      <rPr>
        <sz val="10"/>
        <rFont val="Arial"/>
        <family val="2"/>
      </rPr>
      <t xml:space="preserve">
  - Account level: 9
  - Account group &lt;&gt; Cash
  - Direct posting: Yes</t>
    </r>
  </si>
  <si>
    <r>
      <rPr>
        <b/>
        <sz val="10"/>
        <rFont val="Arial"/>
        <family val="2"/>
      </rPr>
      <t>Debit side</t>
    </r>
    <r>
      <rPr>
        <sz val="10"/>
        <rFont val="Arial"/>
        <family val="2"/>
      </rPr>
      <t xml:space="preserve">
  - Accounting type: Deposit
  - 0 &lt; Debit amount &lt;= Available balance
  - Deposit type: Current/ Saving
  - Deposit status: Normal
</t>
    </r>
    <r>
      <rPr>
        <b/>
        <sz val="10"/>
        <rFont val="Arial"/>
        <family val="2"/>
      </rPr>
      <t>Credit side</t>
    </r>
    <r>
      <rPr>
        <sz val="10"/>
        <rFont val="Arial"/>
        <family val="2"/>
      </rPr>
      <t xml:space="preserve">
  - Accounting type: Accounting
  - Credit amount &gt; 0
  - Posting side: Credit/ Both
</t>
    </r>
    <r>
      <rPr>
        <sz val="10"/>
        <color rgb="FFFF0000"/>
        <rFont val="Arial"/>
        <family val="2"/>
      </rPr>
      <t xml:space="preserve">  - Account level &lt;&gt; 9</t>
    </r>
    <r>
      <rPr>
        <sz val="10"/>
        <rFont val="Arial"/>
        <family val="2"/>
      </rPr>
      <t xml:space="preserve">
  - Account group &lt;&gt; Cash
  - Direct posting: Yes</t>
    </r>
  </si>
  <si>
    <r>
      <rPr>
        <b/>
        <sz val="10"/>
        <rFont val="Arial"/>
        <family val="2"/>
      </rPr>
      <t>Debit side</t>
    </r>
    <r>
      <rPr>
        <sz val="10"/>
        <rFont val="Arial"/>
        <family val="2"/>
      </rPr>
      <t xml:space="preserve">
  - Accounting type: Deposit
  - 0 &lt; Debit amount &lt;= Available balance
  - Deposit type: Current/ Saving
  - Deposit status: Normal
</t>
    </r>
    <r>
      <rPr>
        <b/>
        <sz val="10"/>
        <rFont val="Arial"/>
        <family val="2"/>
      </rPr>
      <t>Credit side</t>
    </r>
    <r>
      <rPr>
        <sz val="10"/>
        <rFont val="Arial"/>
        <family val="2"/>
      </rPr>
      <t xml:space="preserve">
  - Accounting type: Accounting
  - Credit amount &gt; 0
  - Posting side: Credit/ Both
  - Account level: 9
</t>
    </r>
    <r>
      <rPr>
        <sz val="10"/>
        <color rgb="FFFF0000"/>
        <rFont val="Arial"/>
        <family val="2"/>
      </rPr>
      <t xml:space="preserve">  - Account group: Cash
</t>
    </r>
    <r>
      <rPr>
        <sz val="10"/>
        <rFont val="Arial"/>
        <family val="2"/>
      </rPr>
      <t xml:space="preserve">  - Direct posting: Yes</t>
    </r>
  </si>
  <si>
    <r>
      <rPr>
        <b/>
        <sz val="10"/>
        <rFont val="Arial"/>
        <family val="2"/>
      </rPr>
      <t>Debit side</t>
    </r>
    <r>
      <rPr>
        <sz val="10"/>
        <rFont val="Arial"/>
        <family val="2"/>
      </rPr>
      <t xml:space="preserve">
  - Accounting type: Deposit
  - 0 &lt; Debit amount &lt;= Available balance
  - Deposit type: Current/ Saving
  - Deposit status: Normal
</t>
    </r>
    <r>
      <rPr>
        <b/>
        <sz val="10"/>
        <rFont val="Arial"/>
        <family val="2"/>
      </rPr>
      <t>Credit side</t>
    </r>
    <r>
      <rPr>
        <sz val="10"/>
        <rFont val="Arial"/>
        <family val="2"/>
      </rPr>
      <t xml:space="preserve">
  - Accounting type: Accounting
  - Credit amount &gt; 0
  - Posting side: Credit/ Both
  - Account level: 9
  - Account group &lt;&gt; Cash
</t>
    </r>
    <r>
      <rPr>
        <sz val="10"/>
        <color rgb="FFFF0000"/>
        <rFont val="Arial"/>
        <family val="2"/>
      </rPr>
      <t xml:space="preserve">  - Direct posting &lt;&gt; Yes</t>
    </r>
  </si>
  <si>
    <r>
      <rPr>
        <b/>
        <sz val="10"/>
        <rFont val="Arial"/>
        <family val="2"/>
      </rPr>
      <t>Debit side</t>
    </r>
    <r>
      <rPr>
        <sz val="10"/>
        <rFont val="Arial"/>
        <family val="2"/>
      </rPr>
      <t xml:space="preserve">
  - Accounting type: Deposit
</t>
    </r>
    <r>
      <rPr>
        <sz val="10"/>
        <color rgb="FFFF0000"/>
        <rFont val="Arial"/>
        <family val="2"/>
      </rPr>
      <t xml:space="preserve">  - Available balance of master &lt; Debit amount &lt;= Available balance of linkage</t>
    </r>
    <r>
      <rPr>
        <sz val="10"/>
        <rFont val="Arial"/>
        <family val="2"/>
      </rPr>
      <t xml:space="preserve">
  - Deposit type: Current/ Saving
  - Deposit status: Normal
</t>
    </r>
    <r>
      <rPr>
        <sz val="10"/>
        <color rgb="FFFF0000"/>
        <rFont val="Arial"/>
        <family val="2"/>
      </rPr>
      <t xml:space="preserve">  - Has linkage account for fund transfer</t>
    </r>
    <r>
      <rPr>
        <sz val="10"/>
        <rFont val="Arial"/>
        <family val="2"/>
      </rPr>
      <t xml:space="preserve">
</t>
    </r>
    <r>
      <rPr>
        <b/>
        <sz val="10"/>
        <rFont val="Arial"/>
        <family val="2"/>
      </rPr>
      <t>Linkage account</t>
    </r>
    <r>
      <rPr>
        <sz val="10"/>
        <rFont val="Arial"/>
        <family val="2"/>
      </rPr>
      <t xml:space="preserve">
  - Deposit type: Saving
</t>
    </r>
    <r>
      <rPr>
        <sz val="10"/>
        <color rgb="FFFF0000"/>
        <rFont val="Arial"/>
        <family val="2"/>
      </rPr>
      <t xml:space="preserve">  - Deposit status &lt;&gt; Normal</t>
    </r>
    <r>
      <rPr>
        <sz val="10"/>
        <rFont val="Arial"/>
        <family val="2"/>
      </rPr>
      <t xml:space="preserve">
  - Linkage class: Auto fund transfer
</t>
    </r>
    <r>
      <rPr>
        <b/>
        <sz val="10"/>
        <rFont val="Arial"/>
        <family val="2"/>
      </rPr>
      <t>Credit side</t>
    </r>
    <r>
      <rPr>
        <sz val="10"/>
        <rFont val="Arial"/>
        <family val="2"/>
      </rPr>
      <t xml:space="preserve">
  - Accounting type: Accounting
  - Credit amount &gt; 0
  - Posting side: Credit/ Both
  - Account level: 9
  - Account group &lt;&gt; Cash
  - Direct posting: Yes</t>
    </r>
  </si>
  <si>
    <r>
      <rPr>
        <b/>
        <sz val="10"/>
        <rFont val="Arial"/>
        <family val="2"/>
      </rPr>
      <t>Debit side</t>
    </r>
    <r>
      <rPr>
        <sz val="10"/>
        <rFont val="Arial"/>
        <family val="2"/>
      </rPr>
      <t xml:space="preserve">
  - Accounting type: Deposit
</t>
    </r>
    <r>
      <rPr>
        <sz val="10"/>
        <color rgb="FFFF0000"/>
        <rFont val="Arial"/>
        <family val="2"/>
      </rPr>
      <t xml:space="preserve">  - Available balance of master &lt; Debit amount &lt;= Available balance of linkage</t>
    </r>
    <r>
      <rPr>
        <sz val="10"/>
        <rFont val="Arial"/>
        <family val="2"/>
      </rPr>
      <t xml:space="preserve">
  - Deposit type: Current/ Saving
  - Deposit status: Normal
</t>
    </r>
    <r>
      <rPr>
        <sz val="10"/>
        <color rgb="FFFF0000"/>
        <rFont val="Arial"/>
        <family val="2"/>
      </rPr>
      <t xml:space="preserve">  - Has linkage account for fund transfer</t>
    </r>
    <r>
      <rPr>
        <sz val="10"/>
        <rFont val="Arial"/>
        <family val="2"/>
      </rPr>
      <t xml:space="preserve">
</t>
    </r>
    <r>
      <rPr>
        <b/>
        <sz val="10"/>
        <rFont val="Arial"/>
        <family val="2"/>
      </rPr>
      <t>Linkage account</t>
    </r>
    <r>
      <rPr>
        <sz val="10"/>
        <rFont val="Arial"/>
        <family val="2"/>
      </rPr>
      <t xml:space="preserve">
  - Deposit type: Saving
  - Deposit status: Normal
</t>
    </r>
    <r>
      <rPr>
        <sz val="10"/>
        <color rgb="FFFF0000"/>
        <rFont val="Arial"/>
        <family val="2"/>
      </rPr>
      <t xml:space="preserve">  - Linkage class &lt;&gt; Auto fund transfer</t>
    </r>
    <r>
      <rPr>
        <sz val="10"/>
        <rFont val="Arial"/>
        <family val="2"/>
      </rPr>
      <t xml:space="preserve">
</t>
    </r>
    <r>
      <rPr>
        <b/>
        <sz val="10"/>
        <rFont val="Arial"/>
        <family val="2"/>
      </rPr>
      <t>Credit side</t>
    </r>
    <r>
      <rPr>
        <sz val="10"/>
        <rFont val="Arial"/>
        <family val="2"/>
      </rPr>
      <t xml:space="preserve">
  - Accounting type: Accounting
  - Credit amount &gt; 0
  - Posting side: Credit/ Both
  - Account level: 9
  - Account group &lt;&gt; Cash
  - Direct posting: Yes</t>
    </r>
  </si>
  <si>
    <t>FX_006_023</t>
  </si>
  <si>
    <t>FX_006_024</t>
  </si>
  <si>
    <t>FX_007_001</t>
  </si>
  <si>
    <t>FX_007_002</t>
  </si>
  <si>
    <t>FX_007_003</t>
  </si>
  <si>
    <t>FX_007_004</t>
  </si>
  <si>
    <t>FX_007_005</t>
  </si>
  <si>
    <t>FX_007_006</t>
  </si>
  <si>
    <t>FX_007_007</t>
  </si>
  <si>
    <t>FX_007_008</t>
  </si>
  <si>
    <t>FX_007_009</t>
  </si>
  <si>
    <t>FX_007_010</t>
  </si>
  <si>
    <t>FX_007_011</t>
  </si>
  <si>
    <t>FX_007_012</t>
  </si>
  <si>
    <t>FX_007_013</t>
  </si>
  <si>
    <t>FX_007_014</t>
  </si>
  <si>
    <t>FX_007_015</t>
  </si>
  <si>
    <t>FX_007_016</t>
  </si>
  <si>
    <t>FX_007_017</t>
  </si>
  <si>
    <r>
      <rPr>
        <b/>
        <sz val="10"/>
        <rFont val="Arial"/>
        <family val="2"/>
      </rPr>
      <t>Debit side</t>
    </r>
    <r>
      <rPr>
        <sz val="10"/>
        <rFont val="Arial"/>
        <family val="2"/>
      </rPr>
      <t xml:space="preserve">
  - Accounting type: Accounting
  - Debit amount &gt; 0
</t>
    </r>
    <r>
      <rPr>
        <sz val="10"/>
        <color rgb="FFFF0000"/>
        <rFont val="Arial"/>
        <family val="2"/>
      </rPr>
      <t xml:space="preserve">  - Posting side: Credit</t>
    </r>
    <r>
      <rPr>
        <sz val="10"/>
        <rFont val="Arial"/>
        <family val="2"/>
      </rPr>
      <t xml:space="preserve">
  - Account level: 9
  - Account group &lt;&gt; Cash
  - Direct posting: Yes
</t>
    </r>
    <r>
      <rPr>
        <b/>
        <sz val="10"/>
        <rFont val="Arial"/>
        <family val="2"/>
      </rPr>
      <t>Credit side</t>
    </r>
    <r>
      <rPr>
        <sz val="10"/>
        <rFont val="Arial"/>
        <family val="2"/>
      </rPr>
      <t xml:space="preserve">
  - Accounting type: Cash
  - Credit amount &gt; 0
</t>
    </r>
    <r>
      <rPr>
        <b/>
        <sz val="10"/>
        <rFont val="Arial"/>
        <family val="2"/>
      </rPr>
      <t>Teller does this transaction</t>
    </r>
    <r>
      <rPr>
        <sz val="10"/>
        <rFont val="Arial"/>
        <family val="2"/>
      </rPr>
      <t xml:space="preserve">
  - User has right to do transaction related to cash
  - User has enough cash to withdraw</t>
    </r>
  </si>
  <si>
    <r>
      <rPr>
        <b/>
        <sz val="10"/>
        <rFont val="Arial"/>
        <family val="2"/>
      </rPr>
      <t>Debit side</t>
    </r>
    <r>
      <rPr>
        <sz val="10"/>
        <rFont val="Arial"/>
        <family val="2"/>
      </rPr>
      <t xml:space="preserve">
  - Accounting type: Accounting
  - Debit amount &gt; 0
  - Posting side: Debit/ Both
</t>
    </r>
    <r>
      <rPr>
        <sz val="10"/>
        <color rgb="FFFF0000"/>
        <rFont val="Arial"/>
        <family val="2"/>
      </rPr>
      <t xml:space="preserve">  - Account level &lt;&gt; 9</t>
    </r>
    <r>
      <rPr>
        <sz val="10"/>
        <rFont val="Arial"/>
        <family val="2"/>
      </rPr>
      <t xml:space="preserve">
  - Account group &lt;&gt; Cash
  - Direct posting: Yes
</t>
    </r>
    <r>
      <rPr>
        <b/>
        <sz val="10"/>
        <rFont val="Arial"/>
        <family val="2"/>
      </rPr>
      <t>Credit side</t>
    </r>
    <r>
      <rPr>
        <sz val="10"/>
        <rFont val="Arial"/>
        <family val="2"/>
      </rPr>
      <t xml:space="preserve">
  - Accounting type: Cash
  - Credit amount &gt; 0
</t>
    </r>
    <r>
      <rPr>
        <b/>
        <sz val="10"/>
        <rFont val="Arial"/>
        <family val="2"/>
      </rPr>
      <t>Teller does this transaction</t>
    </r>
    <r>
      <rPr>
        <sz val="10"/>
        <rFont val="Arial"/>
        <family val="2"/>
      </rPr>
      <t xml:space="preserve">
  - User has right to do transaction related to cash
  - User has enough cash to withdraw</t>
    </r>
  </si>
  <si>
    <r>
      <rPr>
        <b/>
        <sz val="10"/>
        <rFont val="Arial"/>
        <family val="2"/>
      </rPr>
      <t>Debit side</t>
    </r>
    <r>
      <rPr>
        <sz val="10"/>
        <rFont val="Arial"/>
        <family val="2"/>
      </rPr>
      <t xml:space="preserve">
  - Accounting type: Accounting
  - Debit amount &gt; 0
  - Posting side: Debit/ Both
  - Account level: 9
</t>
    </r>
    <r>
      <rPr>
        <sz val="10"/>
        <color rgb="FFFF0000"/>
        <rFont val="Arial"/>
        <family val="2"/>
      </rPr>
      <t xml:space="preserve">  - Account group: Cash</t>
    </r>
    <r>
      <rPr>
        <sz val="10"/>
        <rFont val="Arial"/>
        <family val="2"/>
      </rPr>
      <t xml:space="preserve">
  - Direct posting: Yes
</t>
    </r>
    <r>
      <rPr>
        <b/>
        <sz val="10"/>
        <rFont val="Arial"/>
        <family val="2"/>
      </rPr>
      <t>Credit side</t>
    </r>
    <r>
      <rPr>
        <sz val="10"/>
        <rFont val="Arial"/>
        <family val="2"/>
      </rPr>
      <t xml:space="preserve">
  - Accounting type: Cash
  - Credit amount &gt; 0
</t>
    </r>
    <r>
      <rPr>
        <b/>
        <sz val="10"/>
        <rFont val="Arial"/>
        <family val="2"/>
      </rPr>
      <t>Teller does this transaction</t>
    </r>
    <r>
      <rPr>
        <sz val="10"/>
        <rFont val="Arial"/>
        <family val="2"/>
      </rPr>
      <t xml:space="preserve">
  - User has right to do transaction related to cash
  - User has enough cash to withdraw</t>
    </r>
  </si>
  <si>
    <r>
      <rPr>
        <b/>
        <sz val="10"/>
        <rFont val="Arial"/>
        <family val="2"/>
      </rPr>
      <t>Debit side</t>
    </r>
    <r>
      <rPr>
        <sz val="10"/>
        <rFont val="Arial"/>
        <family val="2"/>
      </rPr>
      <t xml:space="preserve">
  - Accounting type: Accounting
  - Debit amount &gt; 0
  - Posting side: Debit/ Both
  - Account level: 9
  - Account group &lt;&gt; Cash
</t>
    </r>
    <r>
      <rPr>
        <sz val="10"/>
        <color rgb="FFFF0000"/>
        <rFont val="Arial"/>
        <family val="2"/>
      </rPr>
      <t xml:space="preserve">  - Direct posting &lt;&gt; Yes</t>
    </r>
    <r>
      <rPr>
        <sz val="10"/>
        <rFont val="Arial"/>
        <family val="2"/>
      </rPr>
      <t xml:space="preserve">
</t>
    </r>
    <r>
      <rPr>
        <b/>
        <sz val="10"/>
        <rFont val="Arial"/>
        <family val="2"/>
      </rPr>
      <t>Credit side</t>
    </r>
    <r>
      <rPr>
        <sz val="10"/>
        <rFont val="Arial"/>
        <family val="2"/>
      </rPr>
      <t xml:space="preserve">
  - Accounting type: Cash
  - Credit amount &gt; 0
</t>
    </r>
    <r>
      <rPr>
        <b/>
        <sz val="10"/>
        <rFont val="Arial"/>
        <family val="2"/>
      </rPr>
      <t>Teller does this transaction</t>
    </r>
    <r>
      <rPr>
        <sz val="10"/>
        <rFont val="Arial"/>
        <family val="2"/>
      </rPr>
      <t xml:space="preserve">
  - User has right to do transaction related to cash
  - User has enough cash to withdraw</t>
    </r>
  </si>
  <si>
    <r>
      <rPr>
        <b/>
        <sz val="10"/>
        <rFont val="Arial"/>
        <family val="2"/>
      </rPr>
      <t>Debit side</t>
    </r>
    <r>
      <rPr>
        <sz val="10"/>
        <rFont val="Arial"/>
        <family val="2"/>
      </rPr>
      <t xml:space="preserve">
  - Accounting type: Accounting
  - Debit amount &gt; 0
  - Posting side: Debit/ Both
  - Account level: 9
  - Account group &lt;&gt; Cash
  - Direct posting: Yes
</t>
    </r>
    <r>
      <rPr>
        <b/>
        <sz val="10"/>
        <rFont val="Arial"/>
        <family val="2"/>
      </rPr>
      <t>Credit side</t>
    </r>
    <r>
      <rPr>
        <sz val="10"/>
        <rFont val="Arial"/>
        <family val="2"/>
      </rPr>
      <t xml:space="preserve">
  - Accounting type: Cash
  - Credit amount &gt; 0
</t>
    </r>
    <r>
      <rPr>
        <b/>
        <sz val="10"/>
        <rFont val="Arial"/>
        <family val="2"/>
      </rPr>
      <t>Teller does this transaction</t>
    </r>
    <r>
      <rPr>
        <sz val="10"/>
        <rFont val="Arial"/>
        <family val="2"/>
      </rPr>
      <t xml:space="preserve">
</t>
    </r>
    <r>
      <rPr>
        <sz val="10"/>
        <color rgb="FFFF0000"/>
        <rFont val="Arial"/>
        <family val="2"/>
      </rPr>
      <t xml:space="preserve">  - User has NO right to do transaction related to cash</t>
    </r>
    <r>
      <rPr>
        <sz val="10"/>
        <rFont val="Arial"/>
        <family val="2"/>
      </rPr>
      <t xml:space="preserve">
  - User has enough cash to withdraw</t>
    </r>
  </si>
  <si>
    <r>
      <rPr>
        <b/>
        <sz val="10"/>
        <rFont val="Arial"/>
        <family val="2"/>
      </rPr>
      <t>Debit side</t>
    </r>
    <r>
      <rPr>
        <sz val="10"/>
        <rFont val="Arial"/>
        <family val="2"/>
      </rPr>
      <t xml:space="preserve">
  - Accounting type: Accounting
  - Debit amount &gt; 0
  - Posting side: Debit/ Both
  - Account level: 9
  - Account group &lt;&gt; Cash
  - Direct posting: Yes
</t>
    </r>
    <r>
      <rPr>
        <b/>
        <sz val="10"/>
        <rFont val="Arial"/>
        <family val="2"/>
      </rPr>
      <t>Credit side</t>
    </r>
    <r>
      <rPr>
        <sz val="10"/>
        <rFont val="Arial"/>
        <family val="2"/>
      </rPr>
      <t xml:space="preserve">
  - Accounting type: Cash
  - Credit amount &gt; 0
</t>
    </r>
    <r>
      <rPr>
        <b/>
        <sz val="10"/>
        <rFont val="Arial"/>
        <family val="2"/>
      </rPr>
      <t>Teller does this transaction</t>
    </r>
    <r>
      <rPr>
        <sz val="10"/>
        <rFont val="Arial"/>
        <family val="2"/>
      </rPr>
      <t xml:space="preserve">
  - User has right to do transaction related to cash
</t>
    </r>
    <r>
      <rPr>
        <sz val="10"/>
        <color rgb="FFFF0000"/>
        <rFont val="Arial"/>
        <family val="2"/>
      </rPr>
      <t xml:space="preserve">  - User has NOT enough cash to withdraw</t>
    </r>
  </si>
  <si>
    <r>
      <rPr>
        <b/>
        <sz val="10"/>
        <rFont val="Arial"/>
        <family val="2"/>
      </rPr>
      <t>Debit side</t>
    </r>
    <r>
      <rPr>
        <sz val="10"/>
        <rFont val="Arial"/>
        <family val="2"/>
      </rPr>
      <t xml:space="preserve">
  - Accounting type: Accounting
  - Debit amount &gt; 0
  - Posting side: Debit/ Both
  - Account level: 9
  - Account group &lt;&gt; Cash
  - Direct posting: Yes
</t>
    </r>
    <r>
      <rPr>
        <b/>
        <sz val="10"/>
        <rFont val="Arial"/>
        <family val="2"/>
      </rPr>
      <t>Credit side</t>
    </r>
    <r>
      <rPr>
        <sz val="10"/>
        <rFont val="Arial"/>
        <family val="2"/>
      </rPr>
      <t xml:space="preserve">
  - Accounting type: Cash
  - Credit amount &gt; 0
</t>
    </r>
    <r>
      <rPr>
        <b/>
        <sz val="10"/>
        <rFont val="Arial"/>
        <family val="2"/>
      </rPr>
      <t>Teller does this transaction</t>
    </r>
    <r>
      <rPr>
        <sz val="10"/>
        <rFont val="Arial"/>
        <family val="2"/>
      </rPr>
      <t xml:space="preserve">
  - User has right to do transaction related to cash
  - User has enough cash to withdraw
</t>
    </r>
    <r>
      <rPr>
        <b/>
        <sz val="10"/>
        <color rgb="FFFF0000"/>
        <rFont val="Arial"/>
        <family val="2"/>
      </rPr>
      <t>Total fee &gt; Receive amount</t>
    </r>
  </si>
  <si>
    <t>FX_008_001</t>
  </si>
  <si>
    <t>FX_008_002</t>
  </si>
  <si>
    <t>FX_008_003</t>
  </si>
  <si>
    <t>FX_008_004</t>
  </si>
  <si>
    <t>FX_008_005</t>
  </si>
  <si>
    <t>FX_008_006</t>
  </si>
  <si>
    <t>FX_008_007</t>
  </si>
  <si>
    <t>FX_008_008</t>
  </si>
  <si>
    <t>FX_008_009</t>
  </si>
  <si>
    <t>FX_008_010</t>
  </si>
  <si>
    <t>FX_008_011</t>
  </si>
  <si>
    <t>FX_008_012</t>
  </si>
  <si>
    <t>FX_008_013</t>
  </si>
  <si>
    <t>FX_008_014</t>
  </si>
  <si>
    <t>FX_008_015</t>
  </si>
  <si>
    <t>FX_008_016</t>
  </si>
  <si>
    <t>FX_008_017</t>
  </si>
  <si>
    <t>FX_008_018</t>
  </si>
  <si>
    <t>FX_008_019</t>
  </si>
  <si>
    <t>FX_008_020</t>
  </si>
  <si>
    <r>
      <rPr>
        <b/>
        <sz val="10"/>
        <rFont val="Arial"/>
        <family val="2"/>
      </rPr>
      <t>Debit side</t>
    </r>
    <r>
      <rPr>
        <sz val="10"/>
        <rFont val="Arial"/>
        <family val="2"/>
      </rPr>
      <t xml:space="preserve">
  - Accounting type: Accounting
  - Debit amount &gt; 0
  - Posting side: Debit/ Both
  - Account level: 9
  - Account group &lt;&gt; Cash
  - Direct posting: Yes
</t>
    </r>
    <r>
      <rPr>
        <b/>
        <sz val="10"/>
        <rFont val="Arial"/>
        <family val="2"/>
      </rPr>
      <t>Credit side</t>
    </r>
    <r>
      <rPr>
        <sz val="10"/>
        <rFont val="Arial"/>
        <family val="2"/>
      </rPr>
      <t xml:space="preserve">
  - Accounting type: Deposit
  - Credit amount &gt; 0
</t>
    </r>
    <r>
      <rPr>
        <sz val="10"/>
        <color rgb="FFFF0000"/>
        <rFont val="Arial"/>
        <family val="2"/>
      </rPr>
      <t xml:space="preserve">  - Deposit type: Fixed deposit</t>
    </r>
    <r>
      <rPr>
        <sz val="10"/>
        <rFont val="Arial"/>
        <family val="2"/>
      </rPr>
      <t xml:space="preserve">
  - Deposit status: Normal</t>
    </r>
  </si>
  <si>
    <r>
      <rPr>
        <b/>
        <sz val="10"/>
        <rFont val="Arial"/>
        <family val="2"/>
      </rPr>
      <t>Debit side</t>
    </r>
    <r>
      <rPr>
        <sz val="10"/>
        <rFont val="Arial"/>
        <family val="2"/>
      </rPr>
      <t xml:space="preserve">
  - Accounting type: Deposit
</t>
    </r>
    <r>
      <rPr>
        <sz val="10"/>
        <color rgb="FFFF0000"/>
        <rFont val="Arial"/>
        <family val="2"/>
      </rPr>
      <t xml:space="preserve">  - Debit amount &gt; Available balance
</t>
    </r>
    <r>
      <rPr>
        <sz val="10"/>
        <rFont val="Arial"/>
        <family val="2"/>
      </rPr>
      <t xml:space="preserve">  - Deposit type: Current/ Saving
  - Deposit status: Normal
</t>
    </r>
    <r>
      <rPr>
        <b/>
        <sz val="10"/>
        <rFont val="Arial"/>
        <family val="2"/>
      </rPr>
      <t>Credit side</t>
    </r>
    <r>
      <rPr>
        <sz val="10"/>
        <rFont val="Arial"/>
        <family val="2"/>
      </rPr>
      <t xml:space="preserve">
  - Accounting type: Deposit
  - Credit amount &gt; 0
  - Deposit type: Current/ Saving
  - Deposit sub type &lt;&gt; Shwe Cash call deposit account
  - Deposit status: Normal</t>
    </r>
  </si>
  <si>
    <r>
      <rPr>
        <b/>
        <sz val="10"/>
        <rFont val="Arial"/>
        <family val="2"/>
      </rPr>
      <t>Debit side</t>
    </r>
    <r>
      <rPr>
        <sz val="10"/>
        <rFont val="Arial"/>
        <family val="2"/>
      </rPr>
      <t xml:space="preserve">
  - Accounting type: Deposit
  - 0 &lt; Debit amount &lt;= Available balance
</t>
    </r>
    <r>
      <rPr>
        <sz val="10"/>
        <color rgb="FFFF0000"/>
        <rFont val="Arial"/>
        <family val="2"/>
      </rPr>
      <t xml:space="preserve">  - Deposit type: Fixed deposit
</t>
    </r>
    <r>
      <rPr>
        <sz val="10"/>
        <rFont val="Arial"/>
        <family val="2"/>
      </rPr>
      <t xml:space="preserve">  - Deposit status: Normal
</t>
    </r>
    <r>
      <rPr>
        <b/>
        <sz val="10"/>
        <rFont val="Arial"/>
        <family val="2"/>
      </rPr>
      <t>Credit side</t>
    </r>
    <r>
      <rPr>
        <sz val="10"/>
        <rFont val="Arial"/>
        <family val="2"/>
      </rPr>
      <t xml:space="preserve">
  - Accounting type: Deposit
  - Credit amount &gt; 0
  - Deposit type: Current/ Saving
  - Deposit sub type &lt;&gt; Shwe Cash call deposit account
  - Deposit status: Normal</t>
    </r>
  </si>
  <si>
    <r>
      <rPr>
        <b/>
        <sz val="10"/>
        <rFont val="Arial"/>
        <family val="2"/>
      </rPr>
      <t>Debit side</t>
    </r>
    <r>
      <rPr>
        <sz val="10"/>
        <rFont val="Arial"/>
        <family val="2"/>
      </rPr>
      <t xml:space="preserve">
  - Accounting type: Deposit
  - 0 &lt; Debit amount &lt;= Available balance
  - Deposit type: Current/ Saving
</t>
    </r>
    <r>
      <rPr>
        <sz val="10"/>
        <color rgb="FFFF0000"/>
        <rFont val="Arial"/>
        <family val="2"/>
      </rPr>
      <t xml:space="preserve">  - Deposit status &lt;&gt; Normal</t>
    </r>
    <r>
      <rPr>
        <sz val="10"/>
        <rFont val="Arial"/>
        <family val="2"/>
      </rPr>
      <t xml:space="preserve">
</t>
    </r>
    <r>
      <rPr>
        <b/>
        <sz val="10"/>
        <rFont val="Arial"/>
        <family val="2"/>
      </rPr>
      <t>Credit side</t>
    </r>
    <r>
      <rPr>
        <sz val="10"/>
        <rFont val="Arial"/>
        <family val="2"/>
      </rPr>
      <t xml:space="preserve">
  - Accounting type: Deposit
  - Credit amount &gt; 0
  - Deposit type: Current/ Saving
  - Deposit sub type &lt;&gt; Shwe Cash call deposit account
  - Deposit status: Normal</t>
    </r>
  </si>
  <si>
    <r>
      <rPr>
        <b/>
        <sz val="10"/>
        <rFont val="Arial"/>
        <family val="2"/>
      </rPr>
      <t>Debit side</t>
    </r>
    <r>
      <rPr>
        <sz val="10"/>
        <rFont val="Arial"/>
        <family val="2"/>
      </rPr>
      <t xml:space="preserve">
  - Accounting type: Deposit
  - 0 &lt; Debit amount &lt;= Available balance
  - Deposit type: Current/ Saving
  - Deposit status: Normal
</t>
    </r>
    <r>
      <rPr>
        <b/>
        <sz val="10"/>
        <rFont val="Arial"/>
        <family val="2"/>
      </rPr>
      <t>Credit side</t>
    </r>
    <r>
      <rPr>
        <sz val="10"/>
        <rFont val="Arial"/>
        <family val="2"/>
      </rPr>
      <t xml:space="preserve">
  - Accounting type: Deposit
  - Credit amount &gt; 0
  - Deposit type: Current/ Saving
  - Deposit sub type &lt;&gt; Shwe Cash call deposit account
</t>
    </r>
    <r>
      <rPr>
        <sz val="10"/>
        <color rgb="FFFF0000"/>
        <rFont val="Arial"/>
        <family val="2"/>
      </rPr>
      <t xml:space="preserve">  - Deposit status &lt;&gt; Normal</t>
    </r>
  </si>
  <si>
    <r>
      <rPr>
        <b/>
        <sz val="10"/>
        <rFont val="Arial"/>
        <family val="2"/>
      </rPr>
      <t>Debit side</t>
    </r>
    <r>
      <rPr>
        <sz val="10"/>
        <rFont val="Arial"/>
        <family val="2"/>
      </rPr>
      <t xml:space="preserve">
  - Accounting type: Deposit
  - 0 &lt; Debit amount &lt;= Available balance
  - Deposit type: Current/ Saving
  - Deposit status: Normal
</t>
    </r>
    <r>
      <rPr>
        <b/>
        <sz val="10"/>
        <rFont val="Arial"/>
        <family val="2"/>
      </rPr>
      <t>Credit side</t>
    </r>
    <r>
      <rPr>
        <sz val="10"/>
        <rFont val="Arial"/>
        <family val="2"/>
      </rPr>
      <t xml:space="preserve">
  - Accounting type: Deposit
  - Credit amount &gt; 0
</t>
    </r>
    <r>
      <rPr>
        <sz val="10"/>
        <color rgb="FFFF0000"/>
        <rFont val="Arial"/>
        <family val="2"/>
      </rPr>
      <t xml:space="preserve">  - Deposit type: Saving
  - Deposit sub type: Shwe Cash call deposit account
</t>
    </r>
    <r>
      <rPr>
        <sz val="10"/>
        <rFont val="Arial"/>
        <family val="2"/>
      </rPr>
      <t xml:space="preserve">  - Deposit status: Normal</t>
    </r>
  </si>
  <si>
    <t>FX_005_023</t>
  </si>
  <si>
    <r>
      <rPr>
        <b/>
        <sz val="10"/>
        <rFont val="Arial"/>
        <family val="2"/>
      </rPr>
      <t>Debit side</t>
    </r>
    <r>
      <rPr>
        <sz val="10"/>
        <rFont val="Arial"/>
        <family val="2"/>
      </rPr>
      <t xml:space="preserve">
  - Accounting type: Accounting
  - Debit amount &gt; 0
</t>
    </r>
    <r>
      <rPr>
        <sz val="10"/>
        <color rgb="FFFF0000"/>
        <rFont val="Arial"/>
        <family val="2"/>
      </rPr>
      <t xml:space="preserve">  - Posting side: Credit</t>
    </r>
    <r>
      <rPr>
        <sz val="10"/>
        <rFont val="Arial"/>
        <family val="2"/>
      </rPr>
      <t xml:space="preserve">
  - Account level: 9
  - Account group &lt;&gt; Cash
  - Direct posting: Yes
</t>
    </r>
    <r>
      <rPr>
        <b/>
        <sz val="10"/>
        <rFont val="Arial"/>
        <family val="2"/>
      </rPr>
      <t>Credit side</t>
    </r>
    <r>
      <rPr>
        <sz val="10"/>
        <rFont val="Arial"/>
        <family val="2"/>
      </rPr>
      <t xml:space="preserve">
  - Accounting type: Deposit
  - Credit amount &gt; 0
  - Deposit type: Current/ Saving
  - Deposit sub type &lt;&gt; Shwe Cash call deposit account
  - Deposit status: Normal</t>
    </r>
  </si>
  <si>
    <r>
      <rPr>
        <b/>
        <sz val="10"/>
        <rFont val="Arial"/>
        <family val="2"/>
      </rPr>
      <t>Debit side</t>
    </r>
    <r>
      <rPr>
        <sz val="10"/>
        <rFont val="Arial"/>
        <family val="2"/>
      </rPr>
      <t xml:space="preserve">
  - Accounting type: Accounting
  - Debit amount &gt; 0
  - Posting side: Debit/ Both
</t>
    </r>
    <r>
      <rPr>
        <sz val="10"/>
        <color rgb="FFFF0000"/>
        <rFont val="Arial"/>
        <family val="2"/>
      </rPr>
      <t xml:space="preserve">  - Account level &lt;&gt; 9</t>
    </r>
    <r>
      <rPr>
        <sz val="10"/>
        <rFont val="Arial"/>
        <family val="2"/>
      </rPr>
      <t xml:space="preserve">
  - Account group &lt;&gt; Cash
  - Direct posting: Yes
</t>
    </r>
    <r>
      <rPr>
        <b/>
        <sz val="10"/>
        <rFont val="Arial"/>
        <family val="2"/>
      </rPr>
      <t>Credit side</t>
    </r>
    <r>
      <rPr>
        <sz val="10"/>
        <rFont val="Arial"/>
        <family val="2"/>
      </rPr>
      <t xml:space="preserve">
  - Accounting type: Deposit
  - Credit amount &gt; 0
  - Deposit type: Current/ Saving
  - Deposit sub type &lt;&gt; Shwe Cash call deposit account
  - Deposit status: Normal</t>
    </r>
  </si>
  <si>
    <r>
      <rPr>
        <b/>
        <sz val="10"/>
        <rFont val="Arial"/>
        <family val="2"/>
      </rPr>
      <t>Debit side</t>
    </r>
    <r>
      <rPr>
        <sz val="10"/>
        <rFont val="Arial"/>
        <family val="2"/>
      </rPr>
      <t xml:space="preserve">
  - Accounting type: Accounting
  - Debit amount &gt; 0
  - Posting side: Debit/ Both
  - Account level: 9
</t>
    </r>
    <r>
      <rPr>
        <sz val="10"/>
        <color rgb="FFFF0000"/>
        <rFont val="Arial"/>
        <family val="2"/>
      </rPr>
      <t xml:space="preserve">  - Account group: Cash</t>
    </r>
    <r>
      <rPr>
        <sz val="10"/>
        <rFont val="Arial"/>
        <family val="2"/>
      </rPr>
      <t xml:space="preserve">
  - Direct posting: Yes
</t>
    </r>
    <r>
      <rPr>
        <b/>
        <sz val="10"/>
        <rFont val="Arial"/>
        <family val="2"/>
      </rPr>
      <t>Credit side</t>
    </r>
    <r>
      <rPr>
        <sz val="10"/>
        <rFont val="Arial"/>
        <family val="2"/>
      </rPr>
      <t xml:space="preserve">
  - Accounting type: Deposit
  - Credit amount &gt; 0
  - Deposit type: Current/ Saving
  - Deposit sub type &lt;&gt; Shwe Cash call deposit account
  - Deposit status: Normal</t>
    </r>
  </si>
  <si>
    <r>
      <rPr>
        <b/>
        <sz val="10"/>
        <rFont val="Arial"/>
        <family val="2"/>
      </rPr>
      <t>Debit side</t>
    </r>
    <r>
      <rPr>
        <sz val="10"/>
        <rFont val="Arial"/>
        <family val="2"/>
      </rPr>
      <t xml:space="preserve">
  - Accounting type: Accounting
  - Debit amount &gt; 0
  - Posting side: Debit/ Both
  - Account level: 9
  - Account group &lt;&gt; Cash
</t>
    </r>
    <r>
      <rPr>
        <sz val="10"/>
        <color rgb="FFFF0000"/>
        <rFont val="Arial"/>
        <family val="2"/>
      </rPr>
      <t xml:space="preserve">  - Direct posting &lt;&gt; Yes</t>
    </r>
    <r>
      <rPr>
        <sz val="10"/>
        <rFont val="Arial"/>
        <family val="2"/>
      </rPr>
      <t xml:space="preserve">
</t>
    </r>
    <r>
      <rPr>
        <b/>
        <sz val="10"/>
        <rFont val="Arial"/>
        <family val="2"/>
      </rPr>
      <t>Credit side</t>
    </r>
    <r>
      <rPr>
        <sz val="10"/>
        <rFont val="Arial"/>
        <family val="2"/>
      </rPr>
      <t xml:space="preserve">
  - Accounting type: Deposit
  - Credit amount &gt; 0
  - Deposit type: Current/ Saving
  - Deposit sub type &lt;&gt; Shwe Cash call deposit account
  - Deposit status: Normal</t>
    </r>
  </si>
  <si>
    <r>
      <rPr>
        <b/>
        <sz val="10"/>
        <rFont val="Arial"/>
        <family val="2"/>
      </rPr>
      <t>Debit side</t>
    </r>
    <r>
      <rPr>
        <sz val="10"/>
        <rFont val="Arial"/>
        <family val="2"/>
      </rPr>
      <t xml:space="preserve">
  - Accounting type: Accounting
  - Debit amount &gt; 0
  - Posting side: Debit/ Both
  - Account level: 9
  - Account group &lt;&gt; Cash
  - Direct posting: Yes
</t>
    </r>
    <r>
      <rPr>
        <b/>
        <sz val="10"/>
        <rFont val="Arial"/>
        <family val="2"/>
      </rPr>
      <t>Credit side</t>
    </r>
    <r>
      <rPr>
        <sz val="10"/>
        <rFont val="Arial"/>
        <family val="2"/>
      </rPr>
      <t xml:space="preserve">
  - Accounting type: Deposit
  - Credit amount &gt; 0
  - Deposit type: Current/ Saving
  - Deposit sub type &lt;&gt; Shwe Cash call deposit account
</t>
    </r>
    <r>
      <rPr>
        <sz val="10"/>
        <color rgb="FFFF0000"/>
        <rFont val="Arial"/>
        <family val="2"/>
      </rPr>
      <t xml:space="preserve">  - Deposit status &lt;&gt; Normal</t>
    </r>
  </si>
  <si>
    <r>
      <rPr>
        <b/>
        <sz val="10"/>
        <rFont val="Arial"/>
        <family val="2"/>
      </rPr>
      <t>Debit side</t>
    </r>
    <r>
      <rPr>
        <sz val="10"/>
        <rFont val="Arial"/>
        <family val="2"/>
      </rPr>
      <t xml:space="preserve">
  - Accounting type: Accounting
  - Debit amount &gt; 0
  - Posting side: Debit/ Both
  - Account level: 9
  - Account group &lt;&gt; Cash
  - Direct posting: Yes
</t>
    </r>
    <r>
      <rPr>
        <b/>
        <sz val="10"/>
        <rFont val="Arial"/>
        <family val="2"/>
      </rPr>
      <t>Credit side</t>
    </r>
    <r>
      <rPr>
        <sz val="10"/>
        <rFont val="Arial"/>
        <family val="2"/>
      </rPr>
      <t xml:space="preserve">
  - Accounting type: Deposit
  - Credit amount &gt; 0
</t>
    </r>
    <r>
      <rPr>
        <sz val="10"/>
        <color rgb="FFFF0000"/>
        <rFont val="Arial"/>
        <family val="2"/>
      </rPr>
      <t xml:space="preserve">  - Deposit type: Saving
  - Deposit sub type: Shwe Cash call deposit account
</t>
    </r>
    <r>
      <rPr>
        <sz val="10"/>
        <rFont val="Arial"/>
        <family val="2"/>
      </rPr>
      <t xml:space="preserve">  - Deposit status: Normal</t>
    </r>
  </si>
  <si>
    <r>
      <rPr>
        <b/>
        <sz val="10"/>
        <rFont val="Arial"/>
        <family val="2"/>
      </rPr>
      <t>Debit side</t>
    </r>
    <r>
      <rPr>
        <sz val="10"/>
        <rFont val="Arial"/>
        <family val="2"/>
      </rPr>
      <t xml:space="preserve">
  - Accounting type: Accounting
  - Debit amount &gt; 0
  - Posting side: Debit/ Both
  - Account level: 9
  - Account group &lt;&gt; Cash
  - Direct posting: Yes
</t>
    </r>
    <r>
      <rPr>
        <b/>
        <sz val="10"/>
        <rFont val="Arial"/>
        <family val="2"/>
      </rPr>
      <t>Credit side</t>
    </r>
    <r>
      <rPr>
        <sz val="10"/>
        <rFont val="Arial"/>
        <family val="2"/>
      </rPr>
      <t xml:space="preserve">
  - Accounting type: Deposit
  - Credit amount &gt; 0
  - Deposit type: Current/ Saving
  - Deposit sub type &lt;&gt; Shwe Cash call deposit account
  - Deposit status: Normal
</t>
    </r>
    <r>
      <rPr>
        <b/>
        <sz val="10"/>
        <color rgb="FFFF0000"/>
        <rFont val="Arial"/>
        <family val="2"/>
      </rPr>
      <t>Total fee &gt; Receive amount</t>
    </r>
  </si>
  <si>
    <t>FX_009_001</t>
  </si>
  <si>
    <t>FX_009_002</t>
  </si>
  <si>
    <t>FX_009_003</t>
  </si>
  <si>
    <t>FX_009_004</t>
  </si>
  <si>
    <t>FX_009_005</t>
  </si>
  <si>
    <t>FX_009_006</t>
  </si>
  <si>
    <t>FX_009_007</t>
  </si>
  <si>
    <t>FX_009_008</t>
  </si>
  <si>
    <t>FX_009_009</t>
  </si>
  <si>
    <t>FX_009_010</t>
  </si>
  <si>
    <t>FX_009_011</t>
  </si>
  <si>
    <t>FX_009_012</t>
  </si>
  <si>
    <t>FX_009_013</t>
  </si>
  <si>
    <t>FX_009_014</t>
  </si>
  <si>
    <t>FX_009_015</t>
  </si>
  <si>
    <t>FX_009_016</t>
  </si>
  <si>
    <t>FX_009_017</t>
  </si>
  <si>
    <t>FX_009_018</t>
  </si>
  <si>
    <t>FX_009_019</t>
  </si>
  <si>
    <t>FX_009_020</t>
  </si>
  <si>
    <t>FX_009_021</t>
  </si>
  <si>
    <r>
      <rPr>
        <b/>
        <sz val="10"/>
        <rFont val="Arial"/>
        <family val="2"/>
      </rPr>
      <t>Debit side</t>
    </r>
    <r>
      <rPr>
        <sz val="10"/>
        <rFont val="Arial"/>
        <family val="2"/>
      </rPr>
      <t xml:space="preserve">
  - Accounting type: Accounting
  - Debit amount &gt; 0
</t>
    </r>
    <r>
      <rPr>
        <sz val="10"/>
        <color rgb="FFFF0000"/>
        <rFont val="Arial"/>
        <family val="2"/>
      </rPr>
      <t xml:space="preserve">  - Posting side : Credit</t>
    </r>
    <r>
      <rPr>
        <sz val="10"/>
        <rFont val="Arial"/>
        <family val="2"/>
      </rPr>
      <t xml:space="preserve">
  - Account level: 9
  - Account group &lt;&gt; Cash
  - Direct posting: Yes
</t>
    </r>
    <r>
      <rPr>
        <b/>
        <sz val="10"/>
        <rFont val="Arial"/>
        <family val="2"/>
      </rPr>
      <t>Credit side</t>
    </r>
    <r>
      <rPr>
        <sz val="10"/>
        <rFont val="Arial"/>
        <family val="2"/>
      </rPr>
      <t xml:space="preserve">
  - Accounting type: Accounting
  - Credit amount &gt; 0
  - Posting side: Credit/ Both
  - Account level: 9
  - Account group &lt;&gt; Cash
  - Direct posting: Yes</t>
    </r>
  </si>
  <si>
    <r>
      <rPr>
        <b/>
        <sz val="10"/>
        <rFont val="Arial"/>
        <family val="2"/>
      </rPr>
      <t>Debit side</t>
    </r>
    <r>
      <rPr>
        <sz val="10"/>
        <rFont val="Arial"/>
        <family val="2"/>
      </rPr>
      <t xml:space="preserve">
  - Accounting type: Accounting
  - Debit amount &gt; 0
  - Posting side: Debit/ Both
</t>
    </r>
    <r>
      <rPr>
        <sz val="10"/>
        <color rgb="FFFF0000"/>
        <rFont val="Arial"/>
        <family val="2"/>
      </rPr>
      <t xml:space="preserve">  - Account level &lt;&gt; 9</t>
    </r>
    <r>
      <rPr>
        <sz val="10"/>
        <rFont val="Arial"/>
        <family val="2"/>
      </rPr>
      <t xml:space="preserve">
  - Account group &lt;&gt; Cash
  - Direct posting: Yes
</t>
    </r>
    <r>
      <rPr>
        <b/>
        <sz val="10"/>
        <rFont val="Arial"/>
        <family val="2"/>
      </rPr>
      <t>Credit side</t>
    </r>
    <r>
      <rPr>
        <sz val="10"/>
        <rFont val="Arial"/>
        <family val="2"/>
      </rPr>
      <t xml:space="preserve">
  - Accounting type: Accounting
  - Credit amount &gt; 0
  - Posting side: Credit/ Both
  - Account level: 9
  - Account group &lt;&gt; Cash
  - Direct posting: Yes</t>
    </r>
  </si>
  <si>
    <r>
      <rPr>
        <b/>
        <sz val="10"/>
        <rFont val="Arial"/>
        <family val="2"/>
      </rPr>
      <t>Debit side</t>
    </r>
    <r>
      <rPr>
        <sz val="10"/>
        <rFont val="Arial"/>
        <family val="2"/>
      </rPr>
      <t xml:space="preserve">
  - Accounting type: Accounting
  - Debit amount &gt; 0
  - Posting side: Debit/ Both
  - Account level: 9
</t>
    </r>
    <r>
      <rPr>
        <sz val="10"/>
        <color rgb="FFFF0000"/>
        <rFont val="Arial"/>
        <family val="2"/>
      </rPr>
      <t xml:space="preserve">  - Account group: Cash</t>
    </r>
    <r>
      <rPr>
        <sz val="10"/>
        <rFont val="Arial"/>
        <family val="2"/>
      </rPr>
      <t xml:space="preserve">
  - Direct posting: Yes
</t>
    </r>
    <r>
      <rPr>
        <b/>
        <sz val="10"/>
        <rFont val="Arial"/>
        <family val="2"/>
      </rPr>
      <t>Credit side</t>
    </r>
    <r>
      <rPr>
        <sz val="10"/>
        <rFont val="Arial"/>
        <family val="2"/>
      </rPr>
      <t xml:space="preserve">
  - Accounting type: Accounting
  - Credit amount &gt; 0
  - Posting side: Credit/ Both
  - Account level: 9
  - Account group &lt;&gt; Cash
  - Direct posting: Yes</t>
    </r>
  </si>
  <si>
    <r>
      <rPr>
        <b/>
        <sz val="10"/>
        <rFont val="Arial"/>
        <family val="2"/>
      </rPr>
      <t>Debit side</t>
    </r>
    <r>
      <rPr>
        <sz val="10"/>
        <rFont val="Arial"/>
        <family val="2"/>
      </rPr>
      <t xml:space="preserve">
  - Accounting type: Accounting
  - Debit amount &gt; 0
  - Posting side: Debit/ Both
  - Account level: 9
  - Account group &lt;&gt; Cash
</t>
    </r>
    <r>
      <rPr>
        <sz val="10"/>
        <color rgb="FFFF0000"/>
        <rFont val="Arial"/>
        <family val="2"/>
      </rPr>
      <t xml:space="preserve">  - Direct posting &lt;&gt; Yes</t>
    </r>
    <r>
      <rPr>
        <sz val="10"/>
        <rFont val="Arial"/>
        <family val="2"/>
      </rPr>
      <t xml:space="preserve">
</t>
    </r>
    <r>
      <rPr>
        <b/>
        <sz val="10"/>
        <rFont val="Arial"/>
        <family val="2"/>
      </rPr>
      <t>Credit side</t>
    </r>
    <r>
      <rPr>
        <sz val="10"/>
        <rFont val="Arial"/>
        <family val="2"/>
      </rPr>
      <t xml:space="preserve">
  - Accounting type: Accounting
  - Credit amount &gt; 0
  - Posting side: Credit/ Both
  - Account level: 9
  - Account group &lt;&gt; Cash
  - Direct posting: Yes</t>
    </r>
  </si>
  <si>
    <r>
      <rPr>
        <b/>
        <sz val="10"/>
        <rFont val="Arial"/>
        <family val="2"/>
      </rPr>
      <t>Debit side</t>
    </r>
    <r>
      <rPr>
        <sz val="10"/>
        <rFont val="Arial"/>
        <family val="2"/>
      </rPr>
      <t xml:space="preserve">
  - Accounting type: Accounting
  - Debit amount &gt; 0
  - Posting side: Debit/ Both
  - Account level: 9
  - Account group &lt;&gt; Cash
  - Direct posting: Yes
</t>
    </r>
    <r>
      <rPr>
        <b/>
        <sz val="10"/>
        <rFont val="Arial"/>
        <family val="2"/>
      </rPr>
      <t>Credit side</t>
    </r>
    <r>
      <rPr>
        <sz val="10"/>
        <rFont val="Arial"/>
        <family val="2"/>
      </rPr>
      <t xml:space="preserve">
  - Accounting type: Accounting
  - Credit amount &gt; 0
</t>
    </r>
    <r>
      <rPr>
        <sz val="10"/>
        <color rgb="FFFF0000"/>
        <rFont val="Arial"/>
        <family val="2"/>
      </rPr>
      <t xml:space="preserve">  - Posting side: Debit</t>
    </r>
    <r>
      <rPr>
        <sz val="10"/>
        <rFont val="Arial"/>
        <family val="2"/>
      </rPr>
      <t xml:space="preserve">
  - Account level: 9
  - Account group &lt;&gt; Cash
  - Direct posting: Yes</t>
    </r>
  </si>
  <si>
    <r>
      <rPr>
        <b/>
        <sz val="10"/>
        <rFont val="Arial"/>
        <family val="2"/>
      </rPr>
      <t>Debit side</t>
    </r>
    <r>
      <rPr>
        <sz val="10"/>
        <rFont val="Arial"/>
        <family val="2"/>
      </rPr>
      <t xml:space="preserve">
  - Accounting type: Accounting
  - Debit amount &gt; 0
  - Posting side: Debit/ Both
  - Account level: 9
  - Account group &lt;&gt; Cash
  - Direct posting: Yes
</t>
    </r>
    <r>
      <rPr>
        <b/>
        <sz val="10"/>
        <rFont val="Arial"/>
        <family val="2"/>
      </rPr>
      <t>Credit side</t>
    </r>
    <r>
      <rPr>
        <sz val="10"/>
        <rFont val="Arial"/>
        <family val="2"/>
      </rPr>
      <t xml:space="preserve">
  - Accounting type: Accounting
  - Credit amount &gt; 0
  - Posting side: Credit/ Both
</t>
    </r>
    <r>
      <rPr>
        <sz val="10"/>
        <color rgb="FFFF0000"/>
        <rFont val="Arial"/>
        <family val="2"/>
      </rPr>
      <t xml:space="preserve">  - Account level &lt;&gt; 9</t>
    </r>
    <r>
      <rPr>
        <sz val="10"/>
        <rFont val="Arial"/>
        <family val="2"/>
      </rPr>
      <t xml:space="preserve">
  - Account group &lt;&gt; Cash
  - Direct posting: Yes</t>
    </r>
  </si>
  <si>
    <r>
      <rPr>
        <b/>
        <sz val="10"/>
        <rFont val="Arial"/>
        <family val="2"/>
      </rPr>
      <t>Debit side</t>
    </r>
    <r>
      <rPr>
        <sz val="10"/>
        <rFont val="Arial"/>
        <family val="2"/>
      </rPr>
      <t xml:space="preserve">
  - Accounting type: Accounting
  - Debit amount &gt; 0
  - Posting side: Debit/ Both
  - Account level: 9
  - Account group &lt;&gt; Cash
  - Direct posting: Yes
</t>
    </r>
    <r>
      <rPr>
        <b/>
        <sz val="10"/>
        <rFont val="Arial"/>
        <family val="2"/>
      </rPr>
      <t>Credit side</t>
    </r>
    <r>
      <rPr>
        <sz val="10"/>
        <rFont val="Arial"/>
        <family val="2"/>
      </rPr>
      <t xml:space="preserve">
  - Accounting type: Accounting
  - Credit amount &gt; 0
  - Posting side: Credit/ Both
  - Account level: 9
</t>
    </r>
    <r>
      <rPr>
        <sz val="10"/>
        <color rgb="FFFF0000"/>
        <rFont val="Arial"/>
        <family val="2"/>
      </rPr>
      <t xml:space="preserve">  - Account group: Cash
</t>
    </r>
    <r>
      <rPr>
        <sz val="10"/>
        <rFont val="Arial"/>
        <family val="2"/>
      </rPr>
      <t xml:space="preserve">  - Direct posting: Yes</t>
    </r>
  </si>
  <si>
    <r>
      <rPr>
        <b/>
        <sz val="10"/>
        <rFont val="Arial"/>
        <family val="2"/>
      </rPr>
      <t>Debit side</t>
    </r>
    <r>
      <rPr>
        <sz val="10"/>
        <rFont val="Arial"/>
        <family val="2"/>
      </rPr>
      <t xml:space="preserve">
  - Accounting type: Accounting
  - Debit amount &gt; 0
  - Posting side: Debit/ Both
  - Account level: 9
  - Account group &lt;&gt; Cash
  - Direct posting: Yes
</t>
    </r>
    <r>
      <rPr>
        <b/>
        <sz val="10"/>
        <rFont val="Arial"/>
        <family val="2"/>
      </rPr>
      <t>Credit side</t>
    </r>
    <r>
      <rPr>
        <sz val="10"/>
        <rFont val="Arial"/>
        <family val="2"/>
      </rPr>
      <t xml:space="preserve">
  - Accounting type: Accounting
  - Credit amount &gt; 0
  - Posting side: Credit/ Both
  - Account level: 9
  - Account group &lt;&gt; Cash
</t>
    </r>
    <r>
      <rPr>
        <sz val="10"/>
        <color rgb="FFFF0000"/>
        <rFont val="Arial"/>
        <family val="2"/>
      </rPr>
      <t xml:space="preserve">  - Direct posting &lt;&gt; Yes</t>
    </r>
  </si>
  <si>
    <r>
      <rPr>
        <b/>
        <sz val="10"/>
        <rFont val="Arial"/>
        <family val="2"/>
      </rPr>
      <t>Debit side</t>
    </r>
    <r>
      <rPr>
        <sz val="10"/>
        <rFont val="Arial"/>
        <family val="2"/>
      </rPr>
      <t xml:space="preserve">
  - Accounting type: Accounting
  - Debit amount &gt; 0
  - Posting side: Debit/ Both
  - Account level: 9
  - Account group &lt;&gt; Cash
  - Direct posting: Yes
</t>
    </r>
    <r>
      <rPr>
        <b/>
        <sz val="10"/>
        <rFont val="Arial"/>
        <family val="2"/>
      </rPr>
      <t>Credit side</t>
    </r>
    <r>
      <rPr>
        <sz val="10"/>
        <rFont val="Arial"/>
        <family val="2"/>
      </rPr>
      <t xml:space="preserve">
  - Accounting type: Accounting
  - Credit amount &gt; 0
  - Posting side: Credit/ Both
  - Account level: 9
  - Account group &lt;&gt; Cash
  - Direct posting: Yes
</t>
    </r>
    <r>
      <rPr>
        <b/>
        <sz val="10"/>
        <color rgb="FFFF0000"/>
        <rFont val="Arial"/>
        <family val="2"/>
      </rPr>
      <t>Total fee &gt; Receive amount</t>
    </r>
  </si>
  <si>
    <t>VyHNT</t>
  </si>
  <si>
    <t>Create document</t>
  </si>
  <si>
    <t>Version: 1.0</t>
  </si>
  <si>
    <r>
      <rPr>
        <b/>
        <sz val="10"/>
        <rFont val="Arial"/>
        <family val="2"/>
      </rPr>
      <t>Debit side</t>
    </r>
    <r>
      <rPr>
        <sz val="10"/>
        <rFont val="Arial"/>
        <family val="2"/>
      </rPr>
      <t xml:space="preserve">
  - Accounting type: Cash
  - Debit amount &gt; 0
</t>
    </r>
    <r>
      <rPr>
        <b/>
        <sz val="10"/>
        <rFont val="Arial"/>
        <family val="2"/>
      </rPr>
      <t xml:space="preserve">Credit side
</t>
    </r>
    <r>
      <rPr>
        <sz val="10"/>
        <rFont val="Arial"/>
        <family val="2"/>
      </rPr>
      <t xml:space="preserve">  - Accounting type: Cash
  - Credit amount &gt; 0
</t>
    </r>
    <r>
      <rPr>
        <b/>
        <sz val="10"/>
        <rFont val="Arial"/>
        <family val="2"/>
      </rPr>
      <t>Teller does this transaction</t>
    </r>
    <r>
      <rPr>
        <sz val="10"/>
        <rFont val="Arial"/>
        <family val="2"/>
      </rPr>
      <t xml:space="preserve">
  - User has right to do transaction related to cash
  - User has enough cash to withdraw
</t>
    </r>
    <r>
      <rPr>
        <b/>
        <sz val="10"/>
        <color rgb="FF00B0F0"/>
        <rFont val="Arial"/>
        <family val="2"/>
      </rPr>
      <t xml:space="preserve">Debit currency = Credit currency = Base currency </t>
    </r>
    <r>
      <rPr>
        <b/>
        <sz val="10"/>
        <rFont val="Arial"/>
        <family val="2"/>
      </rPr>
      <t xml:space="preserve">
</t>
    </r>
    <r>
      <rPr>
        <sz val="10"/>
        <rFont val="Arial"/>
        <family val="2"/>
      </rPr>
      <t xml:space="preserve">
1. Open "FX Transaction" screen
2. Choose Accounting type from Debit
3. Input Debit amount
4. Choose Accounting type from Credit
5. Input Credit amount
6. Click accpet</t>
    </r>
  </si>
  <si>
    <r>
      <rPr>
        <b/>
        <sz val="10"/>
        <rFont val="Arial"/>
        <family val="2"/>
      </rPr>
      <t>Debit side</t>
    </r>
    <r>
      <rPr>
        <sz val="10"/>
        <rFont val="Arial"/>
        <family val="2"/>
      </rPr>
      <t xml:space="preserve">
  - Accounting type: Cash
  - Debit amount &gt; 0
</t>
    </r>
    <r>
      <rPr>
        <b/>
        <sz val="10"/>
        <rFont val="Arial"/>
        <family val="2"/>
      </rPr>
      <t>Credit side</t>
    </r>
    <r>
      <rPr>
        <sz val="10"/>
        <rFont val="Arial"/>
        <family val="2"/>
      </rPr>
      <t xml:space="preserve">
  - Accounting type: Cash
  - Credit amount &gt; 0
</t>
    </r>
    <r>
      <rPr>
        <b/>
        <sz val="10"/>
        <rFont val="Arial"/>
        <family val="2"/>
      </rPr>
      <t>Teller does this transaction</t>
    </r>
    <r>
      <rPr>
        <sz val="10"/>
        <rFont val="Arial"/>
        <family val="2"/>
      </rPr>
      <t xml:space="preserve">
  - User has right to do transaction related to cash
  - User has enough cash to withdraw
</t>
    </r>
    <r>
      <rPr>
        <b/>
        <sz val="10"/>
        <color rgb="FF00B0F0"/>
        <rFont val="Arial"/>
        <family val="2"/>
      </rPr>
      <t>Debit currency = Base currency &lt;&gt; Credit currency</t>
    </r>
    <r>
      <rPr>
        <b/>
        <sz val="10"/>
        <rFont val="Arial"/>
        <family val="2"/>
      </rPr>
      <t xml:space="preserve">
</t>
    </r>
    <r>
      <rPr>
        <sz val="10"/>
        <rFont val="Arial"/>
        <family val="2"/>
      </rPr>
      <t xml:space="preserve">
1. Open "FX Transaction" screen
2. Choose Accounting type from Debit
3. Input Debit amount
4. Choose Accounting type from Credit
5. Input Credit amount
6. Click accpet</t>
    </r>
  </si>
  <si>
    <r>
      <rPr>
        <b/>
        <sz val="10"/>
        <rFont val="Arial"/>
        <family val="2"/>
      </rPr>
      <t>Debit side</t>
    </r>
    <r>
      <rPr>
        <sz val="10"/>
        <rFont val="Arial"/>
        <family val="2"/>
      </rPr>
      <t xml:space="preserve">
  - Accounting type: Cash
  - Debit amount &gt; 0
</t>
    </r>
    <r>
      <rPr>
        <b/>
        <sz val="10"/>
        <rFont val="Arial"/>
        <family val="2"/>
      </rPr>
      <t>Credit side</t>
    </r>
    <r>
      <rPr>
        <sz val="10"/>
        <rFont val="Arial"/>
        <family val="2"/>
      </rPr>
      <t xml:space="preserve">
  - Accounting type: Cash
  - Credit amount &gt; 0
</t>
    </r>
    <r>
      <rPr>
        <b/>
        <sz val="10"/>
        <rFont val="Arial"/>
        <family val="2"/>
      </rPr>
      <t>Teller does this transaction</t>
    </r>
    <r>
      <rPr>
        <sz val="10"/>
        <rFont val="Arial"/>
        <family val="2"/>
      </rPr>
      <t xml:space="preserve">
  - User has right to do transaction related to cash
  - User has enough cash to withdraw
</t>
    </r>
    <r>
      <rPr>
        <b/>
        <sz val="10"/>
        <color rgb="FF00B0F0"/>
        <rFont val="Arial"/>
        <family val="2"/>
      </rPr>
      <t>Debit currency &lt;&gt; Credit currency = Base currency</t>
    </r>
    <r>
      <rPr>
        <b/>
        <sz val="10"/>
        <rFont val="Arial"/>
        <family val="2"/>
      </rPr>
      <t xml:space="preserve">
</t>
    </r>
    <r>
      <rPr>
        <sz val="10"/>
        <rFont val="Arial"/>
        <family val="2"/>
      </rPr>
      <t xml:space="preserve">
1. Open "FX Transaction" screen
2. Choose Accounting type from Debit
3. Input Debit amount
4. Choose Accounting type from Credit
5. Input Credit amount
6. Click accpet</t>
    </r>
  </si>
  <si>
    <r>
      <rPr>
        <b/>
        <sz val="10"/>
        <rFont val="Arial"/>
        <family val="2"/>
      </rPr>
      <t>Debit side</t>
    </r>
    <r>
      <rPr>
        <sz val="10"/>
        <rFont val="Arial"/>
        <family val="2"/>
      </rPr>
      <t xml:space="preserve">
  - Accounting type: Cash
  - Debit amount &gt; 0
</t>
    </r>
    <r>
      <rPr>
        <b/>
        <sz val="10"/>
        <rFont val="Arial"/>
        <family val="2"/>
      </rPr>
      <t>Credit side</t>
    </r>
    <r>
      <rPr>
        <sz val="10"/>
        <rFont val="Arial"/>
        <family val="2"/>
      </rPr>
      <t xml:space="preserve">
  - Accounting type: Cash
  - Credit amount &gt; 0
</t>
    </r>
    <r>
      <rPr>
        <b/>
        <sz val="10"/>
        <rFont val="Arial"/>
        <family val="2"/>
      </rPr>
      <t>Teller does this transaction</t>
    </r>
    <r>
      <rPr>
        <sz val="10"/>
        <rFont val="Arial"/>
        <family val="2"/>
      </rPr>
      <t xml:space="preserve">
  - User has right to do transaction related to cash
  - User has enough cash to withdraw
</t>
    </r>
    <r>
      <rPr>
        <b/>
        <sz val="10"/>
        <color rgb="FF00B0F0"/>
        <rFont val="Arial"/>
        <family val="2"/>
      </rPr>
      <t>Debit currency &lt;&gt; Credit currency</t>
    </r>
    <r>
      <rPr>
        <b/>
        <sz val="10"/>
        <rFont val="Arial"/>
        <family val="2"/>
      </rPr>
      <t xml:space="preserve">
</t>
    </r>
    <r>
      <rPr>
        <sz val="10"/>
        <rFont val="Arial"/>
        <family val="2"/>
      </rPr>
      <t xml:space="preserve">
1. Open "FX Transaction" screen
2. Choose Accounting type from Debit
3. Input Debit amount
4. Choose Accounting type from Credit
5. Input Credit amount
6. Click accpet</t>
    </r>
  </si>
  <si>
    <r>
      <rPr>
        <b/>
        <sz val="10"/>
        <rFont val="Arial"/>
        <family val="2"/>
      </rPr>
      <t>Debit side</t>
    </r>
    <r>
      <rPr>
        <sz val="10"/>
        <rFont val="Arial"/>
        <family val="2"/>
      </rPr>
      <t xml:space="preserve">
  - Accounting type: Cash
  - Debit amount &gt; 0
</t>
    </r>
    <r>
      <rPr>
        <b/>
        <sz val="10"/>
        <rFont val="Arial"/>
        <family val="2"/>
      </rPr>
      <t>Credit side</t>
    </r>
    <r>
      <rPr>
        <sz val="10"/>
        <rFont val="Arial"/>
        <family val="2"/>
      </rPr>
      <t xml:space="preserve">
  - Accounting type: Cash
  - Credit amount &gt; 0
</t>
    </r>
    <r>
      <rPr>
        <b/>
        <sz val="10"/>
        <rFont val="Arial"/>
        <family val="2"/>
      </rPr>
      <t>Teller does this transaction</t>
    </r>
    <r>
      <rPr>
        <sz val="10"/>
        <rFont val="Arial"/>
        <family val="2"/>
      </rPr>
      <t xml:space="preserve">
  - User has right to do transaction related to cash
  - User has enough cash to withdraw</t>
    </r>
    <r>
      <rPr>
        <b/>
        <sz val="10"/>
        <rFont val="Arial"/>
        <family val="2"/>
      </rPr>
      <t xml:space="preserve">
</t>
    </r>
    <r>
      <rPr>
        <b/>
        <sz val="10"/>
        <color rgb="FF00B0F0"/>
        <rFont val="Arial"/>
        <family val="2"/>
      </rPr>
      <t>Total fee &lt;= Receive amount</t>
    </r>
    <r>
      <rPr>
        <b/>
        <sz val="10"/>
        <rFont val="Arial"/>
        <family val="2"/>
      </rPr>
      <t xml:space="preserve">
</t>
    </r>
    <r>
      <rPr>
        <sz val="10"/>
        <rFont val="Arial"/>
        <family val="2"/>
      </rPr>
      <t xml:space="preserve">
1. Open "FX Transaction" screen
2. Choose Accounting type from Debit
3. Input Debit amount
4. Choose Accounting type from Credit
5. Input Credit amount
6. Add fee
7. Click accpet</t>
    </r>
  </si>
  <si>
    <r>
      <rPr>
        <b/>
        <sz val="10"/>
        <rFont val="Arial"/>
        <family val="2"/>
      </rPr>
      <t>Debit side</t>
    </r>
    <r>
      <rPr>
        <sz val="10"/>
        <rFont val="Arial"/>
        <family val="2"/>
      </rPr>
      <t xml:space="preserve">
  - Accounting type: Cash
  - Debit amount &gt; 0
</t>
    </r>
    <r>
      <rPr>
        <b/>
        <sz val="10"/>
        <rFont val="Arial"/>
        <family val="2"/>
      </rPr>
      <t>Credit side</t>
    </r>
    <r>
      <rPr>
        <sz val="10"/>
        <rFont val="Arial"/>
        <family val="2"/>
      </rPr>
      <t xml:space="preserve">
  - Accounting type: Deposit
  - Credit amount &gt; 0
  - Deposit type: Current/ Saving
  - Deposit status: Normal
</t>
    </r>
    <r>
      <rPr>
        <b/>
        <sz val="10"/>
        <rFont val="Arial"/>
        <family val="2"/>
      </rPr>
      <t>Teller does this transaction</t>
    </r>
    <r>
      <rPr>
        <sz val="10"/>
        <rFont val="Arial"/>
        <family val="2"/>
      </rPr>
      <t xml:space="preserve">
  - User has right to do transaction related to cash
</t>
    </r>
    <r>
      <rPr>
        <b/>
        <sz val="10"/>
        <color rgb="FF00B0F0"/>
        <rFont val="Arial"/>
        <family val="2"/>
      </rPr>
      <t xml:space="preserve">Debit currency = Base currency &lt;&gt; Credit currency
</t>
    </r>
    <r>
      <rPr>
        <sz val="10"/>
        <rFont val="Arial"/>
        <family val="2"/>
      </rPr>
      <t xml:space="preserve">
1. Open "FX Transaction" screen
2. Choose Accounting type from Debit
3. Input Debit amount
4. Choose Accounting type from Credit
5. Input Account number
6. Input Credit amount
7. Click accpet</t>
    </r>
  </si>
  <si>
    <r>
      <rPr>
        <b/>
        <sz val="10"/>
        <rFont val="Arial"/>
        <family val="2"/>
      </rPr>
      <t>Debit side</t>
    </r>
    <r>
      <rPr>
        <sz val="10"/>
        <rFont val="Arial"/>
        <family val="2"/>
      </rPr>
      <t xml:space="preserve">
  - Accounting type: Cash
  - Debit amount &gt; 0
</t>
    </r>
    <r>
      <rPr>
        <b/>
        <sz val="10"/>
        <rFont val="Arial"/>
        <family val="2"/>
      </rPr>
      <t>Credit side</t>
    </r>
    <r>
      <rPr>
        <sz val="10"/>
        <rFont val="Arial"/>
        <family val="2"/>
      </rPr>
      <t xml:space="preserve">
  - Accounting type: Deposit
  - Credit amount &gt; 0
  - Deposit type: Current/ Saving
  - Deposit status: Normal
</t>
    </r>
    <r>
      <rPr>
        <b/>
        <sz val="10"/>
        <rFont val="Arial"/>
        <family val="2"/>
      </rPr>
      <t>Teller does this transaction</t>
    </r>
    <r>
      <rPr>
        <sz val="10"/>
        <rFont val="Arial"/>
        <family val="2"/>
      </rPr>
      <t xml:space="preserve">
  - User has right to do transaction related to cash
</t>
    </r>
    <r>
      <rPr>
        <b/>
        <sz val="10"/>
        <color rgb="FF00B0F0"/>
        <rFont val="Arial"/>
        <family val="2"/>
      </rPr>
      <t>Debit currency &lt;&gt; Credit currency = Base currency</t>
    </r>
    <r>
      <rPr>
        <b/>
        <sz val="10"/>
        <rFont val="Arial"/>
        <family val="2"/>
      </rPr>
      <t xml:space="preserve">
</t>
    </r>
    <r>
      <rPr>
        <sz val="10"/>
        <rFont val="Arial"/>
        <family val="2"/>
      </rPr>
      <t xml:space="preserve">
1. Open "FX Transaction" screen
2. Choose Accounting type from Debit
3. Input Debit amount
4. Choose Accounting type from Credit
5. Input Account number
6. Input Credit amount
7. Click accpet</t>
    </r>
  </si>
  <si>
    <r>
      <rPr>
        <b/>
        <sz val="10"/>
        <rFont val="Arial"/>
        <family val="2"/>
      </rPr>
      <t>Debit side</t>
    </r>
    <r>
      <rPr>
        <sz val="10"/>
        <rFont val="Arial"/>
        <family val="2"/>
      </rPr>
      <t xml:space="preserve">
  - Accounting type: Cash
  - Debit amount &gt; 0
</t>
    </r>
    <r>
      <rPr>
        <b/>
        <sz val="10"/>
        <rFont val="Arial"/>
        <family val="2"/>
      </rPr>
      <t>Credit side</t>
    </r>
    <r>
      <rPr>
        <sz val="10"/>
        <rFont val="Arial"/>
        <family val="2"/>
      </rPr>
      <t xml:space="preserve">
  - Accounting type: Deposit
  - Credit amount &gt; 0
  - Deposit type: Current/ Saving
  - Deposit status: Normal
</t>
    </r>
    <r>
      <rPr>
        <b/>
        <sz val="10"/>
        <rFont val="Arial"/>
        <family val="2"/>
      </rPr>
      <t>Teller does this transaction</t>
    </r>
    <r>
      <rPr>
        <sz val="10"/>
        <rFont val="Arial"/>
        <family val="2"/>
      </rPr>
      <t xml:space="preserve">
  - User has right to do transaction related to cash
</t>
    </r>
    <r>
      <rPr>
        <b/>
        <sz val="10"/>
        <color rgb="FF00B0F0"/>
        <rFont val="Arial"/>
        <family val="2"/>
      </rPr>
      <t>Debit currency &lt;&gt; Credit currency</t>
    </r>
    <r>
      <rPr>
        <b/>
        <sz val="10"/>
        <rFont val="Arial"/>
        <family val="2"/>
      </rPr>
      <t xml:space="preserve">
</t>
    </r>
    <r>
      <rPr>
        <sz val="10"/>
        <rFont val="Arial"/>
        <family val="2"/>
      </rPr>
      <t xml:space="preserve">
1. Open "FX Transaction" screen
2. Choose Accounting type from Debit
3. Input Debit amount
4. Choose Accounting type from Credit
5. Input Account number
6. Input Credit amount
7. Click accpet</t>
    </r>
  </si>
  <si>
    <r>
      <rPr>
        <b/>
        <sz val="10"/>
        <rFont val="Arial"/>
        <family val="2"/>
      </rPr>
      <t>Debit side</t>
    </r>
    <r>
      <rPr>
        <sz val="10"/>
        <rFont val="Arial"/>
        <family val="2"/>
      </rPr>
      <t xml:space="preserve">
  - Accounting type: Cash
  - Debit amount &gt; 0
</t>
    </r>
    <r>
      <rPr>
        <b/>
        <sz val="10"/>
        <rFont val="Arial"/>
        <family val="2"/>
      </rPr>
      <t>Credit side</t>
    </r>
    <r>
      <rPr>
        <sz val="10"/>
        <rFont val="Arial"/>
        <family val="2"/>
      </rPr>
      <t xml:space="preserve">
  - Accounting type: Deposit
  - Credit amount &gt; 0
  - Deposit type: Current/ Saving
  - Deposit status: Normal
</t>
    </r>
    <r>
      <rPr>
        <b/>
        <sz val="10"/>
        <rFont val="Arial"/>
        <family val="2"/>
      </rPr>
      <t>Teller does this transaction</t>
    </r>
    <r>
      <rPr>
        <sz val="10"/>
        <rFont val="Arial"/>
        <family val="2"/>
      </rPr>
      <t xml:space="preserve">
  - User has right to do transaction related to cash</t>
    </r>
    <r>
      <rPr>
        <b/>
        <sz val="10"/>
        <rFont val="Arial"/>
        <family val="2"/>
      </rPr>
      <t xml:space="preserve">
</t>
    </r>
    <r>
      <rPr>
        <b/>
        <sz val="10"/>
        <color rgb="FF00B0F0"/>
        <rFont val="Arial"/>
        <family val="2"/>
      </rPr>
      <t>Total fee &lt;= Receive amount</t>
    </r>
    <r>
      <rPr>
        <b/>
        <sz val="10"/>
        <rFont val="Arial"/>
        <family val="2"/>
      </rPr>
      <t xml:space="preserve">
</t>
    </r>
    <r>
      <rPr>
        <sz val="10"/>
        <rFont val="Arial"/>
        <family val="2"/>
      </rPr>
      <t xml:space="preserve">
1. Open "FX Transaction" screen
2. Choose Accounting type from Debit
3. Input Debit amount
4. Choose Accounting type from Credit
5. Input Account number
6. Input Credit amount
7. Add fee
8. Click accpet</t>
    </r>
  </si>
  <si>
    <r>
      <rPr>
        <b/>
        <sz val="10"/>
        <rFont val="Arial"/>
        <family val="2"/>
      </rPr>
      <t>Debit side</t>
    </r>
    <r>
      <rPr>
        <sz val="10"/>
        <rFont val="Arial"/>
        <family val="2"/>
      </rPr>
      <t xml:space="preserve">
  - Accounting type: Cash
  - Debit amount &gt; 0
</t>
    </r>
    <r>
      <rPr>
        <b/>
        <sz val="10"/>
        <rFont val="Arial"/>
        <family val="2"/>
      </rPr>
      <t xml:space="preserve">Credit side
</t>
    </r>
    <r>
      <rPr>
        <sz val="10"/>
        <rFont val="Arial"/>
        <family val="2"/>
      </rPr>
      <t xml:space="preserve">  - Accounting type: Accounting
  - Credit amount &gt; 0
  - Posting side: Credit/ Both
  - Account level: 9
  - Account group &lt;&gt; Cash
  - Direct posting: Yes
</t>
    </r>
    <r>
      <rPr>
        <b/>
        <sz val="10"/>
        <rFont val="Arial"/>
        <family val="2"/>
      </rPr>
      <t>Teller does this transaction</t>
    </r>
    <r>
      <rPr>
        <sz val="10"/>
        <rFont val="Arial"/>
        <family val="2"/>
      </rPr>
      <t xml:space="preserve">
  - User has right to do transaction related to cash
</t>
    </r>
    <r>
      <rPr>
        <b/>
        <sz val="10"/>
        <color rgb="FF00B0F0"/>
        <rFont val="Arial"/>
        <family val="2"/>
      </rPr>
      <t xml:space="preserve">Debit currency = Credit currency = Base currency </t>
    </r>
    <r>
      <rPr>
        <b/>
        <sz val="10"/>
        <rFont val="Arial"/>
        <family val="2"/>
      </rPr>
      <t xml:space="preserve">
</t>
    </r>
    <r>
      <rPr>
        <sz val="10"/>
        <rFont val="Arial"/>
        <family val="2"/>
      </rPr>
      <t xml:space="preserve">
1. Open "FX Transaction" screen
2. Choose Accounting type from Debit
3. Input Debit amount
4. Choose Accounting type from Credit
5. Input Account number
6. Input Credit amount
7. Click accpet</t>
    </r>
  </si>
  <si>
    <r>
      <rPr>
        <b/>
        <sz val="10"/>
        <rFont val="Arial"/>
        <family val="2"/>
      </rPr>
      <t>Debit side</t>
    </r>
    <r>
      <rPr>
        <sz val="10"/>
        <rFont val="Arial"/>
        <family val="2"/>
      </rPr>
      <t xml:space="preserve">
  - Accounting type: Cash
  - Debit amount &gt; 0
</t>
    </r>
    <r>
      <rPr>
        <b/>
        <sz val="10"/>
        <rFont val="Arial"/>
        <family val="2"/>
      </rPr>
      <t>Credit side</t>
    </r>
    <r>
      <rPr>
        <sz val="10"/>
        <rFont val="Arial"/>
        <family val="2"/>
      </rPr>
      <t xml:space="preserve">
  - Accounting type: Accounting
  - Credit amount &gt; 0
  - Posting side: Credit/ Both
  - Account level: 9
  - Account group &lt;&gt; Cash
  - Direct posting: Yes
</t>
    </r>
    <r>
      <rPr>
        <b/>
        <sz val="10"/>
        <rFont val="Arial"/>
        <family val="2"/>
      </rPr>
      <t>Teller does this transaction</t>
    </r>
    <r>
      <rPr>
        <sz val="10"/>
        <rFont val="Arial"/>
        <family val="2"/>
      </rPr>
      <t xml:space="preserve">
  - User has right to do transaction related to cash
</t>
    </r>
    <r>
      <rPr>
        <b/>
        <sz val="10"/>
        <color rgb="FF00B0F0"/>
        <rFont val="Arial"/>
        <family val="2"/>
      </rPr>
      <t>Debit currency = Base currency &lt;&gt; Credit currency</t>
    </r>
    <r>
      <rPr>
        <b/>
        <sz val="10"/>
        <rFont val="Arial"/>
        <family val="2"/>
      </rPr>
      <t xml:space="preserve">
</t>
    </r>
    <r>
      <rPr>
        <sz val="10"/>
        <rFont val="Arial"/>
        <family val="2"/>
      </rPr>
      <t xml:space="preserve">
1. Open "FX Transaction" screen
2. Choose Accounting type from Debit
3. Input Debit amount
4. Choose Accounting type from Credit
5. Input Account number
6. Input Credit amount
7. Click accpet</t>
    </r>
  </si>
  <si>
    <r>
      <rPr>
        <b/>
        <sz val="10"/>
        <rFont val="Arial"/>
        <family val="2"/>
      </rPr>
      <t>Debit side</t>
    </r>
    <r>
      <rPr>
        <sz val="10"/>
        <rFont val="Arial"/>
        <family val="2"/>
      </rPr>
      <t xml:space="preserve">
  - Accounting type: Cash
  - Debit amount &gt; 0
</t>
    </r>
    <r>
      <rPr>
        <b/>
        <sz val="10"/>
        <rFont val="Arial"/>
        <family val="2"/>
      </rPr>
      <t>Credit side</t>
    </r>
    <r>
      <rPr>
        <sz val="10"/>
        <rFont val="Arial"/>
        <family val="2"/>
      </rPr>
      <t xml:space="preserve">
  - Accounting type: Accounting
  - Credit amount &gt; 0
  - Posting side: Credit/ Both
  - Account level: 9
  - Account group &lt;&gt; Cash
  - Direct posting: Yes
</t>
    </r>
    <r>
      <rPr>
        <b/>
        <sz val="10"/>
        <rFont val="Arial"/>
        <family val="2"/>
      </rPr>
      <t>Teller does this transaction</t>
    </r>
    <r>
      <rPr>
        <sz val="10"/>
        <rFont val="Arial"/>
        <family val="2"/>
      </rPr>
      <t xml:space="preserve">
  - User has right to do transaction related to cash
</t>
    </r>
    <r>
      <rPr>
        <b/>
        <sz val="10"/>
        <color rgb="FF00B0F0"/>
        <rFont val="Arial"/>
        <family val="2"/>
      </rPr>
      <t>Debit currency &lt;&gt; Credit currency = Base currency</t>
    </r>
    <r>
      <rPr>
        <b/>
        <sz val="10"/>
        <rFont val="Arial"/>
        <family val="2"/>
      </rPr>
      <t xml:space="preserve">
</t>
    </r>
    <r>
      <rPr>
        <sz val="10"/>
        <rFont val="Arial"/>
        <family val="2"/>
      </rPr>
      <t xml:space="preserve">
1. Open "FX Transaction" screen
2. Choose Accounting type from Debit
3. Input Debit amount
4. Choose Accounting type from Credit
5. Input Account number
6. Input Credit amount
7. Click accpet</t>
    </r>
  </si>
  <si>
    <r>
      <rPr>
        <b/>
        <sz val="10"/>
        <rFont val="Arial"/>
        <family val="2"/>
      </rPr>
      <t>Debit side</t>
    </r>
    <r>
      <rPr>
        <sz val="10"/>
        <rFont val="Arial"/>
        <family val="2"/>
      </rPr>
      <t xml:space="preserve">
  - Accounting type: Cash
  - Debit amount &gt; 0
</t>
    </r>
    <r>
      <rPr>
        <b/>
        <sz val="10"/>
        <rFont val="Arial"/>
        <family val="2"/>
      </rPr>
      <t>Credit side</t>
    </r>
    <r>
      <rPr>
        <sz val="10"/>
        <rFont val="Arial"/>
        <family val="2"/>
      </rPr>
      <t xml:space="preserve">
  - Accounting type: Accounting
  - Credit amount &gt; 0
  - Posting side: Credit/ Both
  - Account level: 9
  - Account group &lt;&gt; Cash
  - Direct posting: Yes
</t>
    </r>
    <r>
      <rPr>
        <b/>
        <sz val="10"/>
        <rFont val="Arial"/>
        <family val="2"/>
      </rPr>
      <t>Teller does this transaction</t>
    </r>
    <r>
      <rPr>
        <sz val="10"/>
        <rFont val="Arial"/>
        <family val="2"/>
      </rPr>
      <t xml:space="preserve">
  - User has right to do transaction related to cash
</t>
    </r>
    <r>
      <rPr>
        <b/>
        <sz val="10"/>
        <color rgb="FF00B0F0"/>
        <rFont val="Arial"/>
        <family val="2"/>
      </rPr>
      <t>Debit currency &lt;&gt; Credit currency</t>
    </r>
    <r>
      <rPr>
        <b/>
        <sz val="10"/>
        <rFont val="Arial"/>
        <family val="2"/>
      </rPr>
      <t xml:space="preserve">
</t>
    </r>
    <r>
      <rPr>
        <sz val="10"/>
        <rFont val="Arial"/>
        <family val="2"/>
      </rPr>
      <t xml:space="preserve">
1. Open "FX Transaction" screen
2. Choose Accounting type from Debit
3. Input Debit amount
4. Choose Accounting type from Credit
5. Input Account number
6. Input Credit amount
7. Click accpet</t>
    </r>
  </si>
  <si>
    <r>
      <rPr>
        <b/>
        <sz val="10"/>
        <rFont val="Arial"/>
        <family val="2"/>
      </rPr>
      <t>Debit side</t>
    </r>
    <r>
      <rPr>
        <sz val="10"/>
        <rFont val="Arial"/>
        <family val="2"/>
      </rPr>
      <t xml:space="preserve">
  - Accounting type: Cash
  - Debit amount &gt; 0
</t>
    </r>
    <r>
      <rPr>
        <b/>
        <sz val="10"/>
        <rFont val="Arial"/>
        <family val="2"/>
      </rPr>
      <t>Credit side</t>
    </r>
    <r>
      <rPr>
        <sz val="10"/>
        <rFont val="Arial"/>
        <family val="2"/>
      </rPr>
      <t xml:space="preserve">
  - Accounting type: Accounting
  - Credit amount &gt; 0
  - Posting side: Credit/ Both
  - Account level: 9
  - Account group &lt;&gt; Cash
  - Direct posting: Yes
</t>
    </r>
    <r>
      <rPr>
        <b/>
        <sz val="10"/>
        <rFont val="Arial"/>
        <family val="2"/>
      </rPr>
      <t>Teller does this transaction</t>
    </r>
    <r>
      <rPr>
        <sz val="10"/>
        <rFont val="Arial"/>
        <family val="2"/>
      </rPr>
      <t xml:space="preserve">
  - User has right to do transaction related to cash</t>
    </r>
    <r>
      <rPr>
        <b/>
        <sz val="10"/>
        <rFont val="Arial"/>
        <family val="2"/>
      </rPr>
      <t xml:space="preserve">
</t>
    </r>
    <r>
      <rPr>
        <b/>
        <sz val="10"/>
        <color rgb="FF00B0F0"/>
        <rFont val="Arial"/>
        <family val="2"/>
      </rPr>
      <t>Total fee &lt;= Receive amount</t>
    </r>
    <r>
      <rPr>
        <b/>
        <sz val="10"/>
        <rFont val="Arial"/>
        <family val="2"/>
      </rPr>
      <t xml:space="preserve">
</t>
    </r>
    <r>
      <rPr>
        <sz val="10"/>
        <rFont val="Arial"/>
        <family val="2"/>
      </rPr>
      <t xml:space="preserve">
1. Open "FX Transaction" screen
2. Choose Accounting type from Debit
3. Input Debit amount
4. Choose Accounting type from Credit
5. Input Account number
6. Input Credit amount
7. Add fee
8. Click accpet</t>
    </r>
  </si>
  <si>
    <t>FX Transaction (F2)</t>
  </si>
  <si>
    <t>Cash flow</t>
  </si>
  <si>
    <t>CSH_MOV: Internal cash movement</t>
  </si>
  <si>
    <t>CSH_DNM: Cash denomination</t>
  </si>
  <si>
    <t>CSH_BMOV: Internal branch cash movement</t>
  </si>
  <si>
    <t>System shows popup approve</t>
  </si>
  <si>
    <t>To teller code is empty</t>
  </si>
  <si>
    <t>To teller code does not exist</t>
  </si>
  <si>
    <t>Amount &lt;= 0</t>
  </si>
  <si>
    <t>Approver = Receiver</t>
  </si>
  <si>
    <t>Approver &lt;&gt; Receiver</t>
  </si>
  <si>
    <r>
      <rPr>
        <b/>
        <sz val="10"/>
        <rFont val="Arial"/>
        <family val="2"/>
      </rPr>
      <t>From teller</t>
    </r>
    <r>
      <rPr>
        <sz val="10"/>
        <rFont val="Arial"/>
        <family val="2"/>
      </rPr>
      <t xml:space="preserve">
  - Position: Cashier
  - Account status: Active
  - 0 &lt; Amount &lt;= Closing balance
</t>
    </r>
    <r>
      <rPr>
        <b/>
        <sz val="10"/>
        <rFont val="Arial"/>
        <family val="2"/>
      </rPr>
      <t>To teller code</t>
    </r>
    <r>
      <rPr>
        <sz val="10"/>
        <rFont val="Arial"/>
        <family val="2"/>
      </rPr>
      <t xml:space="preserve">
  - Position: Chief Cashier
  - Account status: Active
  - Branch of "To teller" = Branch of "From teller"
1. Open "Internal Cash Movement" screen
2. Choose To teller code
3. Input Amount
4. Choose currency 
5. Click accept</t>
    </r>
  </si>
  <si>
    <r>
      <rPr>
        <b/>
        <sz val="10"/>
        <rFont val="Arial"/>
        <family val="2"/>
      </rPr>
      <t>From teller</t>
    </r>
    <r>
      <rPr>
        <sz val="10"/>
        <rFont val="Arial"/>
        <family val="2"/>
      </rPr>
      <t xml:space="preserve">
</t>
    </r>
    <r>
      <rPr>
        <sz val="10"/>
        <color rgb="FFFF0000"/>
        <rFont val="Arial"/>
        <family val="2"/>
      </rPr>
      <t xml:space="preserve">  - Position: Chief Cashier</t>
    </r>
    <r>
      <rPr>
        <sz val="10"/>
        <rFont val="Arial"/>
        <family val="2"/>
      </rPr>
      <t xml:space="preserve">
  - Account status: Active
  - 0 &lt; Amount &lt;= Closing balance
</t>
    </r>
    <r>
      <rPr>
        <b/>
        <sz val="10"/>
        <rFont val="Arial"/>
        <family val="2"/>
      </rPr>
      <t>To teller code</t>
    </r>
    <r>
      <rPr>
        <sz val="10"/>
        <rFont val="Arial"/>
        <family val="2"/>
      </rPr>
      <t xml:space="preserve">
</t>
    </r>
    <r>
      <rPr>
        <sz val="10"/>
        <color rgb="FFFF0000"/>
        <rFont val="Arial"/>
        <family val="2"/>
      </rPr>
      <t xml:space="preserve">  - Position: Chief Cashier</t>
    </r>
    <r>
      <rPr>
        <sz val="10"/>
        <rFont val="Arial"/>
        <family val="2"/>
      </rPr>
      <t xml:space="preserve">
  - Account status: Active
  - Branch of "To teller" = Branch of "From teller"</t>
    </r>
  </si>
  <si>
    <r>
      <rPr>
        <b/>
        <sz val="10"/>
        <rFont val="Arial"/>
        <family val="2"/>
      </rPr>
      <t>From teller</t>
    </r>
    <r>
      <rPr>
        <sz val="10"/>
        <rFont val="Arial"/>
        <family val="2"/>
      </rPr>
      <t xml:space="preserve">
</t>
    </r>
    <r>
      <rPr>
        <sz val="10"/>
        <color rgb="FFFF0000"/>
        <rFont val="Arial"/>
        <family val="2"/>
      </rPr>
      <t xml:space="preserve">  - Position: Cashier and Chief Cashier</t>
    </r>
    <r>
      <rPr>
        <sz val="10"/>
        <rFont val="Arial"/>
        <family val="2"/>
      </rPr>
      <t xml:space="preserve">
  - Account status: Active
  - 0 &lt; Amount &lt;= Closing balance
</t>
    </r>
    <r>
      <rPr>
        <b/>
        <sz val="10"/>
        <rFont val="Arial"/>
        <family val="2"/>
      </rPr>
      <t>To teller code</t>
    </r>
    <r>
      <rPr>
        <sz val="10"/>
        <rFont val="Arial"/>
        <family val="2"/>
      </rPr>
      <t xml:space="preserve">
</t>
    </r>
    <r>
      <rPr>
        <sz val="10"/>
        <color rgb="FFFF0000"/>
        <rFont val="Arial"/>
        <family val="2"/>
      </rPr>
      <t xml:space="preserve">  - Position: Chief Cashier</t>
    </r>
    <r>
      <rPr>
        <sz val="10"/>
        <rFont val="Arial"/>
        <family val="2"/>
      </rPr>
      <t xml:space="preserve">
  - Account status: Active
  - Branch of "To teller" = Branch of "From teller"</t>
    </r>
  </si>
  <si>
    <r>
      <rPr>
        <b/>
        <sz val="10"/>
        <rFont val="Arial"/>
        <family val="2"/>
      </rPr>
      <t>From teller</t>
    </r>
    <r>
      <rPr>
        <sz val="10"/>
        <rFont val="Arial"/>
        <family val="2"/>
      </rPr>
      <t xml:space="preserve">
  - Position: Cashier
</t>
    </r>
    <r>
      <rPr>
        <sz val="10"/>
        <color rgb="FFFF0000"/>
        <rFont val="Arial"/>
        <family val="2"/>
      </rPr>
      <t xml:space="preserve">  - Account status &lt;&gt; Active</t>
    </r>
    <r>
      <rPr>
        <sz val="10"/>
        <rFont val="Arial"/>
        <family val="2"/>
      </rPr>
      <t xml:space="preserve">
  - 0 &lt; Amount &lt;= Closing balance
</t>
    </r>
    <r>
      <rPr>
        <b/>
        <sz val="10"/>
        <rFont val="Arial"/>
        <family val="2"/>
      </rPr>
      <t>To teller code</t>
    </r>
    <r>
      <rPr>
        <sz val="10"/>
        <rFont val="Arial"/>
        <family val="2"/>
      </rPr>
      <t xml:space="preserve">
  - Position: Chief Cashier
  - Account status: Active
  - Branch of "To teller" = Branch of "From teller"</t>
    </r>
  </si>
  <si>
    <r>
      <rPr>
        <b/>
        <sz val="10"/>
        <rFont val="Arial"/>
        <family val="2"/>
      </rPr>
      <t>From teller</t>
    </r>
    <r>
      <rPr>
        <sz val="10"/>
        <rFont val="Arial"/>
        <family val="2"/>
      </rPr>
      <t xml:space="preserve">
  - Position: Cashier
  - Account status: Active
</t>
    </r>
    <r>
      <rPr>
        <sz val="10"/>
        <color rgb="FFFF0000"/>
        <rFont val="Arial"/>
        <family val="2"/>
      </rPr>
      <t xml:space="preserve">  - Amount &gt; Closing balance</t>
    </r>
    <r>
      <rPr>
        <sz val="10"/>
        <rFont val="Arial"/>
        <family val="2"/>
      </rPr>
      <t xml:space="preserve">
</t>
    </r>
    <r>
      <rPr>
        <b/>
        <sz val="10"/>
        <rFont val="Arial"/>
        <family val="2"/>
      </rPr>
      <t>To teller code</t>
    </r>
    <r>
      <rPr>
        <sz val="10"/>
        <rFont val="Arial"/>
        <family val="2"/>
      </rPr>
      <t xml:space="preserve">
  - Position: Chief Cashier
  - Account status: Active
  - Branch of "To teller" = Branch of "From teller"</t>
    </r>
  </si>
  <si>
    <r>
      <rPr>
        <b/>
        <sz val="10"/>
        <rFont val="Arial"/>
        <family val="2"/>
      </rPr>
      <t>From teller</t>
    </r>
    <r>
      <rPr>
        <sz val="10"/>
        <rFont val="Arial"/>
        <family val="2"/>
      </rPr>
      <t xml:space="preserve">
</t>
    </r>
    <r>
      <rPr>
        <sz val="10"/>
        <color rgb="FFFF0000"/>
        <rFont val="Arial"/>
        <family val="2"/>
      </rPr>
      <t xml:space="preserve">  - Position: Cashier</t>
    </r>
    <r>
      <rPr>
        <sz val="10"/>
        <rFont val="Arial"/>
        <family val="2"/>
      </rPr>
      <t xml:space="preserve">
  - Account status: Active
  - 0 &lt; Amount &lt;= Closing balance
</t>
    </r>
    <r>
      <rPr>
        <b/>
        <sz val="10"/>
        <rFont val="Arial"/>
        <family val="2"/>
      </rPr>
      <t>To teller code</t>
    </r>
    <r>
      <rPr>
        <sz val="10"/>
        <rFont val="Arial"/>
        <family val="2"/>
      </rPr>
      <t xml:space="preserve">
</t>
    </r>
    <r>
      <rPr>
        <sz val="10"/>
        <color rgb="FFFF0000"/>
        <rFont val="Arial"/>
        <family val="2"/>
      </rPr>
      <t xml:space="preserve">  - Position: Cashier</t>
    </r>
    <r>
      <rPr>
        <sz val="10"/>
        <rFont val="Arial"/>
        <family val="2"/>
      </rPr>
      <t xml:space="preserve">
  - Account status: Active
  - Branch of "To teller" = Branch of "From teller"</t>
    </r>
  </si>
  <si>
    <r>
      <rPr>
        <b/>
        <sz val="10"/>
        <rFont val="Arial"/>
        <family val="2"/>
      </rPr>
      <t>From teller</t>
    </r>
    <r>
      <rPr>
        <sz val="10"/>
        <rFont val="Arial"/>
        <family val="2"/>
      </rPr>
      <t xml:space="preserve">
  - Position: Cashier
  - Account status: Active
  - 0 &lt; Amount &lt;= Closing balance
</t>
    </r>
    <r>
      <rPr>
        <b/>
        <sz val="10"/>
        <rFont val="Arial"/>
        <family val="2"/>
      </rPr>
      <t>To teller code</t>
    </r>
    <r>
      <rPr>
        <sz val="10"/>
        <rFont val="Arial"/>
        <family val="2"/>
      </rPr>
      <t xml:space="preserve">
  - Position: Chief Cashier
</t>
    </r>
    <r>
      <rPr>
        <sz val="10"/>
        <color rgb="FFFF0000"/>
        <rFont val="Arial"/>
        <family val="2"/>
      </rPr>
      <t xml:space="preserve">  - Account status &lt;&gt; Active</t>
    </r>
    <r>
      <rPr>
        <sz val="10"/>
        <rFont val="Arial"/>
        <family val="2"/>
      </rPr>
      <t xml:space="preserve">
  - Branch of "To teller" = Branch of "From teller"</t>
    </r>
  </si>
  <si>
    <r>
      <rPr>
        <b/>
        <sz val="10"/>
        <rFont val="Arial"/>
        <family val="2"/>
      </rPr>
      <t>From teller</t>
    </r>
    <r>
      <rPr>
        <sz val="10"/>
        <rFont val="Arial"/>
        <family val="2"/>
      </rPr>
      <t xml:space="preserve">
  - Position: Cashier
  - Account status: Active
  - 0 &lt; Amount &lt;= Closing balance
</t>
    </r>
    <r>
      <rPr>
        <b/>
        <sz val="10"/>
        <rFont val="Arial"/>
        <family val="2"/>
      </rPr>
      <t>To teller code</t>
    </r>
    <r>
      <rPr>
        <sz val="10"/>
        <rFont val="Arial"/>
        <family val="2"/>
      </rPr>
      <t xml:space="preserve">
  - Position: Chief Cashier
  - Account status: Active
</t>
    </r>
    <r>
      <rPr>
        <sz val="10"/>
        <color rgb="FFFF0000"/>
        <rFont val="Arial"/>
        <family val="2"/>
      </rPr>
      <t xml:space="preserve">  - Branch of "To teller" &lt;&gt; Branch of "From teller"</t>
    </r>
  </si>
  <si>
    <r>
      <rPr>
        <b/>
        <sz val="10"/>
        <rFont val="Arial"/>
        <family val="2"/>
      </rPr>
      <t>From teller</t>
    </r>
    <r>
      <rPr>
        <sz val="10"/>
        <rFont val="Arial"/>
        <family val="2"/>
      </rPr>
      <t xml:space="preserve">
  - Position: Cashier
  - Account status: Active
  - 0 &lt; Amount &lt;= Closing balance
</t>
    </r>
    <r>
      <rPr>
        <b/>
        <sz val="10"/>
        <rFont val="Arial"/>
        <family val="2"/>
      </rPr>
      <t>To teller code</t>
    </r>
    <r>
      <rPr>
        <sz val="10"/>
        <rFont val="Arial"/>
        <family val="2"/>
      </rPr>
      <t xml:space="preserve">
  - Position: Chief Cashier
  - Account status: Active
  - Branch of "To teller" = Branch of "From teller"</t>
    </r>
  </si>
  <si>
    <r>
      <rPr>
        <b/>
        <sz val="10"/>
        <rFont val="Arial"/>
        <family val="2"/>
      </rPr>
      <t>From teller</t>
    </r>
    <r>
      <rPr>
        <sz val="10"/>
        <rFont val="Arial"/>
        <family val="2"/>
      </rPr>
      <t xml:space="preserve">
  - Position Chief Cashier
  - Account status: Active
  - 0 &lt; Amount &lt;= Closing balance
</t>
    </r>
    <r>
      <rPr>
        <b/>
        <sz val="10"/>
        <rFont val="Arial"/>
        <family val="2"/>
      </rPr>
      <t>To teller code</t>
    </r>
    <r>
      <rPr>
        <sz val="10"/>
        <rFont val="Arial"/>
        <family val="2"/>
      </rPr>
      <t xml:space="preserve">
  - Position: Chief Cashier
  - Account status: Active
  - Branch of "To teller" &lt;&gt; Branch of "From teller"
1. Open "Internal Branch Cash Movement" screen
2. Choose Send to branch
3. Choose To teller code
4. Input Amount
5. Choose currency 
6. Click accept</t>
    </r>
  </si>
  <si>
    <r>
      <rPr>
        <b/>
        <sz val="10"/>
        <rFont val="Arial"/>
        <family val="2"/>
      </rPr>
      <t>From teller</t>
    </r>
    <r>
      <rPr>
        <sz val="10"/>
        <rFont val="Arial"/>
        <family val="2"/>
      </rPr>
      <t xml:space="preserve">
  - Position: Chief Cashier
  - Account status: Active
  - 0 &lt; Amount &lt;= Closing balance
</t>
    </r>
    <r>
      <rPr>
        <b/>
        <sz val="10"/>
        <rFont val="Arial"/>
        <family val="2"/>
      </rPr>
      <t>To teller code</t>
    </r>
    <r>
      <rPr>
        <sz val="10"/>
        <rFont val="Arial"/>
        <family val="2"/>
      </rPr>
      <t xml:space="preserve">
  - Position: Chief Cashier
  - Account status: Active
  - Branch of "To teller" &lt;&gt; Branch of "From teller"</t>
    </r>
  </si>
  <si>
    <r>
      <rPr>
        <b/>
        <sz val="10"/>
        <rFont val="Arial"/>
        <family val="2"/>
      </rPr>
      <t>From teller</t>
    </r>
    <r>
      <rPr>
        <sz val="10"/>
        <rFont val="Arial"/>
        <family val="2"/>
      </rPr>
      <t xml:space="preserve">
</t>
    </r>
    <r>
      <rPr>
        <sz val="10"/>
        <color rgb="FFFF0000"/>
        <rFont val="Arial"/>
        <family val="2"/>
      </rPr>
      <t xml:space="preserve">  - Position &lt;&gt; Chief Cashier
</t>
    </r>
    <r>
      <rPr>
        <sz val="10"/>
        <rFont val="Arial"/>
        <family val="2"/>
      </rPr>
      <t xml:space="preserve">  - Account status: Active
  - 0 &lt; Amount &lt;= Closing balance
</t>
    </r>
    <r>
      <rPr>
        <b/>
        <sz val="10"/>
        <rFont val="Arial"/>
        <family val="2"/>
      </rPr>
      <t>To teller code</t>
    </r>
    <r>
      <rPr>
        <sz val="10"/>
        <rFont val="Arial"/>
        <family val="2"/>
      </rPr>
      <t xml:space="preserve">
  - Position: Chief Cashier
  - Account status: Active
  - Branch of "To teller" &lt;&gt; Branch of "From teller"</t>
    </r>
  </si>
  <si>
    <r>
      <rPr>
        <b/>
        <sz val="10"/>
        <rFont val="Arial"/>
        <family val="2"/>
      </rPr>
      <t>From teller</t>
    </r>
    <r>
      <rPr>
        <sz val="10"/>
        <rFont val="Arial"/>
        <family val="2"/>
      </rPr>
      <t xml:space="preserve">
  - Position: Chief Cashier
</t>
    </r>
    <r>
      <rPr>
        <sz val="10"/>
        <color rgb="FFFF0000"/>
        <rFont val="Arial"/>
        <family val="2"/>
      </rPr>
      <t xml:space="preserve">  - Account status &lt;&gt; Active</t>
    </r>
    <r>
      <rPr>
        <sz val="10"/>
        <rFont val="Arial"/>
        <family val="2"/>
      </rPr>
      <t xml:space="preserve">
  - 0 &lt; Amount &lt;= Closing balance
</t>
    </r>
    <r>
      <rPr>
        <b/>
        <sz val="10"/>
        <rFont val="Arial"/>
        <family val="2"/>
      </rPr>
      <t>To teller code</t>
    </r>
    <r>
      <rPr>
        <sz val="10"/>
        <rFont val="Arial"/>
        <family val="2"/>
      </rPr>
      <t xml:space="preserve">
  - Position: Chief Cashier
  - Account status: Active
  - Branch of "To teller" &lt;&gt; Branch of "From teller"</t>
    </r>
  </si>
  <si>
    <r>
      <rPr>
        <b/>
        <sz val="10"/>
        <rFont val="Arial"/>
        <family val="2"/>
      </rPr>
      <t>From teller</t>
    </r>
    <r>
      <rPr>
        <sz val="10"/>
        <rFont val="Arial"/>
        <family val="2"/>
      </rPr>
      <t xml:space="preserve">
  - Position: Chief Cashier
  - Account status: Active
</t>
    </r>
    <r>
      <rPr>
        <sz val="10"/>
        <color rgb="FFFF0000"/>
        <rFont val="Arial"/>
        <family val="2"/>
      </rPr>
      <t xml:space="preserve">  - Amount &gt; Closing balance</t>
    </r>
    <r>
      <rPr>
        <sz val="10"/>
        <rFont val="Arial"/>
        <family val="2"/>
      </rPr>
      <t xml:space="preserve">
</t>
    </r>
    <r>
      <rPr>
        <b/>
        <sz val="10"/>
        <rFont val="Arial"/>
        <family val="2"/>
      </rPr>
      <t>To teller code</t>
    </r>
    <r>
      <rPr>
        <sz val="10"/>
        <rFont val="Arial"/>
        <family val="2"/>
      </rPr>
      <t xml:space="preserve">
  - Position: Chief Cashier
  - Account status: Active
  - Branch of "To teller" &lt;&gt; Branch of "From teller"</t>
    </r>
  </si>
  <si>
    <r>
      <rPr>
        <b/>
        <sz val="10"/>
        <rFont val="Arial"/>
        <family val="2"/>
      </rPr>
      <t>From teller</t>
    </r>
    <r>
      <rPr>
        <sz val="10"/>
        <rFont val="Arial"/>
        <family val="2"/>
      </rPr>
      <t xml:space="preserve">
  - Position: Chief Cashier
  - Account status: Active
  - 0 &lt; Amount &lt;= Closing balance
</t>
    </r>
    <r>
      <rPr>
        <b/>
        <sz val="10"/>
        <rFont val="Arial"/>
        <family val="2"/>
      </rPr>
      <t>To teller code</t>
    </r>
    <r>
      <rPr>
        <sz val="10"/>
        <rFont val="Arial"/>
        <family val="2"/>
      </rPr>
      <t xml:space="preserve">
</t>
    </r>
    <r>
      <rPr>
        <sz val="10"/>
        <color rgb="FFFF0000"/>
        <rFont val="Arial"/>
        <family val="2"/>
      </rPr>
      <t xml:space="preserve">  - Position &lt;&gt; Chief Cashier</t>
    </r>
    <r>
      <rPr>
        <sz val="10"/>
        <rFont val="Arial"/>
        <family val="2"/>
      </rPr>
      <t xml:space="preserve">
  - Account status: Active
  - Branch of "To teller" &lt;&gt; Branch of "From teller"</t>
    </r>
  </si>
  <si>
    <r>
      <rPr>
        <b/>
        <sz val="10"/>
        <rFont val="Arial"/>
        <family val="2"/>
      </rPr>
      <t>From teller</t>
    </r>
    <r>
      <rPr>
        <sz val="10"/>
        <rFont val="Arial"/>
        <family val="2"/>
      </rPr>
      <t xml:space="preserve">
  - Position: Chief Cashier
  - Account status: Active
  - 0 &lt; Amount &lt;= Closing balance
</t>
    </r>
    <r>
      <rPr>
        <b/>
        <sz val="10"/>
        <rFont val="Arial"/>
        <family val="2"/>
      </rPr>
      <t>To teller code</t>
    </r>
    <r>
      <rPr>
        <sz val="10"/>
        <rFont val="Arial"/>
        <family val="2"/>
      </rPr>
      <t xml:space="preserve">
  - Position: Chief Cashier
</t>
    </r>
    <r>
      <rPr>
        <sz val="10"/>
        <color rgb="FFFF0000"/>
        <rFont val="Arial"/>
        <family val="2"/>
      </rPr>
      <t xml:space="preserve">  - Account status &lt;&gt; Active</t>
    </r>
    <r>
      <rPr>
        <sz val="10"/>
        <rFont val="Arial"/>
        <family val="2"/>
      </rPr>
      <t xml:space="preserve">
  - Branch of "To teller" &lt;&gt; Branch of "From teller"</t>
    </r>
  </si>
  <si>
    <r>
      <rPr>
        <b/>
        <sz val="10"/>
        <rFont val="Arial"/>
        <family val="2"/>
      </rPr>
      <t>From teller</t>
    </r>
    <r>
      <rPr>
        <sz val="10"/>
        <rFont val="Arial"/>
        <family val="2"/>
      </rPr>
      <t xml:space="preserve">
  - Position: Chief Cashier
  - Account status: Active
  - 0 &lt; Amount &lt;= Closing balance
</t>
    </r>
    <r>
      <rPr>
        <b/>
        <sz val="10"/>
        <rFont val="Arial"/>
        <family val="2"/>
      </rPr>
      <t>To teller code</t>
    </r>
    <r>
      <rPr>
        <sz val="10"/>
        <rFont val="Arial"/>
        <family val="2"/>
      </rPr>
      <t xml:space="preserve">
  - Position: Chief Cashier
  - Account status: Active
</t>
    </r>
    <r>
      <rPr>
        <sz val="10"/>
        <color rgb="FFFF0000"/>
        <rFont val="Arial"/>
        <family val="2"/>
      </rPr>
      <t xml:space="preserve">  - Branch of "To teller" = Branch of "From teller"</t>
    </r>
  </si>
  <si>
    <r>
      <rPr>
        <sz val="10"/>
        <color rgb="FF00B0F0"/>
        <rFont val="Arial"/>
        <family val="2"/>
      </rPr>
      <t>Remaining cash balance &gt; 0</t>
    </r>
    <r>
      <rPr>
        <sz val="10"/>
        <rFont val="Arial"/>
        <family val="2"/>
      </rPr>
      <t xml:space="preserve">
Total Amount &gt; 0
1. Open "Cash denomination" screen
2. Input Sheet
3. Click accept</t>
    </r>
  </si>
  <si>
    <r>
      <rPr>
        <sz val="10"/>
        <color rgb="FF00B0F0"/>
        <rFont val="Arial"/>
        <family val="2"/>
      </rPr>
      <t>Remaining cash balance = 0</t>
    </r>
    <r>
      <rPr>
        <sz val="10"/>
        <rFont val="Arial"/>
        <family val="2"/>
      </rPr>
      <t xml:space="preserve">
Total Amount &gt; 0
1. Open "Cash denomination" screen
2. Input Sheet
3. Click accept</t>
    </r>
  </si>
  <si>
    <r>
      <rPr>
        <sz val="10"/>
        <color rgb="FFFF0000"/>
        <rFont val="Arial"/>
        <family val="2"/>
      </rPr>
      <t>Remaining cash balance &lt; 0</t>
    </r>
    <r>
      <rPr>
        <sz val="10"/>
        <rFont val="Arial"/>
        <family val="2"/>
      </rPr>
      <t xml:space="preserve">
Total Amount &gt; 0</t>
    </r>
  </si>
  <si>
    <r>
      <t xml:space="preserve">Remaining cash balance &gt; 0
</t>
    </r>
    <r>
      <rPr>
        <sz val="10"/>
        <color rgb="FFFF0000"/>
        <rFont val="Arial"/>
        <family val="2"/>
      </rPr>
      <t>Total Amount = 0</t>
    </r>
  </si>
  <si>
    <t>CSH_001</t>
  </si>
  <si>
    <t>CSH_002</t>
  </si>
  <si>
    <t>CSH_003</t>
  </si>
  <si>
    <t>CSH_004</t>
  </si>
  <si>
    <t>CSH_002_001</t>
  </si>
  <si>
    <t>CSH_002_002</t>
  </si>
  <si>
    <t>CSH_002_003</t>
  </si>
  <si>
    <t>CSH_002_004</t>
  </si>
  <si>
    <t>CSH_002_005</t>
  </si>
  <si>
    <t>CSH_002_006</t>
  </si>
  <si>
    <t>CSH_002_007</t>
  </si>
  <si>
    <t>CSH_002_008</t>
  </si>
  <si>
    <t>CSH_002_009</t>
  </si>
  <si>
    <t>CSH_002_010</t>
  </si>
  <si>
    <t>CSH_002_011</t>
  </si>
  <si>
    <t>CSH_002_012</t>
  </si>
  <si>
    <t>CSH_002_013</t>
  </si>
  <si>
    <t>CSH_002_014</t>
  </si>
  <si>
    <t>CSH_002_015</t>
  </si>
  <si>
    <t>CSH_002_016</t>
  </si>
  <si>
    <t>CSH_002_017</t>
  </si>
  <si>
    <t>CSH_002_018</t>
  </si>
  <si>
    <t>CSH_002_019</t>
  </si>
  <si>
    <t>CSH_002_020</t>
  </si>
  <si>
    <t>CSH_002_021</t>
  </si>
  <si>
    <t>CSH_002_022</t>
  </si>
  <si>
    <t>CSH_002_023</t>
  </si>
  <si>
    <t>CSH_002_024</t>
  </si>
  <si>
    <t>CSH_003_001</t>
  </si>
  <si>
    <t>CSH_003_002</t>
  </si>
  <si>
    <t>CSH_003_003</t>
  </si>
  <si>
    <t>CSH_003_004</t>
  </si>
  <si>
    <t>CSH_003_005</t>
  </si>
  <si>
    <t>CSH_003_006</t>
  </si>
  <si>
    <t>CSH_003_007</t>
  </si>
  <si>
    <t>CSH_003_008</t>
  </si>
  <si>
    <t>CSH_003_009</t>
  </si>
  <si>
    <t>CSH_003_010</t>
  </si>
  <si>
    <t>CSH_003_011</t>
  </si>
  <si>
    <t>CSH_003_012</t>
  </si>
  <si>
    <t>CSH_003_013</t>
  </si>
  <si>
    <t>CSH_003_014</t>
  </si>
  <si>
    <t>CSH_003_015</t>
  </si>
  <si>
    <t>CSH_003_016</t>
  </si>
  <si>
    <t>CSH_003_017</t>
  </si>
  <si>
    <t>CSH_003_018</t>
  </si>
  <si>
    <t>CSH_003_019</t>
  </si>
  <si>
    <t>CSH_003_020</t>
  </si>
  <si>
    <t>CSH_004_001</t>
  </si>
  <si>
    <t>CSH_004_002</t>
  </si>
  <si>
    <t>CSH_004_003</t>
  </si>
  <si>
    <t>CSH_004_004</t>
  </si>
  <si>
    <t>CSH_001_001</t>
  </si>
  <si>
    <t>CSH_001_002</t>
  </si>
  <si>
    <t>Open "Cash flow" screen by shortcut "Ctrl + F7"</t>
  </si>
  <si>
    <t>View "Cash flow" with user has only position "Cashier"</t>
  </si>
  <si>
    <t>View "Cash flow" with user has position "Chief Cashier"</t>
  </si>
  <si>
    <t>Make transaction increase cash</t>
  </si>
  <si>
    <t>Make transaction decrease cash</t>
  </si>
  <si>
    <t>CSH_001_003</t>
  </si>
  <si>
    <t>CSH_001_004</t>
  </si>
  <si>
    <t>CSH_001_005</t>
  </si>
  <si>
    <t>Update Customer deposit, Total In, Closing balance</t>
  </si>
  <si>
    <t>Update Customer withdrawal, Total Out, Closing balance</t>
  </si>
  <si>
    <t>CSH_001_006</t>
  </si>
  <si>
    <t xml:space="preserve">Open "Cash flow" screen by quickly search </t>
  </si>
  <si>
    <t>View successfully</t>
  </si>
  <si>
    <t>Action</t>
  </si>
  <si>
    <t>Update data</t>
  </si>
  <si>
    <t>Update related table</t>
  </si>
  <si>
    <t>o9accounting</t>
  </si>
  <si>
    <t>o9admin</t>
  </si>
  <si>
    <t>o9cash</t>
  </si>
  <si>
    <t>o9deposit</t>
  </si>
  <si>
    <t>Table name</t>
  </si>
  <si>
    <t>Deposit money for deposit account
(current, saving, fixed deposit)</t>
  </si>
  <si>
    <r>
      <rPr>
        <b/>
        <sz val="11"/>
        <color theme="1"/>
        <rFont val="Arial"/>
        <family val="2"/>
      </rPr>
      <t>Deposit account</t>
    </r>
    <r>
      <rPr>
        <sz val="11"/>
        <color theme="1"/>
        <rFont val="Arial"/>
        <family val="2"/>
      </rPr>
      <t xml:space="preserve">
  - Status: Normal (if prevoius status is New/ Dormant)
  - Increase Current balance, Available balance
  - Increase Deposit Amount, Week Credit, Month Credit, Quarter Credit, Semi - Annual Credit and Year Credit
  - BeginOfTenor = Working, EndOfTenor = Working date + tenor
  - LastChangeDormantToNormalDate (if previous status is Dormant)
</t>
    </r>
    <r>
      <rPr>
        <b/>
        <sz val="11"/>
        <color theme="1"/>
        <rFont val="Arial"/>
        <family val="2"/>
      </rPr>
      <t>Deposit by cash</t>
    </r>
    <r>
      <rPr>
        <sz val="11"/>
        <color theme="1"/>
        <rFont val="Arial"/>
        <family val="2"/>
      </rPr>
      <t xml:space="preserve">
  - Increase Customer deposit, Total In, Closing balance of Cash flow
</t>
    </r>
    <r>
      <rPr>
        <b/>
        <sz val="11"/>
        <color theme="1"/>
        <rFont val="Arial"/>
        <family val="2"/>
      </rPr>
      <t>Deposit by deposit</t>
    </r>
    <r>
      <rPr>
        <sz val="11"/>
        <color theme="1"/>
        <rFont val="Arial"/>
        <family val="2"/>
      </rPr>
      <t xml:space="preserve">
  - Decrease Current balance, Available balance
  - Increase Withdraw Amount, Week Debit, Month Debit, Quarter Debit, Semi - Annual Debit and Year Debit
</t>
    </r>
    <r>
      <rPr>
        <b/>
        <sz val="11"/>
        <color theme="1"/>
        <rFont val="Arial"/>
        <family val="2"/>
      </rPr>
      <t>Deposit by GL</t>
    </r>
    <r>
      <rPr>
        <sz val="11"/>
        <color theme="1"/>
        <rFont val="Arial"/>
        <family val="2"/>
      </rPr>
      <t xml:space="preserve">
  - Decrease GL Balance</t>
    </r>
  </si>
  <si>
    <t>GLEntries</t>
  </si>
  <si>
    <t>Insert new row</t>
  </si>
  <si>
    <t>TransactionJournalDone</t>
  </si>
  <si>
    <t>CashList</t>
  </si>
  <si>
    <t>- CurrencyCode already existed: Update old row (update CurrentBalance)
- CurrencyCode does not exist: Insert new row</t>
  </si>
  <si>
    <t>DepositAccount</t>
  </si>
  <si>
    <t>Update old row
  - DepositStatus (if prevoius status is New/ Dormant)
  - Psts
  - CurrentBalance, DepositAmount, WeekCredit, MonthCredit, QuarterCredit, SemiAnnualCredit, YearCredit
  - LastTransactionDate, UpdatedOnUtc
  - BeginOfTenor, EndOfTenor (if deposit type is Fixed Deposit) 
  - LastChangeDormantToNormalDate (if previous status is Dormant)
Update old row (if deposit by deposit)
  - Psts
  - CurrentBalance, WithdrawAmount, WeekDebit, MonthDebit, QuarterDebit, SemiAnnualDebit, YearDebit
  - LastTransactionDate, UpdatedOnUtc</t>
  </si>
  <si>
    <t>AccountBalance</t>
  </si>
  <si>
    <t>Update old row (update Balance)</t>
  </si>
  <si>
    <t>Transaction</t>
  </si>
  <si>
    <t>CashStatement</t>
  </si>
  <si>
    <t>- CashierCode, CurrencyCode, CashType and ValueDate already existed: Update old row (update CashAmount)
- CashierCode, CurrencyCode, CashType and ValueDate do not exist: Insert new row</t>
  </si>
  <si>
    <t>DepositStatement</t>
  </si>
  <si>
    <t>AccountStatement</t>
  </si>
  <si>
    <t>TransactionDetail</t>
  </si>
  <si>
    <t>CashTransaction</t>
  </si>
  <si>
    <t>DepositHistory</t>
  </si>
  <si>
    <t>DepositAccountTrans</t>
  </si>
  <si>
    <t>Withdraw money for deposit account
(current, saving)</t>
  </si>
  <si>
    <r>
      <rPr>
        <b/>
        <sz val="11"/>
        <color theme="1"/>
        <rFont val="Arial"/>
        <family val="2"/>
      </rPr>
      <t>Deposit account</t>
    </r>
    <r>
      <rPr>
        <sz val="11"/>
        <color theme="1"/>
        <rFont val="Arial"/>
        <family val="2"/>
      </rPr>
      <t xml:space="preserve">
  - Decrease Current balance, Available balance
  - Increase Withdraw Amount, Week Debit, Month Debit, Quarter Debit, Semi - Annual Debit and Year Debit
</t>
    </r>
    <r>
      <rPr>
        <b/>
        <sz val="11"/>
        <color theme="1"/>
        <rFont val="Arial"/>
        <family val="2"/>
      </rPr>
      <t>Withdraw by cash</t>
    </r>
    <r>
      <rPr>
        <sz val="11"/>
        <color theme="1"/>
        <rFont val="Arial"/>
        <family val="2"/>
      </rPr>
      <t xml:space="preserve">
  - Increase Customer withdrawal, Total Out, decrease Closing balance of Cash flow
</t>
    </r>
    <r>
      <rPr>
        <b/>
        <sz val="11"/>
        <color theme="1"/>
        <rFont val="Arial"/>
        <family val="2"/>
      </rPr>
      <t>Withdraw by deposit</t>
    </r>
    <r>
      <rPr>
        <sz val="11"/>
        <color theme="1"/>
        <rFont val="Arial"/>
        <family val="2"/>
      </rPr>
      <t xml:space="preserve">
  - Increase Current balance, Available balance
  - Increase Deposit Amount, Week Credit, Month Credit, Quarter Credit, Semi - Annual Credit and Year Credit
</t>
    </r>
    <r>
      <rPr>
        <b/>
        <sz val="11"/>
        <color theme="1"/>
        <rFont val="Arial"/>
        <family val="2"/>
      </rPr>
      <t>Withdraw by GL</t>
    </r>
    <r>
      <rPr>
        <sz val="11"/>
        <color theme="1"/>
        <rFont val="Arial"/>
        <family val="2"/>
      </rPr>
      <t xml:space="preserve">
  - Increase GL Balance</t>
    </r>
  </si>
  <si>
    <t>Update old row (update CurrentBalance)</t>
  </si>
  <si>
    <t>Update old row
  - DepositStatus (if prevoius status is New)
  - Psts
  - CurrentBalance, WithdrawAmount, WeekDebit, MonthDebit, QuarterDebit, SemiAnnualDebit, YearDebit
  - LastTransactionDate, UpdatedOnUtc
  - LastChangeDormantToNormalDate (if previous status is Dormant)
Update old row (if withdraw by deposit)
  - DepositStatus (if prevoius status is New)
  - Psts
  - CurrentBalance, DepositAmount, WeekCredit, MonthCredit, QuarterCredit, SemiAnnualCredit, YearCredit
  - LastTransactionDate, UpdatedOnUtc</t>
  </si>
  <si>
    <t>Deposit money for prepaid fixed deposit</t>
  </si>
  <si>
    <r>
      <rPr>
        <b/>
        <sz val="11"/>
        <color theme="1"/>
        <rFont val="Arial"/>
        <family val="2"/>
      </rPr>
      <t>Fixed deposit account</t>
    </r>
    <r>
      <rPr>
        <sz val="11"/>
        <color theme="1"/>
        <rFont val="Arial"/>
        <family val="2"/>
      </rPr>
      <t xml:space="preserve">
  - Status: Normal (if prevoius status is New)
  - Increase Current balance, Available balance
  - Increase Deposit Amount, Week Credit, Month Credit, Quarter Credit, Semi - Annual Credit and Year Credit
  - BeginOfTenor = Working, EndOfTenor = Working date + tenor
  - Increase Interest prepaid
</t>
    </r>
    <r>
      <rPr>
        <b/>
        <sz val="11"/>
        <color theme="1"/>
        <rFont val="Arial"/>
        <family val="2"/>
      </rPr>
      <t>Linkage account</t>
    </r>
    <r>
      <rPr>
        <sz val="11"/>
        <color theme="1"/>
        <rFont val="Arial"/>
        <family val="2"/>
      </rPr>
      <t xml:space="preserve">
  - Increase Current balance, Available balance
  - Increase Deposit Amount, Week Credit, Month Credit, Quarter Credit, Semi - Annual Credit and Year Credit
</t>
    </r>
    <r>
      <rPr>
        <b/>
        <sz val="11"/>
        <color theme="1"/>
        <rFont val="Arial"/>
        <family val="2"/>
      </rPr>
      <t>Deposit by cash</t>
    </r>
    <r>
      <rPr>
        <sz val="11"/>
        <color theme="1"/>
        <rFont val="Arial"/>
        <family val="2"/>
      </rPr>
      <t xml:space="preserve">
  - Increase Customer deposit, Total In, Closing balance of Cash flow
</t>
    </r>
    <r>
      <rPr>
        <b/>
        <sz val="11"/>
        <color theme="1"/>
        <rFont val="Arial"/>
        <family val="2"/>
      </rPr>
      <t xml:space="preserve">Deposit by deposit
</t>
    </r>
    <r>
      <rPr>
        <sz val="11"/>
        <color theme="1"/>
        <rFont val="Arial"/>
        <family val="2"/>
      </rPr>
      <t xml:space="preserve">  - Decrease Current balance, Available balance
  - Increase Withdraw Amount, Week Debit, Month Debit, Quarter Debit, Semi - Annual Debit and Year Debit</t>
    </r>
  </si>
  <si>
    <t>Update old row (Prepaid fixed deposit)
  - DepositStatus (if prevoius status is New)
  - Psts
  - CurrentBalance, DepositAmount, WeekCredit, MonthCredit, QuarterCredit, SemiAnnualCredit, YearCredit
  - LastTransactionDate, UpdatedOnUtc
  - BeginOfTenor, EndOfTenor (if deposit type is Fixed Deposit) 
  - LastChangeDormantToNormalDate (if previous status is Dormant)
Update old row (linkage account)
  - Psts
  - CurrentBalance, DepositAmount, WeekCredit, MonthCredit, QuarterCredit, SemiAnnualCredit, YearCredit
  - LastTransactionDate, UpdatedOnUtc
Update old row (if deposit by deposit)
  - Psts
  - CurrentBalance, WithdrawAmount, WeekDebit, MonthDebit, QuarterDebit, SemiAnnualDebit, YearDebit
  - LastTransactionDate, UpdatedOnUtc</t>
  </si>
  <si>
    <t>IFCBalance</t>
  </si>
  <si>
    <t>Update old row (update PrepaidAmount)</t>
  </si>
  <si>
    <t>IFCBalanceDetail</t>
  </si>
  <si>
    <t>DepositIFCBalanceTrans</t>
  </si>
  <si>
    <t>check theo hiện trạng trên prod đang không validate</t>
  </si>
  <si>
    <r>
      <rPr>
        <b/>
        <sz val="10"/>
        <rFont val="Arial"/>
        <family val="2"/>
      </rPr>
      <t>Debit side</t>
    </r>
    <r>
      <rPr>
        <sz val="10"/>
        <rFont val="Arial"/>
        <family val="2"/>
      </rPr>
      <t xml:space="preserve">
  - Accounting type: Deposit
</t>
    </r>
    <r>
      <rPr>
        <sz val="10"/>
        <color rgb="FFFF0000"/>
        <rFont val="Arial"/>
        <family val="2"/>
      </rPr>
      <t xml:space="preserve">  - Available balance of master &lt; Debit amount &lt;= Available balance of linkage</t>
    </r>
    <r>
      <rPr>
        <sz val="10"/>
        <rFont val="Arial"/>
        <family val="2"/>
      </rPr>
      <t xml:space="preserve">
  - Deposit type: Current
  - Deposit status: Normal
</t>
    </r>
    <r>
      <rPr>
        <sz val="10"/>
        <color rgb="FFFF0000"/>
        <rFont val="Arial"/>
        <family val="2"/>
      </rPr>
      <t xml:space="preserve">  - Has linkage account for fund transfer</t>
    </r>
    <r>
      <rPr>
        <sz val="10"/>
        <rFont val="Arial"/>
        <family val="2"/>
      </rPr>
      <t xml:space="preserve">
</t>
    </r>
    <r>
      <rPr>
        <b/>
        <sz val="10"/>
        <rFont val="Arial"/>
        <family val="2"/>
      </rPr>
      <t>Linkage account</t>
    </r>
    <r>
      <rPr>
        <sz val="10"/>
        <rFont val="Arial"/>
        <family val="2"/>
      </rPr>
      <t xml:space="preserve">
</t>
    </r>
    <r>
      <rPr>
        <sz val="10"/>
        <color rgb="FFFF0000"/>
        <rFont val="Arial"/>
        <family val="2"/>
      </rPr>
      <t xml:space="preserve">  - Deposit type &lt;&gt; Saving</t>
    </r>
    <r>
      <rPr>
        <sz val="10"/>
        <rFont val="Arial"/>
        <family val="2"/>
      </rPr>
      <t xml:space="preserve">
  - Deposit status: Normal
  - Linkage class: Auto fund transfer
</t>
    </r>
    <r>
      <rPr>
        <b/>
        <sz val="10"/>
        <rFont val="Arial"/>
        <family val="2"/>
      </rPr>
      <t>Credit side</t>
    </r>
    <r>
      <rPr>
        <sz val="10"/>
        <rFont val="Arial"/>
        <family val="2"/>
      </rPr>
      <t xml:space="preserve">
  - Accounting type: Accounting
  - Credit amount &gt; 0
  - Posting side: Credit/ Both
  - Account level: 9
  - Account group &lt;&gt; Cash
  - Direct posting: Yes</t>
    </r>
  </si>
  <si>
    <r>
      <rPr>
        <b/>
        <sz val="10"/>
        <rFont val="Arial"/>
        <family val="2"/>
      </rPr>
      <t>Debit side</t>
    </r>
    <r>
      <rPr>
        <sz val="10"/>
        <rFont val="Arial"/>
        <family val="2"/>
      </rPr>
      <t xml:space="preserve">
  - Accounting type: Deposit
</t>
    </r>
    <r>
      <rPr>
        <sz val="10"/>
        <color rgb="FFFF0000"/>
        <rFont val="Arial"/>
        <family val="2"/>
      </rPr>
      <t xml:space="preserve">  - Available balance of master &lt; Debit amount &lt;= Available balance of linkage
  - Deposit type: Saving
</t>
    </r>
    <r>
      <rPr>
        <sz val="10"/>
        <rFont val="Arial"/>
        <family val="2"/>
      </rPr>
      <t xml:space="preserve">  - Deposit status: Normal
</t>
    </r>
    <r>
      <rPr>
        <sz val="10"/>
        <color rgb="FFFF0000"/>
        <rFont val="Arial"/>
        <family val="2"/>
      </rPr>
      <t xml:space="preserve">  - Has linkage account for fund transfer</t>
    </r>
    <r>
      <rPr>
        <sz val="10"/>
        <rFont val="Arial"/>
        <family val="2"/>
      </rPr>
      <t xml:space="preserve">
</t>
    </r>
    <r>
      <rPr>
        <b/>
        <sz val="10"/>
        <rFont val="Arial"/>
        <family val="2"/>
      </rPr>
      <t>Linkage account</t>
    </r>
    <r>
      <rPr>
        <sz val="10"/>
        <rFont val="Arial"/>
        <family val="2"/>
      </rPr>
      <t xml:space="preserve">
</t>
    </r>
    <r>
      <rPr>
        <sz val="10"/>
        <color rgb="FFFF0000"/>
        <rFont val="Arial"/>
        <family val="2"/>
      </rPr>
      <t xml:space="preserve">  - Deposit type: Saving</t>
    </r>
    <r>
      <rPr>
        <sz val="10"/>
        <rFont val="Arial"/>
        <family val="2"/>
      </rPr>
      <t xml:space="preserve">
  - Deposit status: Normal
  - Linkage class: Auto fund transfer
</t>
    </r>
    <r>
      <rPr>
        <b/>
        <sz val="10"/>
        <rFont val="Arial"/>
        <family val="2"/>
      </rPr>
      <t>Credit side</t>
    </r>
    <r>
      <rPr>
        <sz val="10"/>
        <rFont val="Arial"/>
        <family val="2"/>
      </rPr>
      <t xml:space="preserve">
  - Accounting type: Accounting
  - Credit amount &gt; 0
  - Posting side: Credit/ Both
  - Account level: 9
  - Account group &lt;&gt; Cash
  - Direct posting: Yes</t>
    </r>
    <r>
      <rPr>
        <b/>
        <sz val="10"/>
        <rFont val="Arial"/>
        <family val="2"/>
      </rPr>
      <t xml:space="preserve">
</t>
    </r>
    <r>
      <rPr>
        <sz val="10"/>
        <rFont val="Arial"/>
        <family val="2"/>
      </rPr>
      <t xml:space="preserve">
1. Open "FX Transaction" screen
2. Choose Accounting type from Debit
3. Input Account number
4. Input Debit amount
5. Choose Accounting type from Credit
6. Input Account number
7. Input Credit amount
8. Click accpet</t>
    </r>
  </si>
  <si>
    <r>
      <rPr>
        <b/>
        <sz val="10"/>
        <rFont val="Arial"/>
        <family val="2"/>
      </rPr>
      <t>Debit side</t>
    </r>
    <r>
      <rPr>
        <sz val="10"/>
        <rFont val="Arial"/>
        <family val="2"/>
      </rPr>
      <t xml:space="preserve">
  - Accounting type: Deposit
</t>
    </r>
    <r>
      <rPr>
        <sz val="10"/>
        <color rgb="FF00B0F0"/>
        <rFont val="Arial"/>
        <family val="2"/>
      </rPr>
      <t xml:space="preserve">  - Available balance of master &lt; Debit amount &lt;= Available balance of linkage
  - Deposit type: Current
</t>
    </r>
    <r>
      <rPr>
        <sz val="10"/>
        <rFont val="Arial"/>
        <family val="2"/>
      </rPr>
      <t xml:space="preserve">  - Deposit status: Normal
</t>
    </r>
    <r>
      <rPr>
        <sz val="10"/>
        <color rgb="FF00B0F0"/>
        <rFont val="Arial"/>
        <family val="2"/>
      </rPr>
      <t xml:space="preserve">  - Has linkage account for fund transfer
</t>
    </r>
    <r>
      <rPr>
        <b/>
        <sz val="10"/>
        <rFont val="Arial"/>
        <family val="2"/>
      </rPr>
      <t>Linkage account</t>
    </r>
    <r>
      <rPr>
        <sz val="10"/>
        <rFont val="Arial"/>
        <family val="2"/>
      </rPr>
      <t xml:space="preserve">
  - Deposit type: Saving
  - Deposit status: Normal
  - Linkage class: Auto fund transfer
</t>
    </r>
    <r>
      <rPr>
        <b/>
        <sz val="10"/>
        <rFont val="Arial"/>
        <family val="2"/>
      </rPr>
      <t>Credit side</t>
    </r>
    <r>
      <rPr>
        <sz val="10"/>
        <rFont val="Arial"/>
        <family val="2"/>
      </rPr>
      <t xml:space="preserve">
  - Accounting type: Accounting
  - Credit amount &gt; 0
  - Posting side: Credit/ Both
  - Account level: 9
  - Account group &lt;&gt; Cash
  - Direct posting: Yes</t>
    </r>
    <r>
      <rPr>
        <b/>
        <sz val="10"/>
        <rFont val="Arial"/>
        <family val="2"/>
      </rPr>
      <t xml:space="preserve">
</t>
    </r>
    <r>
      <rPr>
        <sz val="10"/>
        <rFont val="Arial"/>
        <family val="2"/>
      </rPr>
      <t xml:space="preserve">
1. Open "FX Transaction" screen
2. Choose Accounting type from Debit
3. Input Account number
4. Input Debit amount
5. Choose Accounting type from Credit
6. Input Account number
7. Input Credit amount
8. Click accpet</t>
    </r>
  </si>
  <si>
    <r>
      <rPr>
        <b/>
        <sz val="10"/>
        <rFont val="Arial"/>
        <family val="2"/>
      </rPr>
      <t>Debit side</t>
    </r>
    <r>
      <rPr>
        <sz val="10"/>
        <rFont val="Arial"/>
        <family val="2"/>
      </rPr>
      <t xml:space="preserve">
  - Accounting type: Deposit
  - 0 &lt; Debit amount &lt;= Available balance
  - Deposit type: Current/ Saving
  - Deposit status: Normal
</t>
    </r>
    <r>
      <rPr>
        <b/>
        <sz val="10"/>
        <rFont val="Arial"/>
        <family val="2"/>
      </rPr>
      <t>Credit side</t>
    </r>
    <r>
      <rPr>
        <sz val="10"/>
        <rFont val="Arial"/>
        <family val="2"/>
      </rPr>
      <t xml:space="preserve">
  - Accounting type: Accounting
  - Credit amount &gt; 0
  - Posting side: Credit/ Both
  - Account level: 9
  - Account group &lt;&gt; Cash
  - Direct posting: Yes
</t>
    </r>
    <r>
      <rPr>
        <sz val="10"/>
        <color rgb="FFFF0000"/>
        <rFont val="Arial"/>
        <family val="2"/>
      </rPr>
      <t>Total fee &gt; Receive amount</t>
    </r>
  </si>
  <si>
    <t>Denomination</t>
  </si>
  <si>
    <t>DenominationBalance</t>
  </si>
  <si>
    <t>- CurrencyId, FaceValue, BranchCode and CashierCode already existed: Update old row (update Quantity, Amount)
- CurrencyId, FaceValue, BranchCode and CashierCode does not exist: Insert new row</t>
  </si>
  <si>
    <t>DenominationStatement</t>
  </si>
  <si>
    <t>DenominationTransaction</t>
  </si>
  <si>
    <t>Do not allow to reverse</t>
  </si>
  <si>
    <r>
      <rPr>
        <b/>
        <sz val="10"/>
        <rFont val="Arial"/>
        <family val="2"/>
      </rPr>
      <t>From teller</t>
    </r>
    <r>
      <rPr>
        <sz val="10"/>
        <rFont val="Arial"/>
        <family val="2"/>
      </rPr>
      <t xml:space="preserve">
</t>
    </r>
    <r>
      <rPr>
        <sz val="10"/>
        <color rgb="FFFF0000"/>
        <rFont val="Arial"/>
        <family val="2"/>
      </rPr>
      <t xml:space="preserve">  - Position: Cashier</t>
    </r>
    <r>
      <rPr>
        <sz val="10"/>
        <rFont val="Arial"/>
        <family val="2"/>
      </rPr>
      <t xml:space="preserve">
  - Account status: Active
  - 0 &lt; Amount &lt;= Closing balance
</t>
    </r>
    <r>
      <rPr>
        <b/>
        <sz val="10"/>
        <rFont val="Arial"/>
        <family val="2"/>
      </rPr>
      <t>To teller code</t>
    </r>
    <r>
      <rPr>
        <sz val="10"/>
        <rFont val="Arial"/>
        <family val="2"/>
      </rPr>
      <t xml:space="preserve">
</t>
    </r>
    <r>
      <rPr>
        <sz val="10"/>
        <color rgb="FFFF0000"/>
        <rFont val="Arial"/>
        <family val="2"/>
      </rPr>
      <t xml:space="preserve">  - Position: Chief Cashier and Cashier</t>
    </r>
    <r>
      <rPr>
        <sz val="10"/>
        <rFont val="Arial"/>
        <family val="2"/>
      </rPr>
      <t xml:space="preserve">
  - Account status: Active
  - Branch of "To teller" = Branch of "From teller"</t>
    </r>
  </si>
  <si>
    <r>
      <rPr>
        <b/>
        <sz val="10"/>
        <rFont val="Arial"/>
        <family val="2"/>
      </rPr>
      <t>Debit side</t>
    </r>
    <r>
      <rPr>
        <sz val="10"/>
        <rFont val="Arial"/>
        <family val="2"/>
      </rPr>
      <t xml:space="preserve">
  - Accounting type: Cash
  - Debit amount &gt; 0
</t>
    </r>
    <r>
      <rPr>
        <b/>
        <sz val="10"/>
        <rFont val="Arial"/>
        <family val="2"/>
      </rPr>
      <t xml:space="preserve">Credit side
</t>
    </r>
    <r>
      <rPr>
        <sz val="10"/>
        <rFont val="Arial"/>
        <family val="2"/>
      </rPr>
      <t xml:space="preserve">  - Accounting type: Deposit
  - Credit amount &gt; 0
  - Deposit type: Current/ Saving
  - Deposit status: Normal
</t>
    </r>
    <r>
      <rPr>
        <b/>
        <sz val="10"/>
        <rFont val="Arial"/>
        <family val="2"/>
      </rPr>
      <t>Teller does this transaction</t>
    </r>
    <r>
      <rPr>
        <sz val="10"/>
        <rFont val="Arial"/>
        <family val="2"/>
      </rPr>
      <t xml:space="preserve">
  - User has right to do transaction related to cash
</t>
    </r>
    <r>
      <rPr>
        <b/>
        <sz val="10"/>
        <color rgb="FF00B0F0"/>
        <rFont val="Arial"/>
        <family val="2"/>
      </rPr>
      <t xml:space="preserve">Debit currency = Credit currency = Base currency </t>
    </r>
    <r>
      <rPr>
        <b/>
        <sz val="10"/>
        <rFont val="Arial"/>
        <family val="2"/>
      </rPr>
      <t xml:space="preserve">
</t>
    </r>
    <r>
      <rPr>
        <sz val="10"/>
        <rFont val="Arial"/>
        <family val="2"/>
      </rPr>
      <t xml:space="preserve">
1. Open "FX Transaction" screen
2. Choose Accounting type from Debit
3. Input Debit amount
4. Choose Accounting type from Credit
5. Input Account number
6. Input Credit amount
7. Click accpet</t>
    </r>
  </si>
  <si>
    <r>
      <rPr>
        <b/>
        <sz val="10"/>
        <rFont val="Arial"/>
        <family val="2"/>
      </rPr>
      <t>Debit side</t>
    </r>
    <r>
      <rPr>
        <sz val="10"/>
        <rFont val="Arial"/>
        <family val="2"/>
      </rPr>
      <t xml:space="preserve">
  - Accounting type: Deposit
  - 0 &lt; Debit amount &lt;= Available balance
  - Deposit type: Current/ Saving
  - Deposit status: Normal
</t>
    </r>
    <r>
      <rPr>
        <b/>
        <sz val="10"/>
        <rFont val="Arial"/>
        <family val="2"/>
      </rPr>
      <t>Credit side</t>
    </r>
    <r>
      <rPr>
        <sz val="10"/>
        <rFont val="Arial"/>
        <family val="2"/>
      </rPr>
      <t xml:space="preserve">
  - Accounting type: Cash
  - Credit amount &gt; 0
</t>
    </r>
    <r>
      <rPr>
        <b/>
        <sz val="10"/>
        <rFont val="Arial"/>
        <family val="2"/>
      </rPr>
      <t>Teller does this transaction</t>
    </r>
    <r>
      <rPr>
        <sz val="10"/>
        <rFont val="Arial"/>
        <family val="2"/>
      </rPr>
      <t xml:space="preserve">
  - User has right to do transaction related to cash
  - User has enough cash to withdraw
</t>
    </r>
    <r>
      <rPr>
        <b/>
        <sz val="10"/>
        <color rgb="FF00B0F0"/>
        <rFont val="Arial"/>
        <family val="2"/>
      </rPr>
      <t xml:space="preserve">Debit currency = Credit currency = Base currency </t>
    </r>
    <r>
      <rPr>
        <b/>
        <sz val="10"/>
        <rFont val="Arial"/>
        <family val="2"/>
      </rPr>
      <t xml:space="preserve">
</t>
    </r>
    <r>
      <rPr>
        <sz val="10"/>
        <rFont val="Arial"/>
        <family val="2"/>
      </rPr>
      <t xml:space="preserve">
1. Open "FX Transaction" screen
2. Choose Accounting type from Debit
3. Input Account number
4. Input Debit amount
5. Choose Accounting type from Credit
6. Input Credit amount
7. Click accpet</t>
    </r>
  </si>
  <si>
    <r>
      <rPr>
        <b/>
        <sz val="10"/>
        <rFont val="Arial"/>
        <family val="2"/>
      </rPr>
      <t>Debit side</t>
    </r>
    <r>
      <rPr>
        <sz val="10"/>
        <rFont val="Arial"/>
        <family val="2"/>
      </rPr>
      <t xml:space="preserve">
  - Accounting type: Deposit
  - 0 &lt; Debit amount &lt;= Available balance
  - Deposit type: Current/ Saving
  - Deposit status: Normal
</t>
    </r>
    <r>
      <rPr>
        <b/>
        <sz val="10"/>
        <rFont val="Arial"/>
        <family val="2"/>
      </rPr>
      <t xml:space="preserve">Credit side
</t>
    </r>
    <r>
      <rPr>
        <sz val="10"/>
        <rFont val="Arial"/>
        <family val="2"/>
      </rPr>
      <t xml:space="preserve">  - Accounting type: Cash
  - Credit amount &gt; 0
</t>
    </r>
    <r>
      <rPr>
        <b/>
        <sz val="10"/>
        <rFont val="Arial"/>
        <family val="2"/>
      </rPr>
      <t>Teller does this transaction</t>
    </r>
    <r>
      <rPr>
        <sz val="10"/>
        <rFont val="Arial"/>
        <family val="2"/>
      </rPr>
      <t xml:space="preserve">
  - User has right to do transaction related to cash
  - User has enough cash to withdraw
</t>
    </r>
    <r>
      <rPr>
        <b/>
        <sz val="10"/>
        <color rgb="FF00B0F0"/>
        <rFont val="Arial"/>
        <family val="2"/>
      </rPr>
      <t>Debit currency = Base currency &lt;&gt; Credit currency</t>
    </r>
    <r>
      <rPr>
        <b/>
        <sz val="10"/>
        <rFont val="Arial"/>
        <family val="2"/>
      </rPr>
      <t xml:space="preserve">
</t>
    </r>
    <r>
      <rPr>
        <sz val="10"/>
        <rFont val="Arial"/>
        <family val="2"/>
      </rPr>
      <t xml:space="preserve">
1. Open "FX Transaction" screen
2. Choose Accounting type from Debit
3. Input Account number
4. Input Debit amount
5. Choose Accounting type from Credit
6. Input Credit amount
7. Click accpet</t>
    </r>
  </si>
  <si>
    <r>
      <rPr>
        <b/>
        <sz val="10"/>
        <rFont val="Arial"/>
        <family val="2"/>
      </rPr>
      <t>Debit side</t>
    </r>
    <r>
      <rPr>
        <sz val="10"/>
        <rFont val="Arial"/>
        <family val="2"/>
      </rPr>
      <t xml:space="preserve">
  - Accounting type: Deposit
  - 0 &lt; Debit amount &lt;= Available balance
  - Deposit type: Current/ Saving
  - Deposit status: Normal
</t>
    </r>
    <r>
      <rPr>
        <b/>
        <sz val="10"/>
        <rFont val="Arial"/>
        <family val="2"/>
      </rPr>
      <t xml:space="preserve">Credit side
</t>
    </r>
    <r>
      <rPr>
        <sz val="10"/>
        <rFont val="Arial"/>
        <family val="2"/>
      </rPr>
      <t xml:space="preserve">  - Accounting type: Cash
  - Credit amount &gt; 0
</t>
    </r>
    <r>
      <rPr>
        <b/>
        <sz val="10"/>
        <rFont val="Arial"/>
        <family val="2"/>
      </rPr>
      <t>Teller does this transaction</t>
    </r>
    <r>
      <rPr>
        <sz val="10"/>
        <rFont val="Arial"/>
        <family val="2"/>
      </rPr>
      <t xml:space="preserve">
  - User has right to do transaction related to cash
  - User has enough cash to withdraw
</t>
    </r>
    <r>
      <rPr>
        <b/>
        <sz val="10"/>
        <color rgb="FF00B0F0"/>
        <rFont val="Arial"/>
        <family val="2"/>
      </rPr>
      <t xml:space="preserve">Debit currency &lt;&gt; Credit currency = Base currency
</t>
    </r>
    <r>
      <rPr>
        <sz val="10"/>
        <rFont val="Arial"/>
        <family val="2"/>
      </rPr>
      <t xml:space="preserve">
1. Open "FX Transaction" screen
2. Choose Accounting type from Debit
3. Input Account number
4. Input Debit amount
5. Choose Accounting type from Credit
6. Input Credit amount
7. Click accpet</t>
    </r>
  </si>
  <si>
    <r>
      <rPr>
        <b/>
        <sz val="10"/>
        <rFont val="Arial"/>
        <family val="2"/>
      </rPr>
      <t>Debit side</t>
    </r>
    <r>
      <rPr>
        <sz val="10"/>
        <rFont val="Arial"/>
        <family val="2"/>
      </rPr>
      <t xml:space="preserve">
  - Accounting type: Deposit
</t>
    </r>
    <r>
      <rPr>
        <sz val="10"/>
        <color rgb="FF00B0F0"/>
        <rFont val="Arial"/>
        <family val="2"/>
      </rPr>
      <t xml:space="preserve">  - Available balance of master &lt; Debit amount &lt;= Available balance of linkage</t>
    </r>
    <r>
      <rPr>
        <sz val="10"/>
        <rFont val="Arial"/>
        <family val="2"/>
      </rPr>
      <t xml:space="preserve">
  - Deposit type: Current/ Saving
  - Deposit status: Normal
</t>
    </r>
    <r>
      <rPr>
        <sz val="10"/>
        <color rgb="FF00B0F0"/>
        <rFont val="Arial"/>
        <family val="2"/>
      </rPr>
      <t xml:space="preserve">  - Has linkage account for fund transfer</t>
    </r>
    <r>
      <rPr>
        <sz val="10"/>
        <rFont val="Arial"/>
        <family val="2"/>
      </rPr>
      <t xml:space="preserve">
</t>
    </r>
    <r>
      <rPr>
        <b/>
        <sz val="10"/>
        <rFont val="Arial"/>
        <family val="2"/>
      </rPr>
      <t>Linkage account</t>
    </r>
    <r>
      <rPr>
        <sz val="10"/>
        <rFont val="Arial"/>
        <family val="2"/>
      </rPr>
      <t xml:space="preserve">
  - Deposit type: Saving
  - Deposit status: Normal
  - Linkage class: Auto fund transfer
</t>
    </r>
    <r>
      <rPr>
        <b/>
        <sz val="10"/>
        <rFont val="Arial"/>
        <family val="2"/>
      </rPr>
      <t xml:space="preserve">Credit side
</t>
    </r>
    <r>
      <rPr>
        <sz val="10"/>
        <rFont val="Arial"/>
        <family val="2"/>
      </rPr>
      <t xml:space="preserve">  - Accounting type: Cash
  - Credit amount &gt; 0
</t>
    </r>
    <r>
      <rPr>
        <b/>
        <sz val="10"/>
        <rFont val="Arial"/>
        <family val="2"/>
      </rPr>
      <t>Teller does this transaction</t>
    </r>
    <r>
      <rPr>
        <sz val="10"/>
        <rFont val="Arial"/>
        <family val="2"/>
      </rPr>
      <t xml:space="preserve">
  - User has right to do transaction related to cash
  - User has enough cash to withdraw</t>
    </r>
    <r>
      <rPr>
        <b/>
        <sz val="10"/>
        <rFont val="Arial"/>
        <family val="2"/>
      </rPr>
      <t xml:space="preserve">
</t>
    </r>
    <r>
      <rPr>
        <sz val="10"/>
        <rFont val="Arial"/>
        <family val="2"/>
      </rPr>
      <t xml:space="preserve">
1. Open "FX Transaction" screen
2. Choose Accounting type from Debit
3. Input Account number
4. Input Debit amount
5. Choose Accounting type from Credit
6. Input Credit amount
7. Click accpet</t>
    </r>
  </si>
  <si>
    <r>
      <rPr>
        <b/>
        <sz val="10"/>
        <rFont val="Arial"/>
        <family val="2"/>
      </rPr>
      <t>Debit side</t>
    </r>
    <r>
      <rPr>
        <sz val="10"/>
        <rFont val="Arial"/>
        <family val="2"/>
      </rPr>
      <t xml:space="preserve">
  - Accounting type: Deposit
  - 0 &lt; Debit amount &lt;= Available balance
  - Deposit type: Current/ Saving
  - Deposit status: Normal
</t>
    </r>
    <r>
      <rPr>
        <b/>
        <sz val="10"/>
        <rFont val="Arial"/>
        <family val="2"/>
      </rPr>
      <t>Credit side</t>
    </r>
    <r>
      <rPr>
        <sz val="10"/>
        <rFont val="Arial"/>
        <family val="2"/>
      </rPr>
      <t xml:space="preserve">
  - Accounting type: Deposit
  - Credit amount &gt; 0
  - Deposit type: Current/ Saving
  - Deposit sub type &lt;&gt; Shwe Cash call deposit account
  - Deposit status: Normal
</t>
    </r>
    <r>
      <rPr>
        <b/>
        <sz val="10"/>
        <color rgb="FF00B0F0"/>
        <rFont val="Arial"/>
        <family val="2"/>
      </rPr>
      <t xml:space="preserve">Debit currency = Credit currency = Base currency </t>
    </r>
    <r>
      <rPr>
        <b/>
        <sz val="10"/>
        <rFont val="Arial"/>
        <family val="2"/>
      </rPr>
      <t xml:space="preserve">
</t>
    </r>
    <r>
      <rPr>
        <sz val="10"/>
        <rFont val="Arial"/>
        <family val="2"/>
      </rPr>
      <t xml:space="preserve">
1. Open "FX Transaction" screen
2. Choose Accounting type from Debit
3. Input Account number
4. Input Debit amount
5. Choose Accounting type from Credit
6. Input Account number
7. Input Credit amount
8. Click accpet</t>
    </r>
  </si>
  <si>
    <r>
      <rPr>
        <b/>
        <sz val="10"/>
        <rFont val="Arial"/>
        <family val="2"/>
      </rPr>
      <t>Debit side</t>
    </r>
    <r>
      <rPr>
        <sz val="10"/>
        <rFont val="Arial"/>
        <family val="2"/>
      </rPr>
      <t xml:space="preserve">
  - Accounting type: Deposit
  - 0 &lt; Debit amount &lt;= Available balance
  - Deposit type: Current/ Saving
  - Deposit status: Normal
</t>
    </r>
    <r>
      <rPr>
        <b/>
        <sz val="10"/>
        <rFont val="Arial"/>
        <family val="2"/>
      </rPr>
      <t>Credit side</t>
    </r>
    <r>
      <rPr>
        <sz val="10"/>
        <rFont val="Arial"/>
        <family val="2"/>
      </rPr>
      <t xml:space="preserve">
  - Accounting type: Deposit
  - Credit amount &gt; 0
  - Deposit type: Current/ Saving
  - Deposit sub type &lt;&gt; Shwe Cash call deposit account
  - Deposit status: Normal
</t>
    </r>
    <r>
      <rPr>
        <b/>
        <sz val="10"/>
        <color rgb="FF00B0F0"/>
        <rFont val="Arial"/>
        <family val="2"/>
      </rPr>
      <t>Debit currency = Base currency &lt;&gt; Credit currency</t>
    </r>
    <r>
      <rPr>
        <b/>
        <sz val="10"/>
        <rFont val="Arial"/>
        <family val="2"/>
      </rPr>
      <t xml:space="preserve">
</t>
    </r>
    <r>
      <rPr>
        <sz val="10"/>
        <rFont val="Arial"/>
        <family val="2"/>
      </rPr>
      <t xml:space="preserve">
1. Open "FX Transaction" screen
2. Choose Accounting type from Debit
3. Input Account number
4. Input Debit amount
5. Choose Accounting type from Credit
6. Input Account number
7. Input Credit amount
8. Click accpet</t>
    </r>
  </si>
  <si>
    <r>
      <rPr>
        <b/>
        <sz val="10"/>
        <rFont val="Arial"/>
        <family val="2"/>
      </rPr>
      <t>Debit side</t>
    </r>
    <r>
      <rPr>
        <sz val="10"/>
        <rFont val="Arial"/>
        <family val="2"/>
      </rPr>
      <t xml:space="preserve">
  - Accounting type: Deposit
  - 0 &lt; Debit amount &lt;= Available balance
  - Deposit type: Current/ Saving
  - Deposit status: Normal
</t>
    </r>
    <r>
      <rPr>
        <b/>
        <sz val="10"/>
        <rFont val="Arial"/>
        <family val="2"/>
      </rPr>
      <t>Credit side</t>
    </r>
    <r>
      <rPr>
        <sz val="10"/>
        <rFont val="Arial"/>
        <family val="2"/>
      </rPr>
      <t xml:space="preserve">
  - Accounting type: Deposit
  - Credit amount &gt; 0
  - Deposit type: Current/ Saving
  - Deposit sub type &lt;&gt; Shwe Cash call deposit account
  - Deposit status: Normal
</t>
    </r>
    <r>
      <rPr>
        <b/>
        <sz val="10"/>
        <color rgb="FF00B0F0"/>
        <rFont val="Arial"/>
        <family val="2"/>
      </rPr>
      <t>Debit currency &lt;&gt; Credit currency = Base currency</t>
    </r>
    <r>
      <rPr>
        <b/>
        <sz val="10"/>
        <rFont val="Arial"/>
        <family val="2"/>
      </rPr>
      <t xml:space="preserve">
</t>
    </r>
    <r>
      <rPr>
        <sz val="10"/>
        <rFont val="Arial"/>
        <family val="2"/>
      </rPr>
      <t xml:space="preserve">
1. Open "FX Transaction" screen
2. Choose Accounting type from Debit
3. Input Account number
4. Input Debit amount
5. Choose Accounting type from Credit
6. Input Account number
7. Input Credit amount
8. Click accpet</t>
    </r>
  </si>
  <si>
    <r>
      <rPr>
        <b/>
        <sz val="10"/>
        <rFont val="Arial"/>
        <family val="2"/>
      </rPr>
      <t>Debit side</t>
    </r>
    <r>
      <rPr>
        <sz val="10"/>
        <rFont val="Arial"/>
        <family val="2"/>
      </rPr>
      <t xml:space="preserve">
  - Accounting type: Deposit
  - 0 &lt; Debit amount &lt;= Available balance
  - Deposit type: Current/ Saving
  - Deposit status: Normal
</t>
    </r>
    <r>
      <rPr>
        <b/>
        <sz val="10"/>
        <rFont val="Arial"/>
        <family val="2"/>
      </rPr>
      <t>Credit side</t>
    </r>
    <r>
      <rPr>
        <sz val="10"/>
        <rFont val="Arial"/>
        <family val="2"/>
      </rPr>
      <t xml:space="preserve">
  - Accounting type: Deposit
  - Credit amount &gt; 0
  - Deposit type: Current/ Saving
  - Deposit sub type &lt;&gt; Shwe Cash call deposit account
  - Deposit status: Normal
</t>
    </r>
    <r>
      <rPr>
        <b/>
        <sz val="10"/>
        <color rgb="FF00B0F0"/>
        <rFont val="Arial"/>
        <family val="2"/>
      </rPr>
      <t xml:space="preserve">Debit currency &lt;&gt; Credit currency
</t>
    </r>
    <r>
      <rPr>
        <sz val="10"/>
        <rFont val="Arial"/>
        <family val="2"/>
      </rPr>
      <t xml:space="preserve">
1. Open "FX Transaction" screen
2. Choose Accounting type from Debit
3. Input Account number
4. Input Debit amount
5. Choose Accounting type from Credit
6. Input Account number
7. Input Credit amount
8. Click accpet</t>
    </r>
  </si>
  <si>
    <r>
      <rPr>
        <b/>
        <sz val="10"/>
        <rFont val="Arial"/>
        <family val="2"/>
      </rPr>
      <t>Debit side</t>
    </r>
    <r>
      <rPr>
        <sz val="10"/>
        <rFont val="Arial"/>
        <family val="2"/>
      </rPr>
      <t xml:space="preserve">
  - Accounting type: Deposit
  - 0 &lt; Debit amount &lt;= Available balance
  - Deposit type: Current/ Saving
  - Deposit status: Normal
</t>
    </r>
    <r>
      <rPr>
        <b/>
        <sz val="10"/>
        <rFont val="Arial"/>
        <family val="2"/>
      </rPr>
      <t xml:space="preserve">Credit side
</t>
    </r>
    <r>
      <rPr>
        <sz val="10"/>
        <rFont val="Arial"/>
        <family val="2"/>
      </rPr>
      <t xml:space="preserve">  - Accounting type: Cash
  - Credit amount &gt; 0
</t>
    </r>
    <r>
      <rPr>
        <b/>
        <sz val="10"/>
        <rFont val="Arial"/>
        <family val="2"/>
      </rPr>
      <t>Teller does this transaction</t>
    </r>
    <r>
      <rPr>
        <sz val="10"/>
        <rFont val="Arial"/>
        <family val="2"/>
      </rPr>
      <t xml:space="preserve">
  - User has right to do transaction related to cash
  - User has enough cash to withdraw
</t>
    </r>
    <r>
      <rPr>
        <b/>
        <sz val="10"/>
        <color rgb="FF00B0F0"/>
        <rFont val="Arial"/>
        <family val="2"/>
      </rPr>
      <t>Debit currency &lt;&gt; Credit currency</t>
    </r>
    <r>
      <rPr>
        <b/>
        <sz val="10"/>
        <rFont val="Arial"/>
        <family val="2"/>
      </rPr>
      <t xml:space="preserve">
</t>
    </r>
    <r>
      <rPr>
        <sz val="10"/>
        <rFont val="Arial"/>
        <family val="2"/>
      </rPr>
      <t xml:space="preserve">
1. Open "FX Transaction" screen
2. Choose Accounting type from Debit
3. Input Account number
4. Input Debit amount
5. Choose Accounting type from Credit
6. Input Credit amount
7. Click accpet</t>
    </r>
  </si>
  <si>
    <r>
      <rPr>
        <b/>
        <sz val="10"/>
        <rFont val="Arial"/>
        <family val="2"/>
      </rPr>
      <t>Debit side</t>
    </r>
    <r>
      <rPr>
        <sz val="10"/>
        <rFont val="Arial"/>
        <family val="2"/>
      </rPr>
      <t xml:space="preserve">
  - Accounting type: Deposit
  - 0 &lt; Debit amount &lt;= Available balance
  - Deposit type: Current/ Saving
  - Deposit status: Normal
</t>
    </r>
    <r>
      <rPr>
        <b/>
        <sz val="10"/>
        <rFont val="Arial"/>
        <family val="2"/>
      </rPr>
      <t xml:space="preserve">Credit side
</t>
    </r>
    <r>
      <rPr>
        <sz val="10"/>
        <rFont val="Arial"/>
        <family val="2"/>
      </rPr>
      <t xml:space="preserve">  - Accounting type: Cash
  - Credit amount &gt; 0
</t>
    </r>
    <r>
      <rPr>
        <b/>
        <sz val="10"/>
        <rFont val="Arial"/>
        <family val="2"/>
      </rPr>
      <t>Teller does this transaction</t>
    </r>
    <r>
      <rPr>
        <sz val="10"/>
        <rFont val="Arial"/>
        <family val="2"/>
      </rPr>
      <t xml:space="preserve">
  - User has right to do transaction related to cash
  - User has enough cash to withdraw
</t>
    </r>
    <r>
      <rPr>
        <b/>
        <sz val="10"/>
        <color rgb="FF00B0F0"/>
        <rFont val="Arial"/>
        <family val="2"/>
      </rPr>
      <t>Total fee &lt;= Receive amount</t>
    </r>
    <r>
      <rPr>
        <b/>
        <sz val="10"/>
        <rFont val="Arial"/>
        <family val="2"/>
      </rPr>
      <t xml:space="preserve">
</t>
    </r>
    <r>
      <rPr>
        <sz val="10"/>
        <rFont val="Arial"/>
        <family val="2"/>
      </rPr>
      <t xml:space="preserve">
1. Open "FX Transaction" screen
2. Choose Accounting type from Debit
3. Input Account number
4. Input Debit amount
5. Choose Accounting type from Credit
6. Input Credit amount
7. Add fee
8. Click accpet</t>
    </r>
  </si>
  <si>
    <r>
      <rPr>
        <b/>
        <sz val="10"/>
        <rFont val="Arial"/>
        <family val="2"/>
      </rPr>
      <t>Debit side</t>
    </r>
    <r>
      <rPr>
        <sz val="10"/>
        <rFont val="Arial"/>
        <family val="2"/>
      </rPr>
      <t xml:space="preserve">
  - Accounting type: Deposit
  - 0 &lt; Debit amount &lt;= Available balance
  - Deposit type: Current/ Saving
  - Deposit status: Normal
</t>
    </r>
    <r>
      <rPr>
        <b/>
        <sz val="10"/>
        <rFont val="Arial"/>
        <family val="2"/>
      </rPr>
      <t>Credit side</t>
    </r>
    <r>
      <rPr>
        <sz val="10"/>
        <rFont val="Arial"/>
        <family val="2"/>
      </rPr>
      <t xml:space="preserve">
  - Accounting type: Deposit
  - Credit amount &gt; 0
  - Deposit type: Current/ Saving
  - Deposit sub type &lt;&gt; Shwe Cash call deposit account
  - Deposit status: Normal
</t>
    </r>
    <r>
      <rPr>
        <b/>
        <sz val="10"/>
        <color rgb="FF00B0F0"/>
        <rFont val="Arial"/>
        <family val="2"/>
      </rPr>
      <t>Total fee &lt;= Receive amount</t>
    </r>
    <r>
      <rPr>
        <b/>
        <sz val="10"/>
        <rFont val="Arial"/>
        <family val="2"/>
      </rPr>
      <t xml:space="preserve">
</t>
    </r>
    <r>
      <rPr>
        <sz val="10"/>
        <rFont val="Arial"/>
        <family val="2"/>
      </rPr>
      <t xml:space="preserve">
1. Open "FX Transaction" screen
2. Choose Accounting type from Debit
3. Input Account number
4. Input Debit amount
5. Choose Accounting type from Credit
6. Input Account number
7. Input Credit amount
8. Add fee
9. Click accpet</t>
    </r>
  </si>
  <si>
    <r>
      <rPr>
        <b/>
        <sz val="10"/>
        <rFont val="Arial"/>
        <family val="2"/>
      </rPr>
      <t>Debit side</t>
    </r>
    <r>
      <rPr>
        <sz val="10"/>
        <rFont val="Arial"/>
        <family val="2"/>
      </rPr>
      <t xml:space="preserve">
  - Accounting type: Deposit
</t>
    </r>
    <r>
      <rPr>
        <sz val="10"/>
        <color rgb="FF00B0F0"/>
        <rFont val="Arial"/>
        <family val="2"/>
      </rPr>
      <t xml:space="preserve">  - Available balance of master &lt; Debit amount &lt;= Available balance of linkage</t>
    </r>
    <r>
      <rPr>
        <sz val="10"/>
        <rFont val="Arial"/>
        <family val="2"/>
      </rPr>
      <t xml:space="preserve">
  - Deposit type: Current/ Saving
  - Deposit sub type &lt;&gt; Shwe Cash call deposit account
  - Deposit status: Normal
</t>
    </r>
    <r>
      <rPr>
        <sz val="10"/>
        <color rgb="FF00B0F0"/>
        <rFont val="Arial"/>
        <family val="2"/>
      </rPr>
      <t xml:space="preserve">  - Has linkage account for fund transfer</t>
    </r>
    <r>
      <rPr>
        <sz val="10"/>
        <rFont val="Arial"/>
        <family val="2"/>
      </rPr>
      <t xml:space="preserve">
</t>
    </r>
    <r>
      <rPr>
        <b/>
        <sz val="10"/>
        <rFont val="Arial"/>
        <family val="2"/>
      </rPr>
      <t>Linkage account</t>
    </r>
    <r>
      <rPr>
        <sz val="10"/>
        <rFont val="Arial"/>
        <family val="2"/>
      </rPr>
      <t xml:space="preserve">
  - Deposit type: Saving
  - Deposit status: Normal
  - Linkage class: Auto fund transfer
</t>
    </r>
    <r>
      <rPr>
        <b/>
        <sz val="10"/>
        <rFont val="Arial"/>
        <family val="2"/>
      </rPr>
      <t xml:space="preserve">Credit side
</t>
    </r>
    <r>
      <rPr>
        <sz val="10"/>
        <rFont val="Arial"/>
        <family val="2"/>
      </rPr>
      <t xml:space="preserve">  - Accounting type: Deposit
  - Credit amount &gt; 0
  - Deposit type: Current/ Saving
  - Deposit status: Normal</t>
    </r>
    <r>
      <rPr>
        <b/>
        <sz val="10"/>
        <rFont val="Arial"/>
        <family val="2"/>
      </rPr>
      <t xml:space="preserve">
</t>
    </r>
    <r>
      <rPr>
        <sz val="10"/>
        <rFont val="Arial"/>
        <family val="2"/>
      </rPr>
      <t xml:space="preserve">
1. Open "FX Transaction" screen
2. Choose Accounting type from Debit
3. Input Account number
4. Input Debit amount
5. Choose Accounting type from Credit
6. Input Account number
7. Input Credit amount
8. Click accpet</t>
    </r>
  </si>
  <si>
    <r>
      <rPr>
        <b/>
        <sz val="10"/>
        <rFont val="Arial"/>
        <family val="2"/>
      </rPr>
      <t>Debit side</t>
    </r>
    <r>
      <rPr>
        <sz val="10"/>
        <rFont val="Arial"/>
        <family val="2"/>
      </rPr>
      <t xml:space="preserve">
  - Accounting type: Deposit
  - 0 &lt; Debit amount &lt;= Available balance
  - Deposit type: Current/ Saving
  - Deposit status: Normal
</t>
    </r>
    <r>
      <rPr>
        <b/>
        <sz val="10"/>
        <rFont val="Arial"/>
        <family val="2"/>
      </rPr>
      <t>Credit side</t>
    </r>
    <r>
      <rPr>
        <sz val="10"/>
        <rFont val="Arial"/>
        <family val="2"/>
      </rPr>
      <t xml:space="preserve">
  - Accounting type: Accounting
  - Credit amount &gt; 0
  - Posting side: Credit/ Both
  - Account level: 9
  - Account group &lt;&gt; Cash
  - Direct posting: Yes
</t>
    </r>
    <r>
      <rPr>
        <b/>
        <sz val="10"/>
        <color rgb="FF00B0F0"/>
        <rFont val="Arial"/>
        <family val="2"/>
      </rPr>
      <t xml:space="preserve">Debit currency = Credit currency = Base currency </t>
    </r>
    <r>
      <rPr>
        <b/>
        <sz val="10"/>
        <rFont val="Arial"/>
        <family val="2"/>
      </rPr>
      <t xml:space="preserve">
</t>
    </r>
    <r>
      <rPr>
        <sz val="10"/>
        <rFont val="Arial"/>
        <family val="2"/>
      </rPr>
      <t xml:space="preserve">
1. Open "FX Transaction" screen
2. Choose Accounting type from Debit
3. Input Account number
4. Input Debit amount
5. Choose Accounting type from Credit
6. Input Account number
7. Input Credit amount
8. Click accpet</t>
    </r>
  </si>
  <si>
    <r>
      <rPr>
        <b/>
        <sz val="10"/>
        <rFont val="Arial"/>
        <family val="2"/>
      </rPr>
      <t>Debit side</t>
    </r>
    <r>
      <rPr>
        <sz val="10"/>
        <rFont val="Arial"/>
        <family val="2"/>
      </rPr>
      <t xml:space="preserve">
  - Accounting type: Deposit
  - 0 &lt; Debit amount &lt;= Available balance
  - Deposit type: Current/ Saving
  - Deposit status: Normal
</t>
    </r>
    <r>
      <rPr>
        <b/>
        <sz val="10"/>
        <rFont val="Arial"/>
        <family val="2"/>
      </rPr>
      <t>Credit side</t>
    </r>
    <r>
      <rPr>
        <sz val="10"/>
        <rFont val="Arial"/>
        <family val="2"/>
      </rPr>
      <t xml:space="preserve">
  - Accounting type: Accounting
  - Credit amount &gt; 0
  - Posting side: Credit/ Both
  - Account level: 9
  - Account group &lt;&gt; Cash
  - Direct posting: Yes
</t>
    </r>
    <r>
      <rPr>
        <b/>
        <sz val="10"/>
        <color rgb="FF00B0F0"/>
        <rFont val="Arial"/>
        <family val="2"/>
      </rPr>
      <t xml:space="preserve">Debit currency = Base currency &lt;&gt; Credit currency
</t>
    </r>
    <r>
      <rPr>
        <sz val="10"/>
        <rFont val="Arial"/>
        <family val="2"/>
      </rPr>
      <t xml:space="preserve">
1. Open "FX Transaction" screen
2. Choose Accounting type from Debit
3. Input Account number
4. Input Debit amount
5. Choose Accounting type from Credit
6. Input Account number
7. Input Credit amount
8. Click accpet</t>
    </r>
  </si>
  <si>
    <r>
      <rPr>
        <b/>
        <sz val="10"/>
        <rFont val="Arial"/>
        <family val="2"/>
      </rPr>
      <t>Debit side</t>
    </r>
    <r>
      <rPr>
        <sz val="10"/>
        <rFont val="Arial"/>
        <family val="2"/>
      </rPr>
      <t xml:space="preserve">
  - Accounting type: Deposit
  - 0 &lt; Debit amount &lt;= Available balance
  - Deposit type: Current/ Saving
  - Deposit status: Normal
</t>
    </r>
    <r>
      <rPr>
        <b/>
        <sz val="10"/>
        <rFont val="Arial"/>
        <family val="2"/>
      </rPr>
      <t>Credit side</t>
    </r>
    <r>
      <rPr>
        <sz val="10"/>
        <rFont val="Arial"/>
        <family val="2"/>
      </rPr>
      <t xml:space="preserve">
  - Accounting type: Accounting
  - Credit amount &gt; 0
  - Posting side: Credit/ Both
  - Account level: 9
  - Account group &lt;&gt; Cash
  - Direct posting: Yes
</t>
    </r>
    <r>
      <rPr>
        <b/>
        <sz val="10"/>
        <color rgb="FF00B0F0"/>
        <rFont val="Arial"/>
        <family val="2"/>
      </rPr>
      <t xml:space="preserve">Debit currency &lt;&gt; Credit currency = Base currency
</t>
    </r>
    <r>
      <rPr>
        <sz val="10"/>
        <rFont val="Arial"/>
        <family val="2"/>
      </rPr>
      <t xml:space="preserve">
1. Open "FX Transaction" screen
2. Choose Accounting type from Debit
3. Input Account number
4. Input Debit amount
5. Choose Accounting type from Credit
6. Input Account number
7. Input Credit amount
8. Click accpet</t>
    </r>
  </si>
  <si>
    <r>
      <rPr>
        <b/>
        <sz val="10"/>
        <rFont val="Arial"/>
        <family val="2"/>
      </rPr>
      <t>Debit side</t>
    </r>
    <r>
      <rPr>
        <sz val="10"/>
        <rFont val="Arial"/>
        <family val="2"/>
      </rPr>
      <t xml:space="preserve">
  - Accounting type: Deposit
  - 0 &lt; Debit amount &lt;= Available balance
  - Deposit type: Current/ Saving
  - Deposit status: Normal
</t>
    </r>
    <r>
      <rPr>
        <b/>
        <sz val="10"/>
        <rFont val="Arial"/>
        <family val="2"/>
      </rPr>
      <t>Credit side</t>
    </r>
    <r>
      <rPr>
        <sz val="10"/>
        <rFont val="Arial"/>
        <family val="2"/>
      </rPr>
      <t xml:space="preserve">
  - Accounting type: Accounting
  - Credit amount &gt; 0
  - Posting side: Credit/ Both
  - Account level: 9
  - Account group &lt;&gt; Cash
  - Direct posting: Yes
</t>
    </r>
    <r>
      <rPr>
        <b/>
        <sz val="10"/>
        <color rgb="FF00B0F0"/>
        <rFont val="Arial"/>
        <family val="2"/>
      </rPr>
      <t>Debit currency &lt;&gt; Credit currency</t>
    </r>
    <r>
      <rPr>
        <b/>
        <sz val="10"/>
        <rFont val="Arial"/>
        <family val="2"/>
      </rPr>
      <t xml:space="preserve">
</t>
    </r>
    <r>
      <rPr>
        <sz val="10"/>
        <rFont val="Arial"/>
        <family val="2"/>
      </rPr>
      <t xml:space="preserve">
1. Open "FX Transaction" screen
2. Choose Accounting type from Debit
3. Input Account number
4. Input Debit amount
5. Choose Accounting type from Credit
6. Input Account number
7. Input Credit amount
8. Click accpet</t>
    </r>
  </si>
  <si>
    <r>
      <rPr>
        <b/>
        <sz val="10"/>
        <rFont val="Arial"/>
        <family val="2"/>
      </rPr>
      <t>Debit side</t>
    </r>
    <r>
      <rPr>
        <sz val="10"/>
        <rFont val="Arial"/>
        <family val="2"/>
      </rPr>
      <t xml:space="preserve">
  - Accounting type: Deposit
  - 0 &lt; Debit amount &lt;= Available balance
  - Deposit type: Current/ Saving
  - Deposit status: Normal
</t>
    </r>
    <r>
      <rPr>
        <b/>
        <sz val="10"/>
        <rFont val="Arial"/>
        <family val="2"/>
      </rPr>
      <t>Credit side</t>
    </r>
    <r>
      <rPr>
        <sz val="10"/>
        <rFont val="Arial"/>
        <family val="2"/>
      </rPr>
      <t xml:space="preserve">
  - Accounting type: Accounting
  - Credit amount &gt; 0
  - Posting side: Credit/ Both
  - Account level: 9
  - Account group &lt;&gt; Cash
  - Direct posting: Yes
</t>
    </r>
    <r>
      <rPr>
        <b/>
        <sz val="10"/>
        <color rgb="FF00B0F0"/>
        <rFont val="Arial"/>
        <family val="2"/>
      </rPr>
      <t>Total fee &lt;= Receive amount</t>
    </r>
    <r>
      <rPr>
        <b/>
        <sz val="10"/>
        <rFont val="Arial"/>
        <family val="2"/>
      </rPr>
      <t xml:space="preserve">
</t>
    </r>
    <r>
      <rPr>
        <sz val="10"/>
        <rFont val="Arial"/>
        <family val="2"/>
      </rPr>
      <t xml:space="preserve">
1. Open "FX Transaction" screen
2. Choose Accounting type from Debit
3. Input Account number
4. Input Debit amount
5. Choose Accounting type from Credit
6. Input Account number
7. Input Credit amount
8. Add fee
9. Click accpet</t>
    </r>
  </si>
  <si>
    <r>
      <rPr>
        <b/>
        <sz val="10"/>
        <rFont val="Arial"/>
        <family val="2"/>
      </rPr>
      <t>Debit side</t>
    </r>
    <r>
      <rPr>
        <sz val="10"/>
        <rFont val="Arial"/>
        <family val="2"/>
      </rPr>
      <t xml:space="preserve">
  - Accounting type: Accounting
  - Debit amount &gt; 0
  - Posting side: Debit/ Both
  - Account level: 9
  - Account group &lt;&gt; Cash
  - Direct posting: Yes
</t>
    </r>
    <r>
      <rPr>
        <b/>
        <sz val="10"/>
        <rFont val="Arial"/>
        <family val="2"/>
      </rPr>
      <t>Credit side</t>
    </r>
    <r>
      <rPr>
        <sz val="10"/>
        <rFont val="Arial"/>
        <family val="2"/>
      </rPr>
      <t xml:space="preserve">
  - Accounting type: Cash
  - Credit amount &gt; 0
</t>
    </r>
    <r>
      <rPr>
        <b/>
        <sz val="10"/>
        <rFont val="Arial"/>
        <family val="2"/>
      </rPr>
      <t>Teller does this transaction</t>
    </r>
    <r>
      <rPr>
        <sz val="10"/>
        <rFont val="Arial"/>
        <family val="2"/>
      </rPr>
      <t xml:space="preserve">
  - User has right to do transaction related to cash
  - User has enough cash to withdraw
</t>
    </r>
    <r>
      <rPr>
        <b/>
        <sz val="10"/>
        <color rgb="FF00B0F0"/>
        <rFont val="Arial"/>
        <family val="2"/>
      </rPr>
      <t xml:space="preserve">Debit currency = Credit currency = Base currency </t>
    </r>
    <r>
      <rPr>
        <b/>
        <sz val="10"/>
        <rFont val="Arial"/>
        <family val="2"/>
      </rPr>
      <t xml:space="preserve">
</t>
    </r>
    <r>
      <rPr>
        <sz val="10"/>
        <rFont val="Arial"/>
        <family val="2"/>
      </rPr>
      <t xml:space="preserve">
1. Open "FX Transaction" screen
2. Choose Accounting type from Debit
3. Input Account number
4. Input Debit amount
5. Choose Accounting type from Credit
6. Input Credit amount
7. Click accpet</t>
    </r>
  </si>
  <si>
    <r>
      <rPr>
        <b/>
        <sz val="10"/>
        <rFont val="Arial"/>
        <family val="2"/>
      </rPr>
      <t>Debit side</t>
    </r>
    <r>
      <rPr>
        <sz val="10"/>
        <rFont val="Arial"/>
        <family val="2"/>
      </rPr>
      <t xml:space="preserve">
  - Accounting type: Accounting
  - Debit amount &gt; 0
  - Posting side: Debit/ Both
  - Account level: 9
  - Account group &lt;&gt; Cash
  - Direct posting: Yes
</t>
    </r>
    <r>
      <rPr>
        <b/>
        <sz val="10"/>
        <rFont val="Arial"/>
        <family val="2"/>
      </rPr>
      <t xml:space="preserve">Credit side
</t>
    </r>
    <r>
      <rPr>
        <sz val="10"/>
        <rFont val="Arial"/>
        <family val="2"/>
      </rPr>
      <t xml:space="preserve">  - Accounting type: Cash
  - Credit amount &gt; 0
</t>
    </r>
    <r>
      <rPr>
        <b/>
        <sz val="10"/>
        <rFont val="Arial"/>
        <family val="2"/>
      </rPr>
      <t>Teller does this transaction</t>
    </r>
    <r>
      <rPr>
        <sz val="10"/>
        <rFont val="Arial"/>
        <family val="2"/>
      </rPr>
      <t xml:space="preserve">
  - User has right to do transaction related to cash
  - User has enough cash to withdraw
</t>
    </r>
    <r>
      <rPr>
        <b/>
        <sz val="10"/>
        <color rgb="FF00B0F0"/>
        <rFont val="Arial"/>
        <family val="2"/>
      </rPr>
      <t>Debit currency = Base currency &lt;&gt; Credit currency</t>
    </r>
    <r>
      <rPr>
        <b/>
        <sz val="10"/>
        <rFont val="Arial"/>
        <family val="2"/>
      </rPr>
      <t xml:space="preserve">
</t>
    </r>
    <r>
      <rPr>
        <sz val="10"/>
        <rFont val="Arial"/>
        <family val="2"/>
      </rPr>
      <t xml:space="preserve">
1. Open "FX Transaction" screen
2. Choose Accounting type from Debit
3. Input Account number
4. Input Debit amount
5. Choose Accounting type from Credit
6. Input Credit amount
7. Click accpet</t>
    </r>
  </si>
  <si>
    <r>
      <rPr>
        <b/>
        <sz val="10"/>
        <rFont val="Arial"/>
        <family val="2"/>
      </rPr>
      <t>Debit side</t>
    </r>
    <r>
      <rPr>
        <sz val="10"/>
        <rFont val="Arial"/>
        <family val="2"/>
      </rPr>
      <t xml:space="preserve">
  - Accounting type: Accounting
  - Debit amount &gt; 0
  - Posting side: Debit/ Both
  - Account level: 9
  - Account group &lt;&gt; Cash
  - Direct posting: Yes
</t>
    </r>
    <r>
      <rPr>
        <b/>
        <sz val="10"/>
        <rFont val="Arial"/>
        <family val="2"/>
      </rPr>
      <t xml:space="preserve">Credit side
</t>
    </r>
    <r>
      <rPr>
        <sz val="10"/>
        <rFont val="Arial"/>
        <family val="2"/>
      </rPr>
      <t xml:space="preserve">  - Accounting type: Cash
  - Credit amount &gt; 0
</t>
    </r>
    <r>
      <rPr>
        <b/>
        <sz val="10"/>
        <rFont val="Arial"/>
        <family val="2"/>
      </rPr>
      <t>Teller does this transaction</t>
    </r>
    <r>
      <rPr>
        <sz val="10"/>
        <rFont val="Arial"/>
        <family val="2"/>
      </rPr>
      <t xml:space="preserve">
  - User has right to do transaction related to cash
  - User has enough cash to withdraw
</t>
    </r>
    <r>
      <rPr>
        <b/>
        <sz val="10"/>
        <color rgb="FF00B0F0"/>
        <rFont val="Arial"/>
        <family val="2"/>
      </rPr>
      <t>'Debit currency &lt;&gt; Credit currency = Base currency</t>
    </r>
    <r>
      <rPr>
        <b/>
        <sz val="10"/>
        <rFont val="Arial"/>
        <family val="2"/>
      </rPr>
      <t xml:space="preserve">
</t>
    </r>
    <r>
      <rPr>
        <sz val="10"/>
        <rFont val="Arial"/>
        <family val="2"/>
      </rPr>
      <t xml:space="preserve">
1. Open "FX Transaction" screen
2. Choose Accounting type from Debit
3. Input Account number
4. Input Debit amount
5. Choose Accounting type from Credit
6. Input Credit amount
7. Click accpet</t>
    </r>
  </si>
  <si>
    <r>
      <rPr>
        <b/>
        <sz val="10"/>
        <rFont val="Arial"/>
        <family val="2"/>
      </rPr>
      <t>Debit side</t>
    </r>
    <r>
      <rPr>
        <sz val="10"/>
        <rFont val="Arial"/>
        <family val="2"/>
      </rPr>
      <t xml:space="preserve">
  - Accounting type: Accounting
  - Debit amount &gt; 0
  - Posting side: Debit/ Both
  - Account level: 9
  - Account group &lt;&gt; Cash
  - Direct posting: Yes
</t>
    </r>
    <r>
      <rPr>
        <b/>
        <sz val="10"/>
        <rFont val="Arial"/>
        <family val="2"/>
      </rPr>
      <t xml:space="preserve">Credit side
</t>
    </r>
    <r>
      <rPr>
        <sz val="10"/>
        <rFont val="Arial"/>
        <family val="2"/>
      </rPr>
      <t xml:space="preserve">  - Accounting type: Cash
  - Credit amount &gt; 0
</t>
    </r>
    <r>
      <rPr>
        <b/>
        <sz val="10"/>
        <rFont val="Arial"/>
        <family val="2"/>
      </rPr>
      <t>Teller does this transaction</t>
    </r>
    <r>
      <rPr>
        <sz val="10"/>
        <rFont val="Arial"/>
        <family val="2"/>
      </rPr>
      <t xml:space="preserve">
  - User has right to do transaction related to cash
  - User has enough cash to withdraw
</t>
    </r>
    <r>
      <rPr>
        <b/>
        <sz val="10"/>
        <color rgb="FF00B0F0"/>
        <rFont val="Arial"/>
        <family val="2"/>
      </rPr>
      <t>Debit currency &lt;&gt; Credit currency</t>
    </r>
    <r>
      <rPr>
        <b/>
        <sz val="10"/>
        <rFont val="Arial"/>
        <family val="2"/>
      </rPr>
      <t xml:space="preserve">
</t>
    </r>
    <r>
      <rPr>
        <sz val="10"/>
        <rFont val="Arial"/>
        <family val="2"/>
      </rPr>
      <t xml:space="preserve">
1. Open "FX Transaction" screen
2. Choose Accounting type from Debit
3. Input Account number
4. Input Debit amount
5. Choose Accounting type from Credit
6. Input Credit amount
7. Click accpet</t>
    </r>
  </si>
  <si>
    <r>
      <rPr>
        <b/>
        <sz val="10"/>
        <rFont val="Arial"/>
        <family val="2"/>
      </rPr>
      <t>Debit side</t>
    </r>
    <r>
      <rPr>
        <sz val="10"/>
        <rFont val="Arial"/>
        <family val="2"/>
      </rPr>
      <t xml:space="preserve">
  - Accounting type: Accounting
  - Debit amount &gt; 0
  - Posting side: Debit/ Both
  - Account level: 9
  - Account group &lt;&gt; Cash
  - Direct posting: Yes
</t>
    </r>
    <r>
      <rPr>
        <b/>
        <sz val="10"/>
        <rFont val="Arial"/>
        <family val="2"/>
      </rPr>
      <t xml:space="preserve">Credit side
</t>
    </r>
    <r>
      <rPr>
        <sz val="10"/>
        <rFont val="Arial"/>
        <family val="2"/>
      </rPr>
      <t xml:space="preserve">  - Accounting type: Cash
  - Credit amount &gt; 0
</t>
    </r>
    <r>
      <rPr>
        <b/>
        <sz val="10"/>
        <rFont val="Arial"/>
        <family val="2"/>
      </rPr>
      <t>Teller does this transaction</t>
    </r>
    <r>
      <rPr>
        <sz val="10"/>
        <rFont val="Arial"/>
        <family val="2"/>
      </rPr>
      <t xml:space="preserve">
  - User has right to do transaction related to cash
  - User has enough cash to withdraw
</t>
    </r>
    <r>
      <rPr>
        <b/>
        <sz val="10"/>
        <color rgb="FF00B0F0"/>
        <rFont val="Arial"/>
        <family val="2"/>
      </rPr>
      <t>Total fee &lt;= Receive amount</t>
    </r>
    <r>
      <rPr>
        <b/>
        <sz val="10"/>
        <rFont val="Arial"/>
        <family val="2"/>
      </rPr>
      <t xml:space="preserve">
</t>
    </r>
    <r>
      <rPr>
        <sz val="10"/>
        <rFont val="Arial"/>
        <family val="2"/>
      </rPr>
      <t xml:space="preserve">
1. Open "FX Transaction" screen
2. Choose Accounting type from Debit
3. Input Account number
4. Input Debit amount
5. Choose Accounting type from Credit
6. Input Credit amount
7. Add fee
8. Click accpet</t>
    </r>
  </si>
  <si>
    <r>
      <rPr>
        <b/>
        <sz val="10"/>
        <rFont val="Arial"/>
        <family val="2"/>
      </rPr>
      <t>Debit side</t>
    </r>
    <r>
      <rPr>
        <sz val="10"/>
        <rFont val="Arial"/>
        <family val="2"/>
      </rPr>
      <t xml:space="preserve">
  - Accounting type: Accounting
  - Debit amount &gt; 0
  - Posting side: Debit/ Both
  - Account level: 9
  - Account group &lt;&gt; Cash
  - Direct posting: Yes
</t>
    </r>
    <r>
      <rPr>
        <b/>
        <sz val="10"/>
        <rFont val="Arial"/>
        <family val="2"/>
      </rPr>
      <t>Credit side</t>
    </r>
    <r>
      <rPr>
        <sz val="10"/>
        <rFont val="Arial"/>
        <family val="2"/>
      </rPr>
      <t xml:space="preserve">
  - Accounting type: Deposit
  - Credit amount &gt; 0
  - Deposit type: Current/ Saving
  - Deposit sub type &lt;&gt; Shwe Cash call deposit account
  - Deposit status: Normal
</t>
    </r>
    <r>
      <rPr>
        <b/>
        <sz val="10"/>
        <color rgb="FF00B0F0"/>
        <rFont val="Arial"/>
        <family val="2"/>
      </rPr>
      <t xml:space="preserve">Debit currency = Credit currency = Base currency </t>
    </r>
    <r>
      <rPr>
        <b/>
        <sz val="10"/>
        <rFont val="Arial"/>
        <family val="2"/>
      </rPr>
      <t xml:space="preserve">
</t>
    </r>
    <r>
      <rPr>
        <sz val="10"/>
        <rFont val="Arial"/>
        <family val="2"/>
      </rPr>
      <t xml:space="preserve">
1. Open "FX Transaction" screen
2. Choose Accounting type from Debit
3. Input Account number
4. Input Debit amount
5. Choose Accounting type from Credit
6. Input Account number
7. Input Credit amount
8. Click accpet</t>
    </r>
  </si>
  <si>
    <r>
      <rPr>
        <b/>
        <sz val="10"/>
        <rFont val="Arial"/>
        <family val="2"/>
      </rPr>
      <t>Debit side</t>
    </r>
    <r>
      <rPr>
        <sz val="10"/>
        <rFont val="Arial"/>
        <family val="2"/>
      </rPr>
      <t xml:space="preserve">
  - Accounting type: Accounting
  - Debit amount &gt; 0
  - Posting side: Debit/ Both
  - Account level: 9
  - Account group &lt;&gt; Cash
  - Direct posting: Yes
</t>
    </r>
    <r>
      <rPr>
        <b/>
        <sz val="10"/>
        <rFont val="Arial"/>
        <family val="2"/>
      </rPr>
      <t>Credit side</t>
    </r>
    <r>
      <rPr>
        <sz val="10"/>
        <rFont val="Arial"/>
        <family val="2"/>
      </rPr>
      <t xml:space="preserve">
  - Accounting type: Deposit
  - Credit amount &gt; 0
  - Deposit type: Current/ Saving
  - Deposit sub type &lt;&gt; Shwe Cash call deposit account
  - Deposit status: Normal
</t>
    </r>
    <r>
      <rPr>
        <b/>
        <sz val="10"/>
        <color rgb="FF00B0F0"/>
        <rFont val="Arial"/>
        <family val="2"/>
      </rPr>
      <t>Debit currency = Base currency &lt;&gt; Credit currency</t>
    </r>
    <r>
      <rPr>
        <b/>
        <sz val="10"/>
        <rFont val="Arial"/>
        <family val="2"/>
      </rPr>
      <t xml:space="preserve">
</t>
    </r>
    <r>
      <rPr>
        <sz val="10"/>
        <rFont val="Arial"/>
        <family val="2"/>
      </rPr>
      <t xml:space="preserve">
1. Open "FX Transaction" screen
2. Choose Accounting type from Debit
3. Input Account number
4. Input Debit amount
5. Choose Accounting type from Credit
6. Input Account number
7. Input Credit amount
8. Click accpet</t>
    </r>
  </si>
  <si>
    <r>
      <rPr>
        <b/>
        <sz val="10"/>
        <rFont val="Arial"/>
        <family val="2"/>
      </rPr>
      <t>Debit side</t>
    </r>
    <r>
      <rPr>
        <sz val="10"/>
        <rFont val="Arial"/>
        <family val="2"/>
      </rPr>
      <t xml:space="preserve">
  - Accounting type: Accounting
  - Debit amount &gt; 0
  - Posting side: Debit/ Both
  - Account level: 9
  - Account group &lt;&gt; Cash
  - Direct posting: Yes
</t>
    </r>
    <r>
      <rPr>
        <b/>
        <sz val="10"/>
        <rFont val="Arial"/>
        <family val="2"/>
      </rPr>
      <t>Credit side</t>
    </r>
    <r>
      <rPr>
        <sz val="10"/>
        <rFont val="Arial"/>
        <family val="2"/>
      </rPr>
      <t xml:space="preserve">
  - Accounting type: Deposit
  - Credit amount &gt; 0
  - Deposit type: Current/ Saving
  - Deposit sub type &lt;&gt; Shwe Cash call deposit account
  - Deposit status: Normal
</t>
    </r>
    <r>
      <rPr>
        <b/>
        <sz val="10"/>
        <color rgb="FF00B0F0"/>
        <rFont val="Arial"/>
        <family val="2"/>
      </rPr>
      <t xml:space="preserve">Debit currency &lt;&gt; Credit currency = Base currency
</t>
    </r>
    <r>
      <rPr>
        <sz val="10"/>
        <rFont val="Arial"/>
        <family val="2"/>
      </rPr>
      <t xml:space="preserve">
1. Open "FX Transaction" screen
2. Choose Accounting type from Debit
3. Input Account number
4. Input Debit amount
5. Choose Accounting type from Credit
6. Input Account number
7. Input Credit amount
8. Click accpet</t>
    </r>
  </si>
  <si>
    <r>
      <rPr>
        <b/>
        <sz val="10"/>
        <rFont val="Arial"/>
        <family val="2"/>
      </rPr>
      <t>Debit side</t>
    </r>
    <r>
      <rPr>
        <sz val="10"/>
        <rFont val="Arial"/>
        <family val="2"/>
      </rPr>
      <t xml:space="preserve">
  - Accounting type: Accounting
  - Debit amount &gt; 0
  - Posting side: Debit/ Both
  - Account level: 9
  - Account group &lt;&gt; Cash
  - Direct posting: Yes
</t>
    </r>
    <r>
      <rPr>
        <b/>
        <sz val="10"/>
        <rFont val="Arial"/>
        <family val="2"/>
      </rPr>
      <t>Credit side</t>
    </r>
    <r>
      <rPr>
        <sz val="10"/>
        <rFont val="Arial"/>
        <family val="2"/>
      </rPr>
      <t xml:space="preserve">
  - Accounting type: Deposit
  - Credit amount &gt; 0
  - Deposit type: Current/ Saving
  - Deposit sub type &lt;&gt; Shwe Cash call deposit account
  - Deposit status: Normal
</t>
    </r>
    <r>
      <rPr>
        <b/>
        <sz val="10"/>
        <color rgb="FF00B0F0"/>
        <rFont val="Arial"/>
        <family val="2"/>
      </rPr>
      <t>Debit currency &lt;&gt; Credit currency</t>
    </r>
    <r>
      <rPr>
        <b/>
        <sz val="10"/>
        <rFont val="Arial"/>
        <family val="2"/>
      </rPr>
      <t xml:space="preserve">
</t>
    </r>
    <r>
      <rPr>
        <sz val="10"/>
        <rFont val="Arial"/>
        <family val="2"/>
      </rPr>
      <t xml:space="preserve">
1. Open "FX Transaction" screen
2. Choose Accounting type from Debit
3. Input Account number
4. Input Debit amount
5. Choose Accounting type from Credit
6. Input Account number
7. Input Credit amount
8. Click accpet</t>
    </r>
  </si>
  <si>
    <r>
      <rPr>
        <b/>
        <sz val="10"/>
        <rFont val="Arial"/>
        <family val="2"/>
      </rPr>
      <t>Debit side</t>
    </r>
    <r>
      <rPr>
        <sz val="10"/>
        <rFont val="Arial"/>
        <family val="2"/>
      </rPr>
      <t xml:space="preserve">
  - Accounting type: Accounting
  - Debit amount &gt; 0
  - Posting side: Debit/ Both
  - Account level: 9
  - Account group &lt;&gt; Cash
  - Direct posting: Yes
</t>
    </r>
    <r>
      <rPr>
        <b/>
        <sz val="10"/>
        <rFont val="Arial"/>
        <family val="2"/>
      </rPr>
      <t>Credit side</t>
    </r>
    <r>
      <rPr>
        <sz val="10"/>
        <rFont val="Arial"/>
        <family val="2"/>
      </rPr>
      <t xml:space="preserve">
  - Accounting type: Deposit
  - Credit amount &gt; 0
  - Deposit type: Current/ Saving
  - Deposit sub type &lt;&gt; Shwe Cash call deposit account
  - Deposit status: Normal
</t>
    </r>
    <r>
      <rPr>
        <b/>
        <sz val="10"/>
        <color rgb="FF00B0F0"/>
        <rFont val="Arial"/>
        <family val="2"/>
      </rPr>
      <t>Total fee &lt;= Receive amount</t>
    </r>
    <r>
      <rPr>
        <b/>
        <sz val="10"/>
        <rFont val="Arial"/>
        <family val="2"/>
      </rPr>
      <t xml:space="preserve">
</t>
    </r>
    <r>
      <rPr>
        <sz val="10"/>
        <rFont val="Arial"/>
        <family val="2"/>
      </rPr>
      <t xml:space="preserve">
1. Open "FX Transaction" screen
2. Choose Accounting type from Debit
3. Input Account number
4. Input Debit amount
5. Choose Accounting type from Credit
6. Input Account number
7. Input Credit amount
8. Add fee
9. Click accpet</t>
    </r>
  </si>
  <si>
    <r>
      <rPr>
        <b/>
        <sz val="10"/>
        <rFont val="Arial"/>
        <family val="2"/>
      </rPr>
      <t>Debit side</t>
    </r>
    <r>
      <rPr>
        <sz val="10"/>
        <rFont val="Arial"/>
        <family val="2"/>
      </rPr>
      <t xml:space="preserve">
  - Accounting type: Accounting
  - Debit amount &gt; 0
  - Posting side: Debit/ Both
  - Account level: 9
  - Account group &lt;&gt; Cash
  - Direct posting: Yes
</t>
    </r>
    <r>
      <rPr>
        <b/>
        <sz val="10"/>
        <rFont val="Arial"/>
        <family val="2"/>
      </rPr>
      <t>Credit side</t>
    </r>
    <r>
      <rPr>
        <sz val="10"/>
        <rFont val="Arial"/>
        <family val="2"/>
      </rPr>
      <t xml:space="preserve">
  - Accounting type: Accounting
  - Credit amount &gt; 0
  - Posting side: Credit/ Both
  - Account level: 9
  - Account group &lt;&gt; Cash
  - Direct posting: Yes
</t>
    </r>
    <r>
      <rPr>
        <b/>
        <sz val="10"/>
        <color rgb="FF00B0F0"/>
        <rFont val="Arial"/>
        <family val="2"/>
      </rPr>
      <t xml:space="preserve">Debit currency = Credit currency = Base currency </t>
    </r>
    <r>
      <rPr>
        <b/>
        <sz val="10"/>
        <rFont val="Arial"/>
        <family val="2"/>
      </rPr>
      <t xml:space="preserve">
</t>
    </r>
    <r>
      <rPr>
        <sz val="10"/>
        <rFont val="Arial"/>
        <family val="2"/>
      </rPr>
      <t xml:space="preserve">
1. Open "FX Transaction" screen
2. Choose Accounting type from Debit
3. Input Account number
4. Input Debit amount
5. Choose Accounting type from Credit
6. Input Account number
7. Input Credit amount
8. Click accpet</t>
    </r>
  </si>
  <si>
    <r>
      <rPr>
        <b/>
        <sz val="10"/>
        <rFont val="Arial"/>
        <family val="2"/>
      </rPr>
      <t>Debit side</t>
    </r>
    <r>
      <rPr>
        <sz val="10"/>
        <rFont val="Arial"/>
        <family val="2"/>
      </rPr>
      <t xml:space="preserve">
  - Accounting type: Accounting
  - Debit amount &gt; 0
  - Posting side: Debit/ Both
  - Account level: 9
  - Account group &lt;&gt; Cash
  - Direct posting: Yes
</t>
    </r>
    <r>
      <rPr>
        <b/>
        <sz val="10"/>
        <rFont val="Arial"/>
        <family val="2"/>
      </rPr>
      <t>Credit side</t>
    </r>
    <r>
      <rPr>
        <sz val="10"/>
        <rFont val="Arial"/>
        <family val="2"/>
      </rPr>
      <t xml:space="preserve">
  - Accounting type: Accounting
  - Credit amount &gt; 0
  - Posting side: Credit/ Both
  - Account level: 9
  - Account group &lt;&gt; Cash
  - Direct posting: Yes
</t>
    </r>
    <r>
      <rPr>
        <b/>
        <sz val="10"/>
        <color rgb="FF00B0F0"/>
        <rFont val="Arial"/>
        <family val="2"/>
      </rPr>
      <t>Debit currency = Base currency &lt;&gt; Credit currency</t>
    </r>
    <r>
      <rPr>
        <b/>
        <sz val="10"/>
        <rFont val="Arial"/>
        <family val="2"/>
      </rPr>
      <t xml:space="preserve">
</t>
    </r>
    <r>
      <rPr>
        <sz val="10"/>
        <rFont val="Arial"/>
        <family val="2"/>
      </rPr>
      <t xml:space="preserve">
1. Open "FX Transaction" screen
2. Choose Accounting type from Debit
3. Input Account number
4. Input Debit amount
5. Choose Accounting type from Credit
6. Input Account number
7. Input Credit amount
8. Click accpet</t>
    </r>
  </si>
  <si>
    <r>
      <rPr>
        <b/>
        <sz val="10"/>
        <rFont val="Arial"/>
        <family val="2"/>
      </rPr>
      <t>Debit side</t>
    </r>
    <r>
      <rPr>
        <sz val="10"/>
        <rFont val="Arial"/>
        <family val="2"/>
      </rPr>
      <t xml:space="preserve">
  - Accounting type: Accounting
  - Debit amount &gt; 0
  - Posting side: Debit/ Both
  - Account level: 9
  - Account group &lt;&gt; Cash
  - Direct posting: Yes
</t>
    </r>
    <r>
      <rPr>
        <b/>
        <sz val="10"/>
        <rFont val="Arial"/>
        <family val="2"/>
      </rPr>
      <t>Credit side</t>
    </r>
    <r>
      <rPr>
        <sz val="10"/>
        <rFont val="Arial"/>
        <family val="2"/>
      </rPr>
      <t xml:space="preserve">
  - Accounting type: Accounting
  - Credit amount &gt; 0
  - Posting side: Credit/ Both
  - Account level: 9
  - Account group &lt;&gt; Cash
  - Direct posting: Yes
</t>
    </r>
    <r>
      <rPr>
        <b/>
        <sz val="10"/>
        <color rgb="FF00B0F0"/>
        <rFont val="Arial"/>
        <family val="2"/>
      </rPr>
      <t xml:space="preserve">Debit currency &lt;&gt; Credit currency = Base currency
</t>
    </r>
    <r>
      <rPr>
        <sz val="10"/>
        <rFont val="Arial"/>
        <family val="2"/>
      </rPr>
      <t xml:space="preserve">
1. Open "FX Transaction" screen
2. Choose Accounting type from Debit
3. Input Account number
4. Input Debit amount
5. Choose Accounting type from Credit
6. Input Account number
7. Input Credit amount
8. Click accpet</t>
    </r>
  </si>
  <si>
    <r>
      <rPr>
        <b/>
        <sz val="10"/>
        <rFont val="Arial"/>
        <family val="2"/>
      </rPr>
      <t>Debit side</t>
    </r>
    <r>
      <rPr>
        <sz val="10"/>
        <rFont val="Arial"/>
        <family val="2"/>
      </rPr>
      <t xml:space="preserve">
  - Accounting type: Accounting
  - Debit amount &gt; 0
  - Posting side: Debit/ Both
  - Account level: 9
  - Account group &lt;&gt; Cash
  - Direct posting: Yes
</t>
    </r>
    <r>
      <rPr>
        <b/>
        <sz val="10"/>
        <rFont val="Arial"/>
        <family val="2"/>
      </rPr>
      <t>Credit side</t>
    </r>
    <r>
      <rPr>
        <sz val="10"/>
        <rFont val="Arial"/>
        <family val="2"/>
      </rPr>
      <t xml:space="preserve">
  - Accounting type: Accounting
  - Credit amount &gt; 0
  - Posting side: Credit/ Both
  - Account level: 9
  - Account group &lt;&gt; Cash
  - Direct posting: Yes
</t>
    </r>
    <r>
      <rPr>
        <b/>
        <sz val="10"/>
        <color rgb="FF00B0F0"/>
        <rFont val="Arial"/>
        <family val="2"/>
      </rPr>
      <t>Debit currency &lt;&gt; Credit currency</t>
    </r>
    <r>
      <rPr>
        <b/>
        <sz val="10"/>
        <rFont val="Arial"/>
        <family val="2"/>
      </rPr>
      <t xml:space="preserve">
</t>
    </r>
    <r>
      <rPr>
        <sz val="10"/>
        <rFont val="Arial"/>
        <family val="2"/>
      </rPr>
      <t xml:space="preserve">
1. Open "FX Transaction" screen
2. Choose Accounting type from Debit
3. Input Account number
4. Input Debit amount
5. Choose Accounting type from Credit
6. Input Account number
7. Input Credit amount
8. Click accpet</t>
    </r>
  </si>
  <si>
    <r>
      <rPr>
        <b/>
        <sz val="10"/>
        <rFont val="Arial"/>
        <family val="2"/>
      </rPr>
      <t>Debit side</t>
    </r>
    <r>
      <rPr>
        <sz val="10"/>
        <rFont val="Arial"/>
        <family val="2"/>
      </rPr>
      <t xml:space="preserve">
  - Accounting type: Accounting
  - Debit amount &gt; 0
  - Posting side: Debit/ Both
  - Account level: 9
  - Account group &lt;&gt; Cash
  - Direct posting: Yes
</t>
    </r>
    <r>
      <rPr>
        <b/>
        <sz val="10"/>
        <rFont val="Arial"/>
        <family val="2"/>
      </rPr>
      <t>Credit side</t>
    </r>
    <r>
      <rPr>
        <sz val="10"/>
        <rFont val="Arial"/>
        <family val="2"/>
      </rPr>
      <t xml:space="preserve">
  - Accounting type: Accounting
  - Credit amount &gt; 0
  - Posting side: Credit/ Both
  - Account level: 9
  - Account group &lt;&gt; Cash
  - Direct posting: Yes
</t>
    </r>
    <r>
      <rPr>
        <b/>
        <sz val="10"/>
        <color rgb="FF00B0F0"/>
        <rFont val="Arial"/>
        <family val="2"/>
      </rPr>
      <t>Total fee &lt;= Receive amount</t>
    </r>
    <r>
      <rPr>
        <b/>
        <sz val="10"/>
        <rFont val="Arial"/>
        <family val="2"/>
      </rPr>
      <t xml:space="preserve">
</t>
    </r>
    <r>
      <rPr>
        <sz val="10"/>
        <rFont val="Arial"/>
        <family val="2"/>
      </rPr>
      <t xml:space="preserve">
1. Open "FX Transaction" screen
2. Choose Accounting type from Debit
3. Input Account number
4. Input Debit amount
5. Choose Accounting type from Credit
6. Input Account number
7. Input Credit amount
8. Add fee
9. Click accpet</t>
    </r>
  </si>
  <si>
    <t>CBS-SHWE_TC_C#toStore_FO_Other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</si>
</sst>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m\-yyyy"/>
    <numFmt numFmtId="165" formatCode="0.0"/>
    <numFmt numFmtId="166" formatCode="_-* #,##0.00_-;\-* #,##0.00_-;_-* &quot;-&quot;??_-;_-@_-"/>
  </numFmts>
  <fonts count="31" x14ac:knownFonts="1">
    <font>
      <sz val="11"/>
      <color theme="1"/>
      <name val="Arial"/>
      <family val="2"/>
    </font>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name val="Arial"/>
      <family val="2"/>
    </font>
    <font>
      <sz val="11"/>
      <name val="Book Antiqua"/>
      <family val="1"/>
    </font>
    <font>
      <b/>
      <sz val="16"/>
      <name val="Arial"/>
      <family val="2"/>
    </font>
    <font>
      <sz val="10"/>
      <color indexed="12"/>
      <name val="Arial"/>
      <family val="2"/>
    </font>
    <font>
      <b/>
      <sz val="10"/>
      <name val="Arial"/>
      <family val="2"/>
    </font>
    <font>
      <sz val="10"/>
      <color theme="1"/>
      <name val="Arial"/>
      <family val="2"/>
    </font>
    <font>
      <b/>
      <sz val="10"/>
      <color theme="1"/>
      <name val="Arial"/>
      <family val="2"/>
    </font>
    <font>
      <b/>
      <sz val="15"/>
      <name val="Arial"/>
      <family val="2"/>
    </font>
    <font>
      <b/>
      <sz val="10"/>
      <color theme="0"/>
      <name val="Arial"/>
      <family val="2"/>
    </font>
    <font>
      <sz val="11"/>
      <color theme="1"/>
      <name val="Arial"/>
      <family val="2"/>
    </font>
    <font>
      <sz val="11"/>
      <color theme="1"/>
      <name val="Calibri"/>
      <family val="2"/>
      <scheme val="minor"/>
    </font>
    <font>
      <sz val="10"/>
      <color theme="1"/>
      <name val="Tahoma"/>
      <family val="2"/>
    </font>
    <font>
      <b/>
      <sz val="10"/>
      <color theme="1"/>
      <name val="Tahoma"/>
      <family val="2"/>
    </font>
    <font>
      <b/>
      <sz val="11"/>
      <name val="Arial"/>
      <family val="2"/>
    </font>
    <font>
      <b/>
      <sz val="11"/>
      <color theme="0"/>
      <name val="Arial"/>
      <family val="2"/>
    </font>
    <font>
      <b/>
      <i/>
      <sz val="10"/>
      <color theme="1"/>
      <name val="Arial"/>
      <family val="2"/>
    </font>
    <font>
      <sz val="8"/>
      <name val="Arial"/>
      <family val="2"/>
    </font>
    <font>
      <b/>
      <sz val="10"/>
      <color rgb="FFFF0000"/>
      <name val="Arial"/>
      <family val="2"/>
    </font>
    <font>
      <sz val="10"/>
      <color rgb="FFFF0000"/>
      <name val="Arial"/>
      <family val="2"/>
    </font>
    <font>
      <b/>
      <sz val="10"/>
      <color rgb="FF00B0F0"/>
      <name val="Arial"/>
      <family val="2"/>
    </font>
    <font>
      <sz val="10"/>
      <color rgb="FF00B0F0"/>
      <name val="Arial"/>
      <family val="2"/>
    </font>
    <font>
      <sz val="11"/>
      <color theme="0"/>
      <name val="Calibri"/>
      <family val="2"/>
      <scheme val="minor"/>
    </font>
    <font>
      <b/>
      <sz val="14"/>
      <color theme="0"/>
      <name val="Arial"/>
      <family val="2"/>
    </font>
    <font>
      <b/>
      <sz val="14"/>
      <name val="Arial"/>
      <family val="2"/>
    </font>
    <font>
      <b/>
      <sz val="11"/>
      <color theme="1"/>
      <name val="Arial"/>
      <family val="2"/>
    </font>
  </fonts>
  <fills count="14">
    <fill>
      <patternFill patternType="none"/>
    </fill>
    <fill>
      <patternFill patternType="gray125"/>
    </fill>
    <fill>
      <patternFill patternType="solid">
        <fgColor theme="7" tint="0.39997558519241921"/>
        <bgColor indexed="64"/>
      </patternFill>
    </fill>
    <fill>
      <patternFill patternType="solid">
        <fgColor theme="0"/>
        <bgColor indexed="64"/>
      </patternFill>
    </fill>
    <fill>
      <patternFill patternType="solid">
        <fgColor rgb="FFFFCC66"/>
        <bgColor indexed="64"/>
      </patternFill>
    </fill>
    <fill>
      <patternFill patternType="solid">
        <fgColor rgb="FFF16624"/>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4"/>
        <bgColor indexed="64"/>
      </patternFill>
    </fill>
    <fill>
      <patternFill patternType="solid">
        <fgColor theme="4"/>
      </patternFill>
    </fill>
    <fill>
      <patternFill patternType="solid">
        <fgColor theme="4" tint="0.79998168889431442"/>
        <bgColor indexed="65"/>
      </patternFill>
    </fill>
    <fill>
      <patternFill patternType="solid">
        <fgColor theme="4" tint="0.39997558519241921"/>
        <bgColor indexed="65"/>
      </patternFill>
    </fill>
  </fills>
  <borders count="4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auto="1"/>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theme="1"/>
      </right>
      <top/>
      <bottom/>
      <diagonal/>
    </border>
    <border>
      <left style="thin">
        <color theme="1"/>
      </left>
      <right/>
      <top/>
      <bottom/>
      <diagonal/>
    </border>
    <border>
      <left/>
      <right style="thin">
        <color theme="1"/>
      </right>
      <top/>
      <bottom style="thin">
        <color theme="1"/>
      </bottom>
      <diagonal/>
    </border>
    <border>
      <left style="thin">
        <color theme="1"/>
      </left>
      <right style="thin">
        <color theme="1"/>
      </right>
      <top/>
      <bottom style="thin">
        <color theme="1"/>
      </bottom>
      <diagonal/>
    </border>
    <border>
      <left style="thin">
        <color theme="1"/>
      </left>
      <right style="medium">
        <color indexed="64"/>
      </right>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style="medium">
        <color indexed="64"/>
      </right>
      <top style="thin">
        <color theme="1"/>
      </top>
      <bottom style="thin">
        <color theme="1"/>
      </bottom>
      <diagonal/>
    </border>
    <border>
      <left style="medium">
        <color indexed="64"/>
      </left>
      <right style="thin">
        <color theme="1"/>
      </right>
      <top/>
      <bottom style="medium">
        <color theme="1"/>
      </bottom>
      <diagonal/>
    </border>
    <border>
      <left style="thin">
        <color theme="1"/>
      </left>
      <right style="thin">
        <color theme="1"/>
      </right>
      <top/>
      <bottom style="medium">
        <color theme="1"/>
      </bottom>
      <diagonal/>
    </border>
    <border>
      <left style="thin">
        <color theme="1"/>
      </left>
      <right style="thin">
        <color theme="1"/>
      </right>
      <top style="thin">
        <color theme="1"/>
      </top>
      <bottom style="medium">
        <color theme="1"/>
      </bottom>
      <diagonal/>
    </border>
    <border>
      <left style="thin">
        <color theme="1"/>
      </left>
      <right style="medium">
        <color indexed="64"/>
      </right>
      <top style="thin">
        <color theme="1"/>
      </top>
      <bottom style="medium">
        <color theme="1"/>
      </bottom>
      <diagonal/>
    </border>
    <border>
      <left style="medium">
        <color indexed="64"/>
      </left>
      <right style="thin">
        <color theme="1"/>
      </right>
      <top style="medium">
        <color theme="1"/>
      </top>
      <bottom/>
      <diagonal/>
    </border>
    <border>
      <left style="thin">
        <color theme="1"/>
      </left>
      <right style="thin">
        <color theme="1"/>
      </right>
      <top style="medium">
        <color theme="1"/>
      </top>
      <bottom/>
      <diagonal/>
    </border>
    <border>
      <left style="thin">
        <color theme="1"/>
      </left>
      <right style="thin">
        <color theme="1"/>
      </right>
      <top/>
      <bottom/>
      <diagonal/>
    </border>
    <border>
      <left style="thin">
        <color theme="1"/>
      </left>
      <right style="thin">
        <color theme="1"/>
      </right>
      <top style="thin">
        <color theme="1"/>
      </top>
      <bottom/>
      <diagonal/>
    </border>
    <border>
      <left style="thin">
        <color theme="1"/>
      </left>
      <right/>
      <top style="medium">
        <color theme="1"/>
      </top>
      <bottom/>
      <diagonal/>
    </border>
    <border>
      <left/>
      <right style="thin">
        <color theme="1"/>
      </right>
      <top style="medium">
        <color theme="1"/>
      </top>
      <bottom style="thin">
        <color theme="1"/>
      </bottom>
      <diagonal/>
    </border>
    <border>
      <left style="thin">
        <color theme="1"/>
      </left>
      <right style="thin">
        <color theme="1"/>
      </right>
      <top style="medium">
        <color theme="1"/>
      </top>
      <bottom style="thin">
        <color theme="1"/>
      </bottom>
      <diagonal/>
    </border>
    <border>
      <left style="thin">
        <color theme="1"/>
      </left>
      <right style="medium">
        <color indexed="64"/>
      </right>
      <top style="medium">
        <color theme="1"/>
      </top>
      <bottom style="thin">
        <color theme="1"/>
      </bottom>
      <diagonal/>
    </border>
    <border>
      <left style="thin">
        <color theme="1"/>
      </left>
      <right style="medium">
        <color indexed="64"/>
      </right>
      <top style="thin">
        <color theme="1"/>
      </top>
      <bottom/>
      <diagonal/>
    </border>
  </borders>
  <cellStyleXfs count="11">
    <xf numFmtId="0" fontId="0" fillId="0" borderId="0"/>
    <xf numFmtId="0" fontId="6" fillId="0" borderId="0"/>
    <xf numFmtId="0" fontId="6" fillId="0" borderId="0" applyNumberFormat="0" applyFill="0" applyBorder="0" applyAlignment="0" applyProtection="0"/>
    <xf numFmtId="0" fontId="7" fillId="0" borderId="0"/>
    <xf numFmtId="0" fontId="6" fillId="0" borderId="0"/>
    <xf numFmtId="9" fontId="15" fillId="0" borderId="0" applyFont="0" applyFill="0" applyBorder="0" applyAlignment="0" applyProtection="0"/>
    <xf numFmtId="43" fontId="16" fillId="0" borderId="0" applyFont="0" applyFill="0" applyBorder="0" applyAlignment="0" applyProtection="0"/>
    <xf numFmtId="166" fontId="16" fillId="0" borderId="0" applyFont="0" applyFill="0" applyBorder="0" applyAlignment="0" applyProtection="0"/>
    <xf numFmtId="0" fontId="27"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cellStyleXfs>
  <cellXfs count="170">
    <xf numFmtId="0" fontId="0" fillId="0" borderId="0" xfId="0"/>
    <xf numFmtId="0" fontId="9" fillId="3" borderId="0" xfId="3" applyFont="1" applyFill="1"/>
    <xf numFmtId="0" fontId="6" fillId="3" borderId="0" xfId="4" applyFont="1" applyFill="1"/>
    <xf numFmtId="165" fontId="6" fillId="3" borderId="1" xfId="2" applyNumberFormat="1" applyFont="1" applyFill="1" applyBorder="1" applyAlignment="1">
      <alignment horizontal="left" vertical="center" wrapText="1"/>
    </xf>
    <xf numFmtId="0" fontId="6" fillId="3" borderId="1" xfId="2" applyFont="1" applyFill="1" applyBorder="1" applyAlignment="1">
      <alignment horizontal="left" vertical="center" wrapText="1"/>
    </xf>
    <xf numFmtId="0" fontId="6" fillId="3" borderId="6" xfId="2" applyFont="1" applyFill="1" applyBorder="1" applyAlignment="1">
      <alignment horizontal="left" vertical="center" wrapText="1"/>
    </xf>
    <xf numFmtId="0" fontId="6" fillId="3" borderId="9" xfId="2" applyFont="1" applyFill="1" applyBorder="1" applyAlignment="1">
      <alignment horizontal="left" vertical="center" wrapText="1"/>
    </xf>
    <xf numFmtId="0" fontId="6" fillId="3" borderId="12" xfId="2" applyFont="1" applyFill="1" applyBorder="1" applyAlignment="1">
      <alignment horizontal="left" vertical="center" wrapText="1"/>
    </xf>
    <xf numFmtId="0" fontId="11" fillId="0" borderId="0" xfId="0" applyFont="1"/>
    <xf numFmtId="0" fontId="6" fillId="3" borderId="0" xfId="3" applyFont="1" applyFill="1" applyAlignment="1">
      <alignment horizontal="left"/>
    </xf>
    <xf numFmtId="0" fontId="6" fillId="3" borderId="0" xfId="2" applyFont="1" applyFill="1"/>
    <xf numFmtId="0" fontId="12" fillId="0" borderId="0" xfId="0" applyFont="1" applyAlignment="1">
      <alignment horizontal="left" vertical="center" wrapText="1"/>
    </xf>
    <xf numFmtId="0" fontId="10" fillId="0" borderId="0" xfId="1" applyNumberFormat="1" applyFont="1" applyFill="1" applyBorder="1" applyAlignment="1">
      <alignment horizontal="left" vertical="center"/>
    </xf>
    <xf numFmtId="0" fontId="11" fillId="0" borderId="0" xfId="0" applyFont="1" applyAlignment="1">
      <alignment horizontal="left" vertical="center"/>
    </xf>
    <xf numFmtId="0" fontId="6" fillId="0" borderId="1" xfId="2" applyFont="1" applyFill="1" applyBorder="1" applyAlignment="1">
      <alignment horizontal="left" vertical="center"/>
    </xf>
    <xf numFmtId="0" fontId="11" fillId="0" borderId="0" xfId="0" applyFont="1" applyAlignment="1">
      <alignment horizontal="left" vertical="center" wrapText="1"/>
    </xf>
    <xf numFmtId="14" fontId="6" fillId="0" borderId="0" xfId="1" applyNumberFormat="1" applyFont="1" applyFill="1" applyBorder="1" applyAlignment="1">
      <alignment horizontal="left" vertical="center" wrapText="1"/>
    </xf>
    <xf numFmtId="0" fontId="11" fillId="0" borderId="0" xfId="0" applyFont="1" applyAlignment="1">
      <alignment horizontal="center" vertical="center"/>
    </xf>
    <xf numFmtId="49" fontId="6" fillId="0" borderId="0" xfId="1" applyNumberFormat="1" applyFont="1" applyFill="1" applyBorder="1" applyAlignment="1">
      <alignment horizontal="left" vertical="center" wrapText="1"/>
    </xf>
    <xf numFmtId="0" fontId="6" fillId="0" borderId="0" xfId="1" applyNumberFormat="1" applyFont="1" applyFill="1" applyBorder="1" applyAlignment="1">
      <alignment horizontal="left" vertical="center" wrapText="1"/>
    </xf>
    <xf numFmtId="0" fontId="6" fillId="0" borderId="1" xfId="2" applyFont="1" applyFill="1" applyBorder="1" applyAlignment="1">
      <alignment horizontal="left" vertical="center" wrapText="1"/>
    </xf>
    <xf numFmtId="0" fontId="6" fillId="3"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11" fillId="0" borderId="0" xfId="0" applyFont="1" applyAlignment="1">
      <alignment vertical="center"/>
    </xf>
    <xf numFmtId="14" fontId="6" fillId="0" borderId="1" xfId="0" applyNumberFormat="1" applyFont="1" applyFill="1" applyBorder="1" applyAlignment="1">
      <alignment horizontal="left" vertical="center" wrapText="1"/>
    </xf>
    <xf numFmtId="0" fontId="17" fillId="0" borderId="1" xfId="0" applyFont="1" applyBorder="1" applyAlignment="1">
      <alignment horizontal="center" vertical="center" wrapText="1"/>
    </xf>
    <xf numFmtId="0" fontId="17" fillId="0" borderId="16" xfId="0" applyFont="1" applyBorder="1" applyAlignment="1">
      <alignment horizontal="left" vertical="center" wrapText="1"/>
    </xf>
    <xf numFmtId="16" fontId="17" fillId="0" borderId="1" xfId="0" applyNumberFormat="1" applyFont="1" applyFill="1" applyBorder="1" applyAlignment="1">
      <alignment vertical="center" wrapText="1"/>
    </xf>
    <xf numFmtId="14" fontId="17" fillId="0" borderId="1" xfId="0" applyNumberFormat="1" applyFont="1" applyBorder="1" applyAlignment="1">
      <alignment horizontal="center" vertical="center"/>
    </xf>
    <xf numFmtId="0" fontId="17" fillId="0" borderId="1" xfId="0" applyFont="1" applyBorder="1" applyAlignment="1">
      <alignment horizontal="center" vertical="center"/>
    </xf>
    <xf numFmtId="0" fontId="13" fillId="0" borderId="0" xfId="1" applyNumberFormat="1" applyFont="1" applyFill="1" applyBorder="1" applyAlignment="1">
      <alignment vertical="center"/>
    </xf>
    <xf numFmtId="0" fontId="5" fillId="0" borderId="0" xfId="0" applyFont="1" applyBorder="1"/>
    <xf numFmtId="10" fontId="6" fillId="0" borderId="1" xfId="5" applyNumberFormat="1" applyFont="1" applyFill="1" applyBorder="1" applyAlignment="1">
      <alignment horizontal="center" vertical="center"/>
    </xf>
    <xf numFmtId="0" fontId="14" fillId="2" borderId="1" xfId="0" applyFont="1" applyFill="1" applyBorder="1" applyAlignment="1">
      <alignment horizontal="center" vertical="center" wrapText="1"/>
    </xf>
    <xf numFmtId="0" fontId="4" fillId="0" borderId="0" xfId="0" applyFont="1"/>
    <xf numFmtId="0" fontId="4" fillId="0" borderId="13" xfId="0" applyFont="1" applyBorder="1"/>
    <xf numFmtId="0" fontId="4" fillId="0" borderId="0" xfId="0" applyFont="1" applyBorder="1"/>
    <xf numFmtId="0" fontId="12" fillId="4" borderId="1" xfId="0" applyFont="1" applyFill="1" applyBorder="1" applyAlignment="1">
      <alignment horizontal="center" vertical="center" wrapText="1"/>
    </xf>
    <xf numFmtId="0" fontId="19" fillId="0" borderId="0" xfId="1" applyNumberFormat="1" applyFont="1" applyFill="1" applyBorder="1" applyAlignment="1">
      <alignment vertical="center"/>
    </xf>
    <xf numFmtId="164" fontId="6" fillId="3" borderId="5" xfId="2" applyNumberFormat="1" applyFont="1" applyFill="1" applyBorder="1" applyAlignment="1">
      <alignment horizontal="center" vertical="center" wrapText="1"/>
    </xf>
    <xf numFmtId="14" fontId="6" fillId="3" borderId="5" xfId="2" applyNumberFormat="1" applyFont="1" applyFill="1" applyBorder="1" applyAlignment="1">
      <alignment horizontal="center" vertical="center" wrapText="1"/>
    </xf>
    <xf numFmtId="14" fontId="6" fillId="3" borderId="7" xfId="2" applyNumberFormat="1" applyFont="1" applyFill="1" applyBorder="1" applyAlignment="1">
      <alignment horizontal="center" vertical="center" wrapText="1"/>
    </xf>
    <xf numFmtId="14" fontId="6" fillId="3" borderId="10" xfId="2" applyNumberFormat="1" applyFont="1" applyFill="1" applyBorder="1" applyAlignment="1">
      <alignment horizontal="center" vertical="center" wrapText="1"/>
    </xf>
    <xf numFmtId="165" fontId="6" fillId="3" borderId="1" xfId="2" applyNumberFormat="1" applyFont="1" applyFill="1" applyBorder="1" applyAlignment="1">
      <alignment horizontal="center" vertical="center" wrapText="1"/>
    </xf>
    <xf numFmtId="0" fontId="6" fillId="3" borderId="1" xfId="2" applyFont="1" applyFill="1" applyBorder="1" applyAlignment="1">
      <alignment horizontal="center" vertical="center" wrapText="1"/>
    </xf>
    <xf numFmtId="0" fontId="6" fillId="3" borderId="1" xfId="2" quotePrefix="1" applyFont="1" applyFill="1" applyBorder="1" applyAlignment="1">
      <alignment horizontal="center" vertical="center" wrapText="1"/>
    </xf>
    <xf numFmtId="0" fontId="6" fillId="3" borderId="8" xfId="2" applyFont="1" applyFill="1" applyBorder="1" applyAlignment="1">
      <alignment horizontal="center" vertical="center" wrapText="1"/>
    </xf>
    <xf numFmtId="0" fontId="6" fillId="3" borderId="8" xfId="2" quotePrefix="1" applyFont="1" applyFill="1" applyBorder="1" applyAlignment="1">
      <alignment horizontal="center" vertical="center" wrapText="1"/>
    </xf>
    <xf numFmtId="0" fontId="6" fillId="3" borderId="11" xfId="2" applyFont="1" applyFill="1" applyBorder="1" applyAlignment="1">
      <alignment horizontal="center" vertical="center" wrapText="1"/>
    </xf>
    <xf numFmtId="0" fontId="6" fillId="3" borderId="8" xfId="2" applyFont="1" applyFill="1" applyBorder="1" applyAlignment="1">
      <alignment horizontal="left" vertical="center" wrapText="1"/>
    </xf>
    <xf numFmtId="0" fontId="6" fillId="3" borderId="11" xfId="2" applyFont="1" applyFill="1" applyBorder="1" applyAlignment="1">
      <alignment horizontal="left" vertical="center" wrapText="1"/>
    </xf>
    <xf numFmtId="0" fontId="14" fillId="5" borderId="1" xfId="1" applyNumberFormat="1" applyFont="1" applyFill="1" applyBorder="1" applyAlignment="1">
      <alignment horizontal="center" vertical="center" wrapText="1"/>
    </xf>
    <xf numFmtId="0" fontId="10" fillId="6" borderId="1" xfId="2" applyFont="1" applyFill="1" applyBorder="1" applyAlignment="1">
      <alignment horizontal="left" vertical="center" wrapText="1"/>
    </xf>
    <xf numFmtId="0" fontId="10" fillId="6" borderId="1" xfId="2" applyFont="1" applyFill="1" applyBorder="1" applyAlignment="1">
      <alignment horizontal="left" vertical="center"/>
    </xf>
    <xf numFmtId="0" fontId="10" fillId="6" borderId="1" xfId="2" applyFont="1" applyFill="1" applyBorder="1" applyAlignment="1">
      <alignment horizontal="center" vertical="center"/>
    </xf>
    <xf numFmtId="0" fontId="14" fillId="5" borderId="1" xfId="1" applyNumberFormat="1" applyFont="1" applyFill="1" applyBorder="1" applyAlignment="1">
      <alignment horizontal="left" vertical="center" wrapText="1"/>
    </xf>
    <xf numFmtId="49" fontId="14" fillId="5" borderId="1" xfId="1" applyNumberFormat="1" applyFont="1" applyFill="1" applyBorder="1" applyAlignment="1">
      <alignment horizontal="left" vertical="center" wrapText="1"/>
    </xf>
    <xf numFmtId="10" fontId="10" fillId="6" borderId="1" xfId="5" applyNumberFormat="1" applyFont="1" applyFill="1" applyBorder="1" applyAlignment="1">
      <alignment horizontal="center" vertical="center"/>
    </xf>
    <xf numFmtId="14" fontId="17" fillId="0" borderId="0" xfId="0" quotePrefix="1" applyNumberFormat="1" applyFont="1" applyBorder="1" applyAlignment="1">
      <alignment horizontal="left" vertical="center"/>
    </xf>
    <xf numFmtId="0" fontId="3" fillId="0" borderId="0" xfId="0" applyFont="1" applyAlignment="1">
      <alignment horizontal="left" vertical="center"/>
    </xf>
    <xf numFmtId="0" fontId="3" fillId="0" borderId="0" xfId="0" quotePrefix="1" applyFont="1" applyAlignment="1">
      <alignment horizontal="left" vertical="center"/>
    </xf>
    <xf numFmtId="0" fontId="17" fillId="6" borderId="1" xfId="0" applyFont="1" applyFill="1" applyBorder="1" applyAlignment="1">
      <alignment vertical="center"/>
    </xf>
    <xf numFmtId="0" fontId="17" fillId="7" borderId="1" xfId="0" applyFont="1" applyFill="1" applyBorder="1" applyAlignment="1">
      <alignment vertical="center" wrapText="1"/>
    </xf>
    <xf numFmtId="0" fontId="17" fillId="7" borderId="1" xfId="0" applyFont="1" applyFill="1" applyBorder="1" applyAlignment="1">
      <alignment vertical="center"/>
    </xf>
    <xf numFmtId="0" fontId="17" fillId="9" borderId="1" xfId="0" applyFont="1" applyFill="1" applyBorder="1" applyAlignment="1">
      <alignment vertical="center"/>
    </xf>
    <xf numFmtId="0" fontId="4" fillId="9" borderId="1" xfId="0" applyFont="1" applyFill="1" applyBorder="1"/>
    <xf numFmtId="10" fontId="4" fillId="9" borderId="1" xfId="5" applyNumberFormat="1" applyFont="1" applyFill="1" applyBorder="1"/>
    <xf numFmtId="0" fontId="4" fillId="6" borderId="1" xfId="0" applyFont="1" applyFill="1" applyBorder="1"/>
    <xf numFmtId="10" fontId="4" fillId="6" borderId="1" xfId="5" applyNumberFormat="1" applyFont="1" applyFill="1" applyBorder="1"/>
    <xf numFmtId="10" fontId="4" fillId="8" borderId="1" xfId="5" applyNumberFormat="1" applyFont="1" applyFill="1" applyBorder="1"/>
    <xf numFmtId="10" fontId="4" fillId="7" borderId="1" xfId="5" applyNumberFormat="1" applyFont="1" applyFill="1" applyBorder="1"/>
    <xf numFmtId="0" fontId="20" fillId="5" borderId="2" xfId="1" applyNumberFormat="1" applyFont="1" applyFill="1" applyBorder="1" applyAlignment="1">
      <alignment horizontal="left" vertical="center" wrapText="1"/>
    </xf>
    <xf numFmtId="0" fontId="20" fillId="5" borderId="3" xfId="1" applyNumberFormat="1" applyFont="1" applyFill="1" applyBorder="1" applyAlignment="1">
      <alignment horizontal="left" vertical="center" wrapText="1"/>
    </xf>
    <xf numFmtId="0" fontId="20" fillId="5" borderId="4" xfId="1" applyNumberFormat="1" applyFont="1" applyFill="1" applyBorder="1" applyAlignment="1">
      <alignment horizontal="left" vertical="center" wrapText="1"/>
    </xf>
    <xf numFmtId="0" fontId="3" fillId="8" borderId="1" xfId="0" applyFont="1" applyFill="1" applyBorder="1"/>
    <xf numFmtId="0" fontId="3" fillId="7" borderId="1" xfId="0" applyFont="1" applyFill="1" applyBorder="1"/>
    <xf numFmtId="0" fontId="3" fillId="9" borderId="1" xfId="0" applyFont="1" applyFill="1" applyBorder="1"/>
    <xf numFmtId="0" fontId="14" fillId="10" borderId="1" xfId="0" applyFont="1" applyFill="1" applyBorder="1" applyAlignment="1">
      <alignment horizontal="center" vertical="center" wrapText="1"/>
    </xf>
    <xf numFmtId="0" fontId="14" fillId="10" borderId="1" xfId="1" applyNumberFormat="1" applyFont="1" applyFill="1" applyBorder="1" applyAlignment="1">
      <alignment horizontal="center" vertical="center" wrapText="1"/>
    </xf>
    <xf numFmtId="0" fontId="10" fillId="3" borderId="1" xfId="2" applyFont="1" applyFill="1" applyBorder="1" applyAlignment="1">
      <alignment horizontal="left" vertical="center" wrapText="1"/>
    </xf>
    <xf numFmtId="0" fontId="6" fillId="0" borderId="1" xfId="2" applyNumberFormat="1" applyFont="1" applyFill="1" applyBorder="1" applyAlignment="1">
      <alignment horizontal="center" vertical="center"/>
    </xf>
    <xf numFmtId="0" fontId="10" fillId="6" borderId="1" xfId="2" applyNumberFormat="1" applyFont="1" applyFill="1" applyBorder="1" applyAlignment="1">
      <alignment horizontal="center" vertical="center"/>
    </xf>
    <xf numFmtId="0" fontId="11" fillId="0" borderId="0" xfId="0" applyNumberFormat="1" applyFont="1"/>
    <xf numFmtId="0" fontId="10" fillId="0" borderId="1" xfId="2" applyFont="1" applyFill="1" applyBorder="1" applyAlignment="1">
      <alignment horizontal="left" vertical="center" wrapText="1"/>
    </xf>
    <xf numFmtId="0" fontId="11" fillId="0" borderId="0" xfId="0" applyFont="1" applyFill="1" applyAlignment="1">
      <alignment vertical="center"/>
    </xf>
    <xf numFmtId="0" fontId="6" fillId="0" borderId="1" xfId="1" quotePrefix="1" applyNumberFormat="1" applyFont="1" applyFill="1" applyBorder="1" applyAlignment="1">
      <alignment horizontal="left" vertical="center" wrapText="1"/>
    </xf>
    <xf numFmtId="0" fontId="23" fillId="0" borderId="18" xfId="0" applyFont="1" applyBorder="1" applyAlignment="1">
      <alignment horizontal="left" vertical="center" wrapText="1"/>
    </xf>
    <xf numFmtId="0" fontId="6" fillId="0" borderId="1" xfId="2" quotePrefix="1" applyBorder="1" applyAlignment="1">
      <alignment horizontal="left" vertical="center" wrapText="1"/>
    </xf>
    <xf numFmtId="0" fontId="23" fillId="0" borderId="1" xfId="1" quotePrefix="1" applyNumberFormat="1" applyFont="1" applyFill="1" applyBorder="1" applyAlignment="1">
      <alignment horizontal="left" vertical="center" wrapText="1"/>
    </xf>
    <xf numFmtId="0" fontId="13" fillId="0" borderId="0" xfId="1" applyNumberFormat="1" applyFont="1" applyFill="1" applyBorder="1" applyAlignment="1">
      <alignment horizontal="center" vertical="center"/>
    </xf>
    <xf numFmtId="14" fontId="6" fillId="0" borderId="1" xfId="0" applyNumberFormat="1" applyFont="1" applyFill="1" applyBorder="1" applyAlignment="1">
      <alignment horizontal="center" vertical="center" wrapText="1"/>
    </xf>
    <xf numFmtId="0" fontId="11" fillId="0" borderId="0" xfId="0" applyFont="1" applyAlignment="1">
      <alignment horizontal="center"/>
    </xf>
    <xf numFmtId="165" fontId="6" fillId="3" borderId="5" xfId="2" applyNumberFormat="1" applyFill="1" applyBorder="1" applyAlignment="1">
      <alignment horizontal="center" vertical="center" wrapText="1"/>
    </xf>
    <xf numFmtId="165" fontId="6" fillId="3" borderId="1" xfId="2" applyNumberFormat="1" applyFill="1" applyBorder="1" applyAlignment="1">
      <alignment horizontal="left" vertical="center" wrapText="1"/>
    </xf>
    <xf numFmtId="14" fontId="6" fillId="3" borderId="1" xfId="2" applyNumberFormat="1" applyFill="1" applyBorder="1" applyAlignment="1">
      <alignment horizontal="center" vertical="center" wrapText="1"/>
    </xf>
    <xf numFmtId="0" fontId="2" fillId="0" borderId="0" xfId="0" applyFont="1" applyAlignment="1">
      <alignment horizontal="left" vertical="center"/>
    </xf>
    <xf numFmtId="165" fontId="6" fillId="3" borderId="1" xfId="2" applyNumberFormat="1" applyFill="1" applyBorder="1" applyAlignment="1">
      <alignment horizontal="center" vertical="center" wrapText="1"/>
    </xf>
    <xf numFmtId="0" fontId="6" fillId="3" borderId="6" xfId="2" applyFill="1" applyBorder="1" applyAlignment="1">
      <alignment horizontal="left" vertical="center" wrapText="1"/>
    </xf>
    <xf numFmtId="0" fontId="6" fillId="0" borderId="18" xfId="0" applyFont="1" applyBorder="1" applyAlignment="1">
      <alignment horizontal="left" vertical="center" wrapText="1"/>
    </xf>
    <xf numFmtId="0" fontId="24" fillId="0" borderId="1" xfId="1" quotePrefix="1" applyNumberFormat="1" applyFont="1" applyFill="1" applyBorder="1" applyAlignment="1">
      <alignment horizontal="left" vertical="center" wrapText="1"/>
    </xf>
    <xf numFmtId="0" fontId="29" fillId="12" borderId="1" xfId="9" applyFont="1" applyBorder="1" applyAlignment="1">
      <alignment vertical="center"/>
    </xf>
    <xf numFmtId="0" fontId="29" fillId="12" borderId="6" xfId="9" applyFont="1" applyBorder="1" applyAlignment="1">
      <alignment vertical="center"/>
    </xf>
    <xf numFmtId="0" fontId="0" fillId="0" borderId="1" xfId="0" applyBorder="1" applyAlignment="1">
      <alignment vertical="top" wrapText="1"/>
    </xf>
    <xf numFmtId="0" fontId="0" fillId="0" borderId="21" xfId="0" applyBorder="1" applyAlignment="1">
      <alignment vertical="top" wrapText="1"/>
    </xf>
    <xf numFmtId="0" fontId="0" fillId="0" borderId="22" xfId="0" quotePrefix="1"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0" fillId="0" borderId="1" xfId="0" applyBorder="1"/>
    <xf numFmtId="0" fontId="0" fillId="0" borderId="1" xfId="0" applyBorder="1" applyAlignment="1">
      <alignment vertical="top"/>
    </xf>
    <xf numFmtId="0" fontId="0" fillId="0" borderId="24" xfId="0" applyBorder="1" applyAlignment="1">
      <alignment vertical="top"/>
    </xf>
    <xf numFmtId="0" fontId="0" fillId="0" borderId="25" xfId="0" applyBorder="1" applyAlignment="1">
      <alignment vertical="top"/>
    </xf>
    <xf numFmtId="0" fontId="0" fillId="0" borderId="26" xfId="0" applyBorder="1" applyAlignment="1">
      <alignment vertical="top"/>
    </xf>
    <xf numFmtId="0" fontId="0" fillId="0" borderId="24" xfId="0" applyBorder="1"/>
    <xf numFmtId="0" fontId="0" fillId="0" borderId="25" xfId="0" applyBorder="1"/>
    <xf numFmtId="0" fontId="0" fillId="0" borderId="28" xfId="0" applyBorder="1"/>
    <xf numFmtId="0" fontId="0" fillId="0" borderId="29" xfId="0" applyBorder="1"/>
    <xf numFmtId="0" fontId="0" fillId="0" borderId="29" xfId="0" applyBorder="1" applyAlignment="1">
      <alignment vertical="top"/>
    </xf>
    <xf numFmtId="0" fontId="0" fillId="0" borderId="30" xfId="0" applyBorder="1" applyAlignment="1">
      <alignment vertical="top"/>
    </xf>
    <xf numFmtId="0" fontId="0" fillId="0" borderId="25" xfId="0" applyBorder="1" applyAlignment="1">
      <alignment vertical="top" wrapText="1"/>
    </xf>
    <xf numFmtId="0" fontId="0" fillId="0" borderId="26" xfId="0" applyBorder="1" applyAlignment="1">
      <alignment vertical="top" wrapText="1"/>
    </xf>
    <xf numFmtId="0" fontId="0" fillId="0" borderId="34" xfId="0" applyBorder="1"/>
    <xf numFmtId="0" fontId="0" fillId="0" borderId="36" xfId="0" applyBorder="1" applyAlignment="1">
      <alignment vertical="top" wrapText="1"/>
    </xf>
    <xf numFmtId="0" fontId="0" fillId="0" borderId="37" xfId="0" applyBorder="1" applyAlignment="1">
      <alignment vertical="top" wrapText="1"/>
    </xf>
    <xf numFmtId="0" fontId="0" fillId="0" borderId="37" xfId="0" quotePrefix="1" applyBorder="1" applyAlignment="1">
      <alignment vertical="top" wrapText="1"/>
    </xf>
    <xf numFmtId="0" fontId="0" fillId="0" borderId="38" xfId="0" applyBorder="1" applyAlignment="1">
      <alignment vertical="top" wrapText="1"/>
    </xf>
    <xf numFmtId="0" fontId="0" fillId="0" borderId="26" xfId="0" applyBorder="1"/>
    <xf numFmtId="0" fontId="0" fillId="0" borderId="22" xfId="0" applyBorder="1"/>
    <xf numFmtId="0" fontId="0" fillId="0" borderId="33" xfId="0" applyBorder="1" applyAlignment="1">
      <alignment vertical="top"/>
    </xf>
    <xf numFmtId="0" fontId="0" fillId="0" borderId="39" xfId="0" applyBorder="1" applyAlignment="1">
      <alignment vertical="top"/>
    </xf>
    <xf numFmtId="0" fontId="0" fillId="0" borderId="3" xfId="0" applyBorder="1"/>
    <xf numFmtId="0" fontId="0" fillId="0" borderId="3" xfId="0" applyBorder="1" applyAlignment="1">
      <alignment vertical="top"/>
    </xf>
    <xf numFmtId="0" fontId="0" fillId="0" borderId="3" xfId="0" quotePrefix="1" applyBorder="1" applyAlignment="1">
      <alignment vertical="top" wrapText="1"/>
    </xf>
    <xf numFmtId="0" fontId="0" fillId="0" borderId="4" xfId="0" applyBorder="1"/>
    <xf numFmtId="0" fontId="0" fillId="0" borderId="6" xfId="0" applyBorder="1"/>
    <xf numFmtId="0" fontId="0" fillId="0" borderId="11" xfId="0" applyBorder="1"/>
    <xf numFmtId="0" fontId="0" fillId="0" borderId="12" xfId="0" applyBorder="1"/>
    <xf numFmtId="0" fontId="8" fillId="3" borderId="0" xfId="3" applyFont="1" applyFill="1" applyAlignment="1">
      <alignment horizontal="center"/>
    </xf>
    <xf numFmtId="0" fontId="18" fillId="0" borderId="14" xfId="0" applyFont="1" applyBorder="1" applyAlignment="1">
      <alignment horizontal="center" vertical="center"/>
    </xf>
    <xf numFmtId="0" fontId="18" fillId="0" borderId="17" xfId="0" applyFont="1" applyBorder="1" applyAlignment="1">
      <alignment horizontal="center" vertical="center"/>
    </xf>
    <xf numFmtId="0" fontId="18" fillId="0" borderId="15" xfId="0" applyFont="1" applyBorder="1" applyAlignment="1">
      <alignment horizontal="center" vertical="center"/>
    </xf>
    <xf numFmtId="0" fontId="18" fillId="0" borderId="1" xfId="0" applyFont="1" applyBorder="1" applyAlignment="1">
      <alignment horizontal="center" vertical="center"/>
    </xf>
    <xf numFmtId="0" fontId="12" fillId="0" borderId="14" xfId="0" applyFont="1" applyBorder="1" applyAlignment="1">
      <alignment horizontal="center"/>
    </xf>
    <xf numFmtId="0" fontId="12" fillId="0" borderId="15" xfId="0" applyFont="1" applyBorder="1" applyAlignment="1">
      <alignment horizontal="center"/>
    </xf>
    <xf numFmtId="0" fontId="18" fillId="6" borderId="14" xfId="0" applyFont="1" applyFill="1" applyBorder="1" applyAlignment="1">
      <alignment horizontal="center"/>
    </xf>
    <xf numFmtId="0" fontId="18" fillId="6" borderId="15" xfId="0" applyFont="1" applyFill="1" applyBorder="1" applyAlignment="1">
      <alignment horizontal="center"/>
    </xf>
    <xf numFmtId="0" fontId="10" fillId="7" borderId="14" xfId="1" applyNumberFormat="1" applyFont="1" applyFill="1" applyBorder="1" applyAlignment="1">
      <alignment horizontal="left" vertical="center" wrapText="1"/>
    </xf>
    <xf numFmtId="0" fontId="14" fillId="7" borderId="17" xfId="1" applyNumberFormat="1" applyFont="1" applyFill="1" applyBorder="1" applyAlignment="1">
      <alignment horizontal="left" vertical="center" wrapText="1"/>
    </xf>
    <xf numFmtId="0" fontId="14" fillId="7" borderId="15" xfId="1" applyNumberFormat="1" applyFont="1" applyFill="1" applyBorder="1" applyAlignment="1">
      <alignment horizontal="left" vertical="center" wrapText="1"/>
    </xf>
    <xf numFmtId="0" fontId="28" fillId="11" borderId="2" xfId="8" applyFont="1" applyBorder="1" applyAlignment="1">
      <alignment horizontal="center" vertical="center"/>
    </xf>
    <xf numFmtId="0" fontId="28" fillId="11" borderId="5" xfId="8" applyFont="1" applyBorder="1" applyAlignment="1">
      <alignment horizontal="center" vertical="center"/>
    </xf>
    <xf numFmtId="0" fontId="28" fillId="11" borderId="3" xfId="8" applyFont="1" applyBorder="1" applyAlignment="1">
      <alignment horizontal="center" vertical="center"/>
    </xf>
    <xf numFmtId="0" fontId="28" fillId="11" borderId="1" xfId="8" applyFont="1" applyBorder="1" applyAlignment="1">
      <alignment horizontal="center" vertical="center"/>
    </xf>
    <xf numFmtId="0" fontId="28" fillId="11" borderId="4" xfId="8" applyFont="1" applyBorder="1" applyAlignment="1">
      <alignment horizontal="center" vertical="center"/>
    </xf>
    <xf numFmtId="0" fontId="29" fillId="13" borderId="1" xfId="10" applyFont="1" applyBorder="1" applyAlignment="1">
      <alignment horizontal="center" vertical="center"/>
    </xf>
    <xf numFmtId="0" fontId="29" fillId="13" borderId="6" xfId="10" applyFont="1" applyBorder="1" applyAlignment="1">
      <alignment horizontal="center" vertical="center"/>
    </xf>
    <xf numFmtId="0" fontId="0" fillId="0" borderId="3" xfId="0" applyBorder="1" applyAlignment="1">
      <alignment horizontal="center"/>
    </xf>
    <xf numFmtId="0" fontId="0" fillId="0" borderId="1" xfId="0" applyBorder="1" applyAlignment="1">
      <alignment horizontal="center"/>
    </xf>
    <xf numFmtId="0" fontId="0" fillId="0" borderId="11" xfId="0" applyBorder="1" applyAlignment="1">
      <alignment horizontal="center"/>
    </xf>
    <xf numFmtId="0" fontId="0" fillId="0" borderId="2" xfId="0" applyBorder="1" applyAlignment="1">
      <alignment horizontal="left" vertical="top"/>
    </xf>
    <xf numFmtId="0" fontId="0" fillId="0" borderId="5" xfId="0" applyBorder="1" applyAlignment="1">
      <alignment horizontal="left" vertical="top"/>
    </xf>
    <xf numFmtId="0" fontId="0" fillId="0" borderId="10" xfId="0" applyBorder="1" applyAlignment="1">
      <alignment horizontal="left" vertical="top"/>
    </xf>
    <xf numFmtId="0" fontId="0" fillId="0" borderId="19" xfId="0" applyBorder="1" applyAlignment="1">
      <alignment horizontal="left" vertical="top" wrapText="1"/>
    </xf>
    <xf numFmtId="0" fontId="0" fillId="0" borderId="27" xfId="0" applyBorder="1" applyAlignment="1">
      <alignment horizontal="left" vertical="top" wrapText="1"/>
    </xf>
    <xf numFmtId="0" fontId="0" fillId="0" borderId="20" xfId="0" quotePrefix="1" applyBorder="1" applyAlignment="1">
      <alignment horizontal="left" vertical="top" wrapText="1"/>
    </xf>
    <xf numFmtId="0" fontId="0" fillId="0" borderId="28" xfId="0" quotePrefix="1" applyBorder="1" applyAlignment="1">
      <alignment horizontal="left" vertical="top" wrapText="1"/>
    </xf>
    <xf numFmtId="0" fontId="0" fillId="0" borderId="31" xfId="0" applyBorder="1" applyAlignment="1">
      <alignment horizontal="left" vertical="top" wrapText="1"/>
    </xf>
    <xf numFmtId="0" fontId="0" fillId="0" borderId="32" xfId="0" quotePrefix="1" applyBorder="1" applyAlignment="1">
      <alignment horizontal="left" vertical="top" wrapText="1"/>
    </xf>
    <xf numFmtId="0" fontId="0" fillId="0" borderId="33" xfId="0" quotePrefix="1" applyBorder="1" applyAlignment="1">
      <alignment horizontal="left" vertical="top" wrapText="1"/>
    </xf>
    <xf numFmtId="0" fontId="0" fillId="0" borderId="35" xfId="0" quotePrefix="1" applyBorder="1" applyAlignment="1">
      <alignment horizontal="left" vertical="top" wrapText="1"/>
    </xf>
  </cellXfs>
  <cellStyles count="11">
    <cellStyle name="20% - Accent1" xfId="9" builtinId="30"/>
    <cellStyle name="60% - Accent1" xfId="10" builtinId="32"/>
    <cellStyle name="Accent1" xfId="8" builtinId="29"/>
    <cellStyle name="Comma 2" xfId="6" xr:uid="{00000000-0005-0000-0000-000000000000}"/>
    <cellStyle name="Comma 3" xfId="7" xr:uid="{00000000-0005-0000-0000-000001000000}"/>
    <cellStyle name="Normal" xfId="0" builtinId="0"/>
    <cellStyle name="Normal 2" xfId="2" xr:uid="{00000000-0005-0000-0000-000003000000}"/>
    <cellStyle name="Normal_Copy of Sample Product Test Scenarios and Conditions" xfId="1" xr:uid="{00000000-0005-0000-0000-000004000000}"/>
    <cellStyle name="Normal_Cover Sheet" xfId="3" xr:uid="{00000000-0005-0000-0000-000005000000}"/>
    <cellStyle name="Normal_fitgapanalysis-template-1" xfId="4" xr:uid="{00000000-0005-0000-0000-000006000000}"/>
    <cellStyle name="Percent" xfId="5" builtinId="5"/>
  </cellStyles>
  <dxfs count="0"/>
  <tableStyles count="0" defaultTableStyle="TableStyleMedium2" defaultPivotStyle="PivotStyleLight16"/>
  <colors>
    <mruColors>
      <color rgb="FFF16624"/>
      <color rgb="FFED7D31"/>
      <color rgb="FFFFCC66"/>
      <color rgb="FFEE6112"/>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JITS\Working\Markets\Myanmar\TF\Testing\TF_Test%20Case_%20ILC%20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rsion"/>
      <sheetName val="Scenario Test"/>
      <sheetName val="Data"/>
      <sheetName val="Common"/>
      <sheetName val="Test Case_ILC"/>
      <sheetName val="Summary"/>
    </sheetNames>
    <sheetDataSet>
      <sheetData sheetId="0" refreshError="1"/>
      <sheetData sheetId="1" refreshError="1"/>
      <sheetData sheetId="2" refreshError="1"/>
      <sheetData sheetId="3" refreshError="1"/>
      <sheetData sheetId="4">
        <row r="13">
          <cell r="H13" t="str">
            <v>Pass</v>
          </cell>
        </row>
      </sheetData>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F14"/>
  <sheetViews>
    <sheetView showGridLines="0" tabSelected="1" workbookViewId="0">
      <selection activeCell="F9" sqref="F9"/>
    </sheetView>
  </sheetViews>
  <sheetFormatPr defaultColWidth="9" defaultRowHeight="13.2" x14ac:dyDescent="0.25"/>
  <cols>
    <col min="1" max="1" width="11.69921875" style="8" bestFit="1" customWidth="1"/>
    <col min="2" max="2" width="11.09765625" style="8" customWidth="1"/>
    <col min="3" max="3" width="13.5" style="8" bestFit="1" customWidth="1"/>
    <col min="4" max="4" width="9.59765625" style="8" bestFit="1" customWidth="1"/>
    <col min="5" max="5" width="13.5" style="8" bestFit="1" customWidth="1"/>
    <col min="6" max="6" width="32" style="8" customWidth="1"/>
    <col min="7" max="16384" width="9" style="8"/>
  </cols>
  <sheetData>
    <row r="4" spans="1:6" ht="21" x14ac:dyDescent="0.4">
      <c r="A4" s="137" t="s">
        <v>520</v>
      </c>
      <c r="B4" s="137"/>
      <c r="C4" s="137"/>
      <c r="D4" s="137"/>
      <c r="E4" s="137"/>
      <c r="F4" s="137"/>
    </row>
    <row r="5" spans="1:6" x14ac:dyDescent="0.25">
      <c r="A5" s="1"/>
      <c r="B5" s="2"/>
      <c r="C5" s="2"/>
      <c r="D5" s="9"/>
    </row>
    <row r="6" spans="1:6" x14ac:dyDescent="0.25">
      <c r="A6" s="10"/>
      <c r="B6" s="10"/>
      <c r="C6" s="10"/>
      <c r="D6" s="9" t="s">
        <v>322</v>
      </c>
    </row>
    <row r="7" spans="1:6" ht="13.8" thickBot="1" x14ac:dyDescent="0.3">
      <c r="A7" s="10" t="s">
        <v>6</v>
      </c>
      <c r="B7" s="10"/>
      <c r="C7" s="10"/>
      <c r="D7" s="10"/>
    </row>
    <row r="8" spans="1:6" ht="13.8" x14ac:dyDescent="0.25">
      <c r="A8" s="72" t="s">
        <v>43</v>
      </c>
      <c r="B8" s="73" t="s">
        <v>38</v>
      </c>
      <c r="C8" s="73" t="s">
        <v>39</v>
      </c>
      <c r="D8" s="73" t="s">
        <v>40</v>
      </c>
      <c r="E8" s="73" t="s">
        <v>41</v>
      </c>
      <c r="F8" s="74" t="s">
        <v>42</v>
      </c>
    </row>
    <row r="9" spans="1:6" x14ac:dyDescent="0.25">
      <c r="A9" s="93">
        <v>1</v>
      </c>
      <c r="B9" s="94" t="s">
        <v>320</v>
      </c>
      <c r="C9" s="95">
        <v>45637</v>
      </c>
      <c r="D9" s="96"/>
      <c r="E9" s="97"/>
      <c r="F9" s="98" t="s">
        <v>321</v>
      </c>
    </row>
    <row r="10" spans="1:6" x14ac:dyDescent="0.25">
      <c r="A10" s="40"/>
      <c r="B10" s="3"/>
      <c r="C10" s="44"/>
      <c r="D10" s="3"/>
      <c r="E10" s="45"/>
      <c r="F10" s="5"/>
    </row>
    <row r="11" spans="1:6" x14ac:dyDescent="0.25">
      <c r="A11" s="41"/>
      <c r="B11" s="4"/>
      <c r="C11" s="45"/>
      <c r="D11" s="4"/>
      <c r="E11" s="46"/>
      <c r="F11" s="5"/>
    </row>
    <row r="12" spans="1:6" x14ac:dyDescent="0.25">
      <c r="A12" s="42"/>
      <c r="B12" s="50"/>
      <c r="C12" s="47"/>
      <c r="D12" s="50"/>
      <c r="E12" s="48"/>
      <c r="F12" s="6"/>
    </row>
    <row r="13" spans="1:6" x14ac:dyDescent="0.25">
      <c r="A13" s="42"/>
      <c r="B13" s="50"/>
      <c r="C13" s="47"/>
      <c r="D13" s="50"/>
      <c r="E13" s="48"/>
      <c r="F13" s="6"/>
    </row>
    <row r="14" spans="1:6" ht="13.8" thickBot="1" x14ac:dyDescent="0.3">
      <c r="A14" s="43"/>
      <c r="B14" s="51"/>
      <c r="C14" s="49"/>
      <c r="D14" s="51"/>
      <c r="E14" s="49"/>
      <c r="F14" s="7"/>
    </row>
  </sheetData>
  <mergeCells count="1">
    <mergeCell ref="A4:F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I41"/>
  <sheetViews>
    <sheetView showGridLines="0" workbookViewId="0">
      <selection activeCell="D9" sqref="D9"/>
    </sheetView>
  </sheetViews>
  <sheetFormatPr defaultColWidth="9" defaultRowHeight="13.2" x14ac:dyDescent="0.25"/>
  <cols>
    <col min="1" max="1" width="9" style="35"/>
    <col min="2" max="2" width="20.3984375" style="35" bestFit="1" customWidth="1"/>
    <col min="3" max="3" width="9.09765625" style="35" bestFit="1" customWidth="1"/>
    <col min="4" max="16384" width="9" style="35"/>
  </cols>
  <sheetData>
    <row r="2" spans="2:9" x14ac:dyDescent="0.25">
      <c r="B2" s="141" t="s">
        <v>17</v>
      </c>
      <c r="C2" s="141"/>
    </row>
    <row r="3" spans="2:9" x14ac:dyDescent="0.25">
      <c r="B3" s="26" t="s">
        <v>18</v>
      </c>
      <c r="C3" s="29">
        <v>43375</v>
      </c>
    </row>
    <row r="4" spans="2:9" x14ac:dyDescent="0.25">
      <c r="B4" s="26" t="s">
        <v>19</v>
      </c>
      <c r="C4" s="30" t="s">
        <v>20</v>
      </c>
    </row>
    <row r="5" spans="2:9" x14ac:dyDescent="0.25">
      <c r="B5" s="26" t="s">
        <v>35</v>
      </c>
      <c r="C5" s="30">
        <f>'Scenario Test'!J21</f>
        <v>212</v>
      </c>
    </row>
    <row r="6" spans="2:9" x14ac:dyDescent="0.25">
      <c r="B6" s="36"/>
      <c r="C6" s="36"/>
      <c r="D6" s="36"/>
      <c r="F6" s="36"/>
      <c r="G6" s="37"/>
      <c r="H6" s="37"/>
    </row>
    <row r="7" spans="2:9" x14ac:dyDescent="0.25">
      <c r="B7" s="138" t="s">
        <v>27</v>
      </c>
      <c r="C7" s="139"/>
      <c r="D7" s="139"/>
      <c r="E7" s="139"/>
      <c r="F7" s="139"/>
      <c r="G7" s="139"/>
      <c r="H7" s="139"/>
      <c r="I7" s="140"/>
    </row>
    <row r="8" spans="2:9" ht="39.6" x14ac:dyDescent="0.25">
      <c r="B8" s="27" t="s">
        <v>29</v>
      </c>
      <c r="C8" s="28">
        <v>43374</v>
      </c>
      <c r="D8" s="28">
        <v>43375</v>
      </c>
      <c r="E8" s="28">
        <v>43376</v>
      </c>
      <c r="F8" s="28">
        <v>43377</v>
      </c>
      <c r="G8" s="28">
        <v>43378</v>
      </c>
      <c r="H8" s="28">
        <v>43379</v>
      </c>
      <c r="I8" s="28">
        <v>43380</v>
      </c>
    </row>
    <row r="9" spans="2:9" x14ac:dyDescent="0.25">
      <c r="B9" s="62" t="s">
        <v>10</v>
      </c>
      <c r="C9" s="62">
        <f>COUNTIFS(TestCase!$G:$G,$B$9,TestCase!$J:$J,C8)</f>
        <v>0</v>
      </c>
      <c r="D9" s="62">
        <f>COUNTIFS(TestCase!$G:$G,$B$9,TestCase!$J:$J,D8)</f>
        <v>0</v>
      </c>
      <c r="E9" s="62">
        <f>COUNTIFS(TestCase!$G:$G,$B$9,TestCase!$J:$J,E8)</f>
        <v>0</v>
      </c>
      <c r="F9" s="62">
        <f>COUNTIFS(TestCase!$G:$G,$B$9,TestCase!$J:$J,F8)</f>
        <v>0</v>
      </c>
      <c r="G9" s="62">
        <f>COUNTIFS(TestCase!$G:$G,$B$9,TestCase!$J:$J,G8)</f>
        <v>0</v>
      </c>
      <c r="H9" s="62">
        <f>COUNTIFS(TestCase!$G:$G,$B$9,TestCase!$J:$J,H8)</f>
        <v>0</v>
      </c>
      <c r="I9" s="62">
        <f>COUNTIFS(TestCase!$G:$G,$B$9,TestCase!$J:$J,I8)</f>
        <v>0</v>
      </c>
    </row>
    <row r="10" spans="2:9" x14ac:dyDescent="0.25">
      <c r="B10" s="62" t="s">
        <v>11</v>
      </c>
      <c r="C10" s="62">
        <f>COUNTIFS(TestCase!$G:$G,$B$10,TestCase!$J:$J,C8)</f>
        <v>0</v>
      </c>
      <c r="D10" s="62">
        <f>COUNTIFS(TestCase!$G:$G,$B$10,TestCase!$J:$J,D8)</f>
        <v>0</v>
      </c>
      <c r="E10" s="62">
        <f>COUNTIFS(TestCase!$G:$G,$B$10,TestCase!$J:$J,E8)</f>
        <v>0</v>
      </c>
      <c r="F10" s="62">
        <f>COUNTIFS(TestCase!$G:$G,$B$10,TestCase!$J:$J,F8)</f>
        <v>0</v>
      </c>
      <c r="G10" s="62">
        <f>COUNTIFS(TestCase!$G:$G,$B$10,TestCase!$J:$J,G8)</f>
        <v>0</v>
      </c>
      <c r="H10" s="62">
        <f>COUNTIFS(TestCase!$G:$G,$B$10,TestCase!$J:$J,H8)</f>
        <v>0</v>
      </c>
      <c r="I10" s="62">
        <f>COUNTIFS(TestCase!$G:$G,$B$10,TestCase!$J:$J,I8)</f>
        <v>0</v>
      </c>
    </row>
    <row r="11" spans="2:9" x14ac:dyDescent="0.25">
      <c r="B11" s="62" t="s">
        <v>16</v>
      </c>
      <c r="C11" s="62">
        <f>COUNTIFS(TestCase!$G:$G,$B$11,TestCase!$J:$J,C8)</f>
        <v>0</v>
      </c>
      <c r="D11" s="62">
        <f>COUNTIFS(TestCase!$G:$G,$B$11,TestCase!$J:$J,D8)</f>
        <v>0</v>
      </c>
      <c r="E11" s="62">
        <f>COUNTIFS(TestCase!$G:$G,$B$11,TestCase!$J:$J,E8)</f>
        <v>0</v>
      </c>
      <c r="F11" s="62">
        <f>COUNTIFS(TestCase!$G:$G,$B$11,TestCase!$J:$J,F8)</f>
        <v>0</v>
      </c>
      <c r="G11" s="62">
        <f>COUNTIFS(TestCase!$G:$G,$B$11,TestCase!$J:$J,G8)</f>
        <v>0</v>
      </c>
      <c r="H11" s="62">
        <f>COUNTIFS(TestCase!$G:$G,$B$11,TestCase!$J:$J,H8)</f>
        <v>0</v>
      </c>
      <c r="I11" s="62">
        <f>COUNTIFS(TestCase!$G:$G,$B$11,TestCase!$J:$J,I8)</f>
        <v>0</v>
      </c>
    </row>
    <row r="12" spans="2:9" x14ac:dyDescent="0.25">
      <c r="B12" s="62" t="s">
        <v>45</v>
      </c>
      <c r="C12" s="62">
        <f>COUNTIFS(TestCase!$G:$G,$B$12,TestCase!$K:$K,C8)</f>
        <v>0</v>
      </c>
      <c r="D12" s="62">
        <f>COUNTIFS(TestCase!$G:$G,$B$12,TestCase!$K:$K,D8)</f>
        <v>0</v>
      </c>
      <c r="E12" s="62">
        <f>COUNTIFS(TestCase!$G:$G,$B$12,TestCase!$K:$K,E8)</f>
        <v>0</v>
      </c>
      <c r="F12" s="62">
        <f>COUNTIFS(TestCase!$G:$G,$B$12,TestCase!$K:$K,F8)</f>
        <v>0</v>
      </c>
      <c r="G12" s="62">
        <f>COUNTIFS(TestCase!$G:$G,$B$12,TestCase!$K:$K,G8)</f>
        <v>0</v>
      </c>
      <c r="H12" s="62">
        <f>COUNTIFS(TestCase!$G:$G,$B$12,TestCase!$K:$K,H8)</f>
        <v>0</v>
      </c>
      <c r="I12" s="62">
        <f>COUNTIFS(TestCase!$G:$G,$B$12,TestCase!$K:$K,I8)</f>
        <v>0</v>
      </c>
    </row>
    <row r="13" spans="2:9" x14ac:dyDescent="0.25">
      <c r="B13" s="62" t="s">
        <v>46</v>
      </c>
      <c r="C13" s="62">
        <f>COUNTIFS(TestCase!$G:$G,$B$13,TestCase!$K:$K,C8)</f>
        <v>0</v>
      </c>
      <c r="D13" s="62">
        <f>COUNTIFS(TestCase!$G:$G,$B$13,TestCase!$K:$K,D8)</f>
        <v>0</v>
      </c>
      <c r="E13" s="62">
        <f>COUNTIFS(TestCase!$G:$G,$B$13,TestCase!$K:$K,E8)</f>
        <v>0</v>
      </c>
      <c r="F13" s="62">
        <f>COUNTIFS(TestCase!$G:$G,$B$13,TestCase!$K:$K,F8)</f>
        <v>0</v>
      </c>
      <c r="G13" s="62">
        <f>COUNTIFS(TestCase!$G:$G,$B$13,TestCase!$K:$K,G8)</f>
        <v>0</v>
      </c>
      <c r="H13" s="62">
        <f>COUNTIFS(TestCase!$G:$G,$B$13,TestCase!$K:$K,H8)</f>
        <v>0</v>
      </c>
      <c r="I13" s="62">
        <f>COUNTIFS(TestCase!$G:$G,$B$13,TestCase!$K:$K,I8)</f>
        <v>0</v>
      </c>
    </row>
    <row r="14" spans="2:9" x14ac:dyDescent="0.25">
      <c r="B14" s="63" t="s">
        <v>21</v>
      </c>
      <c r="C14" s="64">
        <f>SUM(C9:C13)</f>
        <v>0</v>
      </c>
      <c r="D14" s="64">
        <f t="shared" ref="D14:I14" si="0">SUM(D9:D13)</f>
        <v>0</v>
      </c>
      <c r="E14" s="64">
        <f t="shared" si="0"/>
        <v>0</v>
      </c>
      <c r="F14" s="64">
        <f t="shared" si="0"/>
        <v>0</v>
      </c>
      <c r="G14" s="64">
        <f t="shared" si="0"/>
        <v>0</v>
      </c>
      <c r="H14" s="64">
        <f t="shared" si="0"/>
        <v>0</v>
      </c>
      <c r="I14" s="64">
        <f t="shared" si="0"/>
        <v>0</v>
      </c>
    </row>
    <row r="15" spans="2:9" x14ac:dyDescent="0.25">
      <c r="B15" s="65" t="s">
        <v>22</v>
      </c>
      <c r="C15" s="65">
        <f>$C$5-C14</f>
        <v>212</v>
      </c>
      <c r="D15" s="65">
        <f>C15-D14</f>
        <v>212</v>
      </c>
      <c r="E15" s="65">
        <f>D15-E14</f>
        <v>212</v>
      </c>
      <c r="F15" s="65">
        <f t="shared" ref="F15:I15" si="1">E15-F14</f>
        <v>212</v>
      </c>
      <c r="G15" s="65">
        <f t="shared" si="1"/>
        <v>212</v>
      </c>
      <c r="H15" s="65">
        <f t="shared" si="1"/>
        <v>212</v>
      </c>
      <c r="I15" s="65">
        <f t="shared" si="1"/>
        <v>212</v>
      </c>
    </row>
    <row r="17" spans="2:9" x14ac:dyDescent="0.25">
      <c r="B17" s="138" t="s">
        <v>28</v>
      </c>
      <c r="C17" s="139"/>
      <c r="D17" s="139"/>
      <c r="E17" s="139"/>
      <c r="F17" s="139"/>
      <c r="G17" s="139"/>
      <c r="H17" s="139"/>
      <c r="I17" s="140"/>
    </row>
    <row r="18" spans="2:9" ht="39.6" x14ac:dyDescent="0.25">
      <c r="B18" s="27" t="s">
        <v>29</v>
      </c>
      <c r="C18" s="28">
        <v>43374</v>
      </c>
      <c r="D18" s="28">
        <v>43375</v>
      </c>
      <c r="E18" s="28">
        <v>43376</v>
      </c>
      <c r="F18" s="28">
        <v>43377</v>
      </c>
      <c r="G18" s="28">
        <v>43378</v>
      </c>
      <c r="H18" s="28">
        <v>43379</v>
      </c>
      <c r="I18" s="28">
        <v>43380</v>
      </c>
    </row>
    <row r="19" spans="2:9" x14ac:dyDescent="0.25">
      <c r="B19" s="62" t="s">
        <v>10</v>
      </c>
      <c r="C19" s="62">
        <f>COUNTIFS(TestCase!$G:$G,$B$19,TestCase!$K:$K,C18)</f>
        <v>0</v>
      </c>
      <c r="D19" s="62">
        <f>COUNTIFS(TestCase!$G:$G,$B$19,TestCase!$K:$K,D18)</f>
        <v>0</v>
      </c>
      <c r="E19" s="62">
        <f>COUNTIFS(TestCase!$G:$G,$B$19,TestCase!$K:$K,E18)</f>
        <v>0</v>
      </c>
      <c r="F19" s="62">
        <f>COUNTIFS(TestCase!$G:$G,$B$19,TestCase!$K:$K,F18)</f>
        <v>0</v>
      </c>
      <c r="G19" s="62">
        <f>COUNTIFS(TestCase!$G:$G,$B$19,TestCase!$K:$K,G18)</f>
        <v>0</v>
      </c>
      <c r="H19" s="62">
        <f>COUNTIFS(TestCase!$G:$G,$B$19,TestCase!$K:$K,H18)</f>
        <v>0</v>
      </c>
      <c r="I19" s="62">
        <f>COUNTIFS(TestCase!$G:$G,$B$19,TestCase!$K:$K,I18)</f>
        <v>0</v>
      </c>
    </row>
    <row r="20" spans="2:9" x14ac:dyDescent="0.25">
      <c r="B20" s="62" t="s">
        <v>11</v>
      </c>
      <c r="C20" s="62">
        <f>COUNTIFS(TestCase!$G:$G,$B$20,TestCase!$K:$K,C18)</f>
        <v>0</v>
      </c>
      <c r="D20" s="62">
        <f>COUNTIFS(TestCase!$G:$G,$B$20,TestCase!$K:$K,D18)</f>
        <v>0</v>
      </c>
      <c r="E20" s="62">
        <f>COUNTIFS(TestCase!$G:$G,$B$20,TestCase!$K:$K,E18)</f>
        <v>0</v>
      </c>
      <c r="F20" s="62">
        <f>COUNTIFS(TestCase!$G:$G,$B$20,TestCase!$K:$K,F18)</f>
        <v>0</v>
      </c>
      <c r="G20" s="62">
        <f>COUNTIFS(TestCase!$G:$G,$B$20,TestCase!$K:$K,G18)</f>
        <v>0</v>
      </c>
      <c r="H20" s="62">
        <f>COUNTIFS(TestCase!$G:$G,$B$20,TestCase!$K:$K,H18)</f>
        <v>0</v>
      </c>
      <c r="I20" s="62">
        <f>COUNTIFS(TestCase!$G:$G,$B$20,TestCase!$K:$K,I18)</f>
        <v>0</v>
      </c>
    </row>
    <row r="21" spans="2:9" x14ac:dyDescent="0.25">
      <c r="B21" s="62" t="s">
        <v>16</v>
      </c>
      <c r="C21" s="62">
        <f>COUNTIFS(TestCase!$G:$G,$B$21,TestCase!$K:$K,C18)</f>
        <v>0</v>
      </c>
      <c r="D21" s="62">
        <f>COUNTIFS(TestCase!$G:$G,$B$21,TestCase!$K:$K,D18)</f>
        <v>0</v>
      </c>
      <c r="E21" s="62">
        <f>COUNTIFS(TestCase!$G:$G,$B$21,TestCase!$K:$K,E18)</f>
        <v>0</v>
      </c>
      <c r="F21" s="62">
        <f>COUNTIFS(TestCase!$G:$G,$B$21,TestCase!$K:$K,F18)</f>
        <v>0</v>
      </c>
      <c r="G21" s="62">
        <f>COUNTIFS(TestCase!$G:$G,$B$21,TestCase!$K:$K,G18)</f>
        <v>0</v>
      </c>
      <c r="H21" s="62">
        <f>COUNTIFS(TestCase!$G:$G,$B$21,TestCase!$K:$K,H18)</f>
        <v>0</v>
      </c>
      <c r="I21" s="62">
        <f>COUNTIFS(TestCase!$G:$G,$B$21,TestCase!$K:$K,I18)</f>
        <v>0</v>
      </c>
    </row>
    <row r="22" spans="2:9" x14ac:dyDescent="0.25">
      <c r="B22" s="62" t="s">
        <v>45</v>
      </c>
      <c r="C22" s="62">
        <f>COUNTIFS(TestCase!$G:$G,$B$22,TestCase!$K:$K,C18)</f>
        <v>0</v>
      </c>
      <c r="D22" s="62">
        <f>COUNTIFS(TestCase!$G:$G,$B$22,TestCase!$K:$K,D18)</f>
        <v>0</v>
      </c>
      <c r="E22" s="62">
        <f>COUNTIFS(TestCase!$G:$G,$B$22,TestCase!$K:$K,E18)</f>
        <v>0</v>
      </c>
      <c r="F22" s="62">
        <f>COUNTIFS(TestCase!$G:$G,$B$22,TestCase!$K:$K,F18)</f>
        <v>0</v>
      </c>
      <c r="G22" s="62">
        <f>COUNTIFS(TestCase!$G:$G,$B$22,TestCase!$K:$K,G18)</f>
        <v>0</v>
      </c>
      <c r="H22" s="62">
        <f>COUNTIFS(TestCase!$G:$G,$B$22,TestCase!$K:$K,H18)</f>
        <v>0</v>
      </c>
      <c r="I22" s="62">
        <f>COUNTIFS(TestCase!$G:$G,$B$22,TestCase!$K:$K,I18)</f>
        <v>0</v>
      </c>
    </row>
    <row r="23" spans="2:9" x14ac:dyDescent="0.25">
      <c r="B23" s="62" t="s">
        <v>46</v>
      </c>
      <c r="C23" s="62">
        <f>COUNTIFS(TestCase!$G:$G,$B$23,TestCase!$K:$K,C18)</f>
        <v>0</v>
      </c>
      <c r="D23" s="62">
        <f>COUNTIFS(TestCase!$G:$G,$B$23,TestCase!$K:$K,D18)</f>
        <v>0</v>
      </c>
      <c r="E23" s="62">
        <f>COUNTIFS(TestCase!$G:$G,$B$23,TestCase!$K:$K,E18)</f>
        <v>0</v>
      </c>
      <c r="F23" s="62">
        <f>COUNTIFS(TestCase!$G:$G,$B$23,TestCase!$K:$K,F18)</f>
        <v>0</v>
      </c>
      <c r="G23" s="62">
        <f>COUNTIFS(TestCase!$G:$G,$B$23,TestCase!$K:$K,G18)</f>
        <v>0</v>
      </c>
      <c r="H23" s="62">
        <f>COUNTIFS(TestCase!$G:$G,$B$23,TestCase!$K:$K,H18)</f>
        <v>0</v>
      </c>
      <c r="I23" s="62">
        <f>COUNTIFS(TestCase!$G:$G,$B$23,TestCase!$K:$K,I18)</f>
        <v>0</v>
      </c>
    </row>
    <row r="24" spans="2:9" x14ac:dyDescent="0.25">
      <c r="B24" s="63" t="s">
        <v>21</v>
      </c>
      <c r="C24" s="64">
        <f>SUM(C19:C23)</f>
        <v>0</v>
      </c>
      <c r="D24" s="64">
        <f>SUM(D19:D23)</f>
        <v>0</v>
      </c>
      <c r="E24" s="64">
        <f>SUM(E19:E23)</f>
        <v>0</v>
      </c>
      <c r="F24" s="64">
        <f>SUM(F19:F23)</f>
        <v>0</v>
      </c>
      <c r="G24" s="64">
        <f>SUM(G19:G23)</f>
        <v>0</v>
      </c>
      <c r="H24" s="64">
        <f t="shared" ref="H24" si="2">SUM(H19:H23)</f>
        <v>0</v>
      </c>
      <c r="I24" s="64">
        <f t="shared" ref="I24" si="3">SUM(I19:I23)</f>
        <v>0</v>
      </c>
    </row>
    <row r="25" spans="2:9" x14ac:dyDescent="0.25">
      <c r="B25" s="65" t="s">
        <v>22</v>
      </c>
      <c r="C25" s="65">
        <f>$C$5-C24</f>
        <v>212</v>
      </c>
      <c r="D25" s="65">
        <f>C25-D24</f>
        <v>212</v>
      </c>
      <c r="E25" s="65">
        <f t="shared" ref="E25:I25" si="4">D25-E24</f>
        <v>212</v>
      </c>
      <c r="F25" s="65">
        <f t="shared" si="4"/>
        <v>212</v>
      </c>
      <c r="G25" s="65">
        <f t="shared" si="4"/>
        <v>212</v>
      </c>
      <c r="H25" s="65">
        <f t="shared" si="4"/>
        <v>212</v>
      </c>
      <c r="I25" s="65">
        <f t="shared" si="4"/>
        <v>212</v>
      </c>
    </row>
    <row r="27" spans="2:9" x14ac:dyDescent="0.25">
      <c r="B27" s="142" t="s">
        <v>33</v>
      </c>
      <c r="C27" s="143"/>
    </row>
    <row r="28" spans="2:9" x14ac:dyDescent="0.25">
      <c r="B28" s="68" t="s">
        <v>30</v>
      </c>
      <c r="C28" s="69">
        <f>'Scenario Test'!K21</f>
        <v>0</v>
      </c>
    </row>
    <row r="29" spans="2:9" x14ac:dyDescent="0.25">
      <c r="B29" s="68" t="s">
        <v>31</v>
      </c>
      <c r="C29" s="69">
        <f>'Scenario Test'!L21</f>
        <v>0</v>
      </c>
    </row>
    <row r="30" spans="2:9" x14ac:dyDescent="0.25">
      <c r="B30" s="76" t="s">
        <v>59</v>
      </c>
      <c r="C30" s="71">
        <f>'Scenario Test'!N21</f>
        <v>0</v>
      </c>
    </row>
    <row r="31" spans="2:9" x14ac:dyDescent="0.25">
      <c r="B31" s="76" t="s">
        <v>56</v>
      </c>
      <c r="C31" s="71">
        <f>'Scenario Test'!O21</f>
        <v>0</v>
      </c>
    </row>
    <row r="32" spans="2:9" x14ac:dyDescent="0.25">
      <c r="B32" s="75" t="s">
        <v>58</v>
      </c>
      <c r="C32" s="70">
        <f>'Scenario Test'!P21</f>
        <v>0</v>
      </c>
    </row>
    <row r="33" spans="2:3" x14ac:dyDescent="0.25">
      <c r="B33" s="77" t="s">
        <v>55</v>
      </c>
      <c r="C33" s="67">
        <f>'Scenario Test'!M21</f>
        <v>1</v>
      </c>
    </row>
    <row r="35" spans="2:3" x14ac:dyDescent="0.25">
      <c r="B35" s="142" t="s">
        <v>34</v>
      </c>
      <c r="C35" s="143"/>
    </row>
    <row r="36" spans="2:3" x14ac:dyDescent="0.25">
      <c r="B36" s="68" t="s">
        <v>10</v>
      </c>
      <c r="C36" s="68">
        <f>'Scenario Test'!C21</f>
        <v>0</v>
      </c>
    </row>
    <row r="37" spans="2:3" x14ac:dyDescent="0.25">
      <c r="B37" s="68" t="s">
        <v>11</v>
      </c>
      <c r="C37" s="68">
        <f>'Scenario Test'!D21</f>
        <v>0</v>
      </c>
    </row>
    <row r="38" spans="2:3" x14ac:dyDescent="0.25">
      <c r="B38" s="76" t="s">
        <v>16</v>
      </c>
      <c r="C38" s="76">
        <f>'Scenario Test'!F21</f>
        <v>0</v>
      </c>
    </row>
    <row r="39" spans="2:3" x14ac:dyDescent="0.25">
      <c r="B39" s="76" t="s">
        <v>45</v>
      </c>
      <c r="C39" s="76">
        <f>'Scenario Test'!G21</f>
        <v>0</v>
      </c>
    </row>
    <row r="40" spans="2:3" x14ac:dyDescent="0.25">
      <c r="B40" s="75" t="s">
        <v>46</v>
      </c>
      <c r="C40" s="75">
        <f>'Scenario Test'!H21</f>
        <v>0</v>
      </c>
    </row>
    <row r="41" spans="2:3" x14ac:dyDescent="0.25">
      <c r="B41" s="66" t="s">
        <v>60</v>
      </c>
      <c r="C41" s="66">
        <f>'Scenario Test'!E21</f>
        <v>212</v>
      </c>
    </row>
  </sheetData>
  <mergeCells count="5">
    <mergeCell ref="B7:I7"/>
    <mergeCell ref="B2:C2"/>
    <mergeCell ref="B17:I17"/>
    <mergeCell ref="B27:C27"/>
    <mergeCell ref="B35:C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T30"/>
  <sheetViews>
    <sheetView showGridLines="0" workbookViewId="0">
      <selection activeCell="D16" sqref="D16"/>
    </sheetView>
  </sheetViews>
  <sheetFormatPr defaultColWidth="13.5" defaultRowHeight="13.2" x14ac:dyDescent="0.25"/>
  <cols>
    <col min="1" max="1" width="10.09765625" style="8" bestFit="1" customWidth="1"/>
    <col min="2" max="2" width="40.5" style="8" bestFit="1" customWidth="1"/>
    <col min="3" max="3" width="9.09765625" style="83" bestFit="1" customWidth="1"/>
    <col min="4" max="6" width="5.59765625" style="83" bestFit="1" customWidth="1"/>
    <col min="7" max="7" width="7.5" style="83" bestFit="1" customWidth="1"/>
    <col min="8" max="8" width="9.5" style="83" bestFit="1" customWidth="1"/>
    <col min="9" max="9" width="5.59765625" style="83" bestFit="1" customWidth="1"/>
    <col min="10" max="10" width="9" style="83" customWidth="1"/>
    <col min="11" max="11" width="7" style="8" bestFit="1" customWidth="1"/>
    <col min="12" max="12" width="7" style="8" customWidth="1"/>
    <col min="13" max="13" width="7.8984375" style="8" bestFit="1" customWidth="1"/>
    <col min="14" max="14" width="7" style="8" customWidth="1"/>
    <col min="15" max="15" width="9.3984375" style="8" customWidth="1"/>
    <col min="16" max="16" width="10" style="8" bestFit="1" customWidth="1"/>
    <col min="17" max="17" width="22" style="8" customWidth="1"/>
    <col min="18" max="18" width="7.5" style="8" customWidth="1"/>
    <col min="19" max="19" width="8.19921875" style="8" bestFit="1" customWidth="1"/>
    <col min="20" max="20" width="20.3984375" style="8" bestFit="1" customWidth="1"/>
    <col min="21" max="16384" width="13.5" style="8"/>
  </cols>
  <sheetData>
    <row r="3" spans="1:20" ht="19.2" x14ac:dyDescent="0.25">
      <c r="A3" s="31" t="s">
        <v>14</v>
      </c>
      <c r="B3" s="31"/>
      <c r="C3" s="31"/>
      <c r="D3" s="31"/>
      <c r="E3" s="31"/>
      <c r="F3" s="31"/>
      <c r="G3" s="31"/>
      <c r="H3" s="31"/>
      <c r="I3" s="31"/>
      <c r="J3" s="31"/>
      <c r="K3" s="31"/>
      <c r="L3" s="31"/>
      <c r="M3" s="31"/>
      <c r="N3" s="31"/>
      <c r="O3" s="31"/>
      <c r="P3" s="31"/>
      <c r="Q3" s="31"/>
    </row>
    <row r="5" spans="1:20" ht="39.6" x14ac:dyDescent="0.25">
      <c r="A5" s="56" t="s">
        <v>7</v>
      </c>
      <c r="B5" s="56" t="s">
        <v>9</v>
      </c>
      <c r="C5" s="52" t="s">
        <v>10</v>
      </c>
      <c r="D5" s="52" t="s">
        <v>11</v>
      </c>
      <c r="E5" s="52" t="s">
        <v>5</v>
      </c>
      <c r="F5" s="52" t="s">
        <v>16</v>
      </c>
      <c r="G5" s="52" t="s">
        <v>45</v>
      </c>
      <c r="H5" s="52" t="s">
        <v>46</v>
      </c>
      <c r="I5" s="52" t="s">
        <v>23</v>
      </c>
      <c r="J5" s="52" t="s">
        <v>12</v>
      </c>
      <c r="K5" s="52" t="s">
        <v>30</v>
      </c>
      <c r="L5" s="52" t="s">
        <v>31</v>
      </c>
      <c r="M5" s="52" t="s">
        <v>57</v>
      </c>
      <c r="N5" s="52" t="s">
        <v>32</v>
      </c>
      <c r="O5" s="52" t="s">
        <v>56</v>
      </c>
      <c r="P5" s="52" t="s">
        <v>58</v>
      </c>
      <c r="Q5" s="57" t="s">
        <v>8</v>
      </c>
    </row>
    <row r="6" spans="1:20" x14ac:dyDescent="0.25">
      <c r="A6" s="146" t="s">
        <v>338</v>
      </c>
      <c r="B6" s="147"/>
      <c r="C6" s="147"/>
      <c r="D6" s="147"/>
      <c r="E6" s="147"/>
      <c r="F6" s="147"/>
      <c r="G6" s="147"/>
      <c r="H6" s="147"/>
      <c r="I6" s="147"/>
      <c r="J6" s="147"/>
      <c r="K6" s="147"/>
      <c r="L6" s="147"/>
      <c r="M6" s="147"/>
      <c r="N6" s="147"/>
      <c r="O6" s="147"/>
      <c r="P6" s="147"/>
      <c r="Q6" s="148"/>
    </row>
    <row r="7" spans="1:20" x14ac:dyDescent="0.25">
      <c r="A7" s="20" t="s">
        <v>369</v>
      </c>
      <c r="B7" s="14" t="s">
        <v>338</v>
      </c>
      <c r="C7" s="81">
        <f>COUNTIFS(TestCase!$A:$A,A7,TestCase!$G:$G,$C$5)</f>
        <v>0</v>
      </c>
      <c r="D7" s="81">
        <f>COUNTIFS(TestCase!$A:$A,A7,TestCase!$G:$G,$D$5)</f>
        <v>0</v>
      </c>
      <c r="E7" s="81">
        <f>COUNTIFS(TestCase!$A:$A,A7,TestCase!$G:$G,$E$5)</f>
        <v>6</v>
      </c>
      <c r="F7" s="81">
        <f>COUNTIFS(TestCase!$A:$A,A7,TestCase!$G:$G,$F$5)</f>
        <v>0</v>
      </c>
      <c r="G7" s="81">
        <f>COUNTIFS(TestCase!$A:$A,A7,TestCase!$G:$G,$G$5)</f>
        <v>0</v>
      </c>
      <c r="H7" s="81">
        <f>COUNTIFS(TestCase!$A:$A,A7,TestCase!$G:$G,$H$5)</f>
        <v>0</v>
      </c>
      <c r="I7" s="81">
        <f>COUNTIFS(TestCase!$A:$A,A7,TestCase!$G:$G,$I$5)</f>
        <v>0</v>
      </c>
      <c r="J7" s="81">
        <f t="shared" ref="J7:J8" si="0">SUM(C7:H7)</f>
        <v>6</v>
      </c>
      <c r="K7" s="33">
        <f>IFERROR(ROUND(C7/J7,4),0)</f>
        <v>0</v>
      </c>
      <c r="L7" s="33">
        <f>IFERROR(ROUND(D7/J7,4),0)</f>
        <v>0</v>
      </c>
      <c r="M7" s="33">
        <f>IFERROR(ROUND(E7/J7,4),0)</f>
        <v>1</v>
      </c>
      <c r="N7" s="33">
        <f>IFERROR(ROUND(F7/J7,4),0)</f>
        <v>0</v>
      </c>
      <c r="O7" s="33">
        <f>IFERROR(ROUND(G7/J7,4),0)</f>
        <v>0</v>
      </c>
      <c r="P7" s="33">
        <f>IFERROR(ROUND(H7/J7,4),0)</f>
        <v>0</v>
      </c>
      <c r="Q7" s="14"/>
      <c r="T7" s="32"/>
    </row>
    <row r="8" spans="1:20" x14ac:dyDescent="0.25">
      <c r="A8" s="20" t="s">
        <v>370</v>
      </c>
      <c r="B8" s="14" t="s">
        <v>339</v>
      </c>
      <c r="C8" s="81">
        <f>COUNTIFS(TestCase!$A:$A,A8,TestCase!$G:$G,$C$5)</f>
        <v>0</v>
      </c>
      <c r="D8" s="81">
        <f>COUNTIFS(TestCase!$A:$A,A8,TestCase!$G:$G,$D$5)</f>
        <v>0</v>
      </c>
      <c r="E8" s="81">
        <f>COUNTIFS(TestCase!$A:$A,A8,TestCase!$G:$G,$E$5)</f>
        <v>24</v>
      </c>
      <c r="F8" s="81">
        <f>COUNTIFS(TestCase!$A:$A,A8,TestCase!$G:$G,$F$5)</f>
        <v>0</v>
      </c>
      <c r="G8" s="81">
        <f>COUNTIFS(TestCase!$A:$A,A8,TestCase!$G:$G,$G$5)</f>
        <v>0</v>
      </c>
      <c r="H8" s="81">
        <f>COUNTIFS(TestCase!$A:$A,A8,TestCase!$G:$G,$H$5)</f>
        <v>0</v>
      </c>
      <c r="I8" s="81">
        <f>COUNTIFS(TestCase!$A:$A,A8,TestCase!$G:$G,$I$5)</f>
        <v>0</v>
      </c>
      <c r="J8" s="81">
        <f t="shared" si="0"/>
        <v>24</v>
      </c>
      <c r="K8" s="33">
        <f t="shared" ref="K8" si="1">IFERROR(ROUND(C8/J8,4),0)</f>
        <v>0</v>
      </c>
      <c r="L8" s="33">
        <f t="shared" ref="L8" si="2">IFERROR(ROUND(D8/J8,4),0)</f>
        <v>0</v>
      </c>
      <c r="M8" s="33">
        <f t="shared" ref="M8" si="3">IFERROR(ROUND(E8/J8,4),0)</f>
        <v>1</v>
      </c>
      <c r="N8" s="33">
        <f t="shared" ref="N8" si="4">IFERROR(ROUND(F8/J8,4),0)</f>
        <v>0</v>
      </c>
      <c r="O8" s="33">
        <f t="shared" ref="O8" si="5">IFERROR(ROUND(G8/J8,4),0)</f>
        <v>0</v>
      </c>
      <c r="P8" s="33">
        <f t="shared" ref="P8" si="6">IFERROR(ROUND(H8/J8,4),0)</f>
        <v>0</v>
      </c>
      <c r="Q8" s="14"/>
      <c r="T8" s="32"/>
    </row>
    <row r="9" spans="1:20" x14ac:dyDescent="0.25">
      <c r="A9" s="20" t="s">
        <v>371</v>
      </c>
      <c r="B9" s="14" t="s">
        <v>341</v>
      </c>
      <c r="C9" s="81">
        <f>COUNTIFS(TestCase!$A:$A,A9,TestCase!$G:$G,$C$5)</f>
        <v>0</v>
      </c>
      <c r="D9" s="81">
        <f>COUNTIFS(TestCase!$A:$A,A9,TestCase!$G:$G,$D$5)</f>
        <v>0</v>
      </c>
      <c r="E9" s="81">
        <f>COUNTIFS(TestCase!$A:$A,A9,TestCase!$G:$G,$E$5)</f>
        <v>21</v>
      </c>
      <c r="F9" s="81">
        <f>COUNTIFS(TestCase!$A:$A,A9,TestCase!$G:$G,$F$5)</f>
        <v>0</v>
      </c>
      <c r="G9" s="81">
        <f>COUNTIFS(TestCase!$A:$A,A9,TestCase!$G:$G,$G$5)</f>
        <v>0</v>
      </c>
      <c r="H9" s="81">
        <f>COUNTIFS(TestCase!$A:$A,A9,TestCase!$G:$G,$H$5)</f>
        <v>0</v>
      </c>
      <c r="I9" s="81">
        <f>COUNTIFS(TestCase!$A:$A,A9,TestCase!$G:$G,$I$5)</f>
        <v>0</v>
      </c>
      <c r="J9" s="81">
        <f t="shared" ref="J9:J10" si="7">SUM(C9:H9)</f>
        <v>21</v>
      </c>
      <c r="K9" s="33">
        <f>IFERROR(ROUND(C9/J9,4),0)</f>
        <v>0</v>
      </c>
      <c r="L9" s="33">
        <f>IFERROR(ROUND(D9/J9,4),0)</f>
        <v>0</v>
      </c>
      <c r="M9" s="33">
        <f>IFERROR(ROUND(E9/J9,4),0)</f>
        <v>1</v>
      </c>
      <c r="N9" s="33">
        <f>IFERROR(ROUND(F9/J9,4),0)</f>
        <v>0</v>
      </c>
      <c r="O9" s="33">
        <f>IFERROR(ROUND(G9/J9,4),0)</f>
        <v>0</v>
      </c>
      <c r="P9" s="33">
        <f>IFERROR(ROUND(H9/J9,4),0)</f>
        <v>0</v>
      </c>
      <c r="Q9" s="14"/>
      <c r="T9" s="32"/>
    </row>
    <row r="10" spans="1:20" x14ac:dyDescent="0.25">
      <c r="A10" s="20" t="s">
        <v>372</v>
      </c>
      <c r="B10" s="14" t="s">
        <v>340</v>
      </c>
      <c r="C10" s="81">
        <f>COUNTIFS(TestCase!$A:$A,A10,TestCase!$G:$G,$C$5)</f>
        <v>0</v>
      </c>
      <c r="D10" s="81">
        <f>COUNTIFS(TestCase!$A:$A,A10,TestCase!$G:$G,$D$5)</f>
        <v>0</v>
      </c>
      <c r="E10" s="81">
        <f>COUNTIFS(TestCase!$A:$A,A10,TestCase!$G:$G,$E$5)</f>
        <v>4</v>
      </c>
      <c r="F10" s="81">
        <f>COUNTIFS(TestCase!$A:$A,A10,TestCase!$G:$G,$F$5)</f>
        <v>0</v>
      </c>
      <c r="G10" s="81">
        <f>COUNTIFS(TestCase!$A:$A,A10,TestCase!$G:$G,$G$5)</f>
        <v>0</v>
      </c>
      <c r="H10" s="81">
        <f>COUNTIFS(TestCase!$A:$A,A10,TestCase!$G:$G,$H$5)</f>
        <v>0</v>
      </c>
      <c r="I10" s="81">
        <f>COUNTIFS(TestCase!$A:$A,A10,TestCase!$G:$G,$I$5)</f>
        <v>0</v>
      </c>
      <c r="J10" s="81">
        <f t="shared" si="7"/>
        <v>4</v>
      </c>
      <c r="K10" s="33">
        <f t="shared" ref="K10" si="8">IFERROR(ROUND(C10/J10,4),0)</f>
        <v>0</v>
      </c>
      <c r="L10" s="33">
        <f t="shared" ref="L10" si="9">IFERROR(ROUND(D10/J10,4),0)</f>
        <v>0</v>
      </c>
      <c r="M10" s="33">
        <f t="shared" ref="M10" si="10">IFERROR(ROUND(E10/J10,4),0)</f>
        <v>1</v>
      </c>
      <c r="N10" s="33">
        <f t="shared" ref="N10" si="11">IFERROR(ROUND(F10/J10,4),0)</f>
        <v>0</v>
      </c>
      <c r="O10" s="33">
        <f t="shared" ref="O10" si="12">IFERROR(ROUND(G10/J10,4),0)</f>
        <v>0</v>
      </c>
      <c r="P10" s="33">
        <f t="shared" ref="P10" si="13">IFERROR(ROUND(H10/J10,4),0)</f>
        <v>0</v>
      </c>
      <c r="Q10" s="14"/>
      <c r="T10" s="32"/>
    </row>
    <row r="11" spans="1:20" x14ac:dyDescent="0.25">
      <c r="A11" s="146" t="s">
        <v>337</v>
      </c>
      <c r="B11" s="147"/>
      <c r="C11" s="147"/>
      <c r="D11" s="147"/>
      <c r="E11" s="147"/>
      <c r="F11" s="147"/>
      <c r="G11" s="147"/>
      <c r="H11" s="147"/>
      <c r="I11" s="147"/>
      <c r="J11" s="147"/>
      <c r="K11" s="147"/>
      <c r="L11" s="147"/>
      <c r="M11" s="147"/>
      <c r="N11" s="147"/>
      <c r="O11" s="147"/>
      <c r="P11" s="147"/>
      <c r="Q11" s="148"/>
    </row>
    <row r="12" spans="1:20" x14ac:dyDescent="0.25">
      <c r="A12" s="20" t="s">
        <v>62</v>
      </c>
      <c r="B12" s="14" t="s">
        <v>63</v>
      </c>
      <c r="C12" s="81">
        <f>COUNTIFS(TestCase!$A:$A,A12,TestCase!$G:$G,$C$5)</f>
        <v>0</v>
      </c>
      <c r="D12" s="81">
        <f>COUNTIFS(TestCase!$A:$A,A12,TestCase!$G:$G,$D$5)</f>
        <v>0</v>
      </c>
      <c r="E12" s="81">
        <f>COUNTIFS(TestCase!$A:$A,A12,TestCase!$G:$G,$E$5)</f>
        <v>9</v>
      </c>
      <c r="F12" s="81">
        <f>COUNTIFS(TestCase!$A:$A,A12,TestCase!$G:$G,$F$5)</f>
        <v>0</v>
      </c>
      <c r="G12" s="81">
        <f>COUNTIFS(TestCase!$A:$A,A12,TestCase!$G:$G,$G$5)</f>
        <v>0</v>
      </c>
      <c r="H12" s="81">
        <f>COUNTIFS(TestCase!$A:$A,A12,TestCase!$G:$G,$H$5)</f>
        <v>0</v>
      </c>
      <c r="I12" s="81">
        <f>COUNTIFS(TestCase!$A:$A,A12,TestCase!$G:$G,$I$5)</f>
        <v>0</v>
      </c>
      <c r="J12" s="81">
        <f t="shared" ref="J12:J20" si="14">SUM(C12:H12)</f>
        <v>9</v>
      </c>
      <c r="K12" s="33">
        <f>IFERROR(ROUND(C12/J12,4),0)</f>
        <v>0</v>
      </c>
      <c r="L12" s="33">
        <f>IFERROR(ROUND(D12/J12,4),0)</f>
        <v>0</v>
      </c>
      <c r="M12" s="33">
        <f>IFERROR(ROUND(E12/J12,4),0)</f>
        <v>1</v>
      </c>
      <c r="N12" s="33">
        <f>IFERROR(ROUND(F12/J12,4),0)</f>
        <v>0</v>
      </c>
      <c r="O12" s="33">
        <f>IFERROR(ROUND(G12/J12,4),0)</f>
        <v>0</v>
      </c>
      <c r="P12" s="33">
        <f>IFERROR(ROUND(H12/J12,4),0)</f>
        <v>0</v>
      </c>
      <c r="Q12" s="14"/>
      <c r="T12" s="32"/>
    </row>
    <row r="13" spans="1:20" x14ac:dyDescent="0.25">
      <c r="A13" s="20" t="s">
        <v>64</v>
      </c>
      <c r="B13" s="14" t="s">
        <v>65</v>
      </c>
      <c r="C13" s="81">
        <f>COUNTIFS(TestCase!$A:$A,A13,TestCase!$G:$G,$C$5)</f>
        <v>0</v>
      </c>
      <c r="D13" s="81">
        <f>COUNTIFS(TestCase!$A:$A,A13,TestCase!$G:$G,$D$5)</f>
        <v>0</v>
      </c>
      <c r="E13" s="81">
        <f>COUNTIFS(TestCase!$A:$A,A13,TestCase!$G:$G,$E$5)</f>
        <v>10</v>
      </c>
      <c r="F13" s="81">
        <f>COUNTIFS(TestCase!$A:$A,A13,TestCase!$G:$G,$F$5)</f>
        <v>0</v>
      </c>
      <c r="G13" s="81">
        <f>COUNTIFS(TestCase!$A:$A,A13,TestCase!$G:$G,$G$5)</f>
        <v>0</v>
      </c>
      <c r="H13" s="81">
        <f>COUNTIFS(TestCase!$A:$A,A13,TestCase!$G:$G,$H$5)</f>
        <v>0</v>
      </c>
      <c r="I13" s="81">
        <f>COUNTIFS(TestCase!$A:$A,A13,TestCase!$G:$G,$I$5)</f>
        <v>0</v>
      </c>
      <c r="J13" s="81">
        <f t="shared" si="14"/>
        <v>10</v>
      </c>
      <c r="K13" s="33">
        <f t="shared" ref="K13:K17" si="15">IFERROR(ROUND(C13/J13,4),0)</f>
        <v>0</v>
      </c>
      <c r="L13" s="33">
        <f t="shared" ref="L13:L17" si="16">IFERROR(ROUND(D13/J13,4),0)</f>
        <v>0</v>
      </c>
      <c r="M13" s="33">
        <f t="shared" ref="M13:M17" si="17">IFERROR(ROUND(E13/J13,4),0)</f>
        <v>1</v>
      </c>
      <c r="N13" s="33">
        <f t="shared" ref="N13:N17" si="18">IFERROR(ROUND(F13/J13,4),0)</f>
        <v>0</v>
      </c>
      <c r="O13" s="33">
        <f t="shared" ref="O13:O17" si="19">IFERROR(ROUND(G13/J13,4),0)</f>
        <v>0</v>
      </c>
      <c r="P13" s="33">
        <f t="shared" ref="P13:P17" si="20">IFERROR(ROUND(H13/J13,4),0)</f>
        <v>0</v>
      </c>
      <c r="Q13" s="14"/>
      <c r="T13" s="32"/>
    </row>
    <row r="14" spans="1:20" x14ac:dyDescent="0.25">
      <c r="A14" s="20" t="s">
        <v>66</v>
      </c>
      <c r="B14" s="14" t="s">
        <v>79</v>
      </c>
      <c r="C14" s="81">
        <f>COUNTIFS(TestCase!$A:$A,A14,TestCase!$G:$G,$C$5)</f>
        <v>0</v>
      </c>
      <c r="D14" s="81">
        <f>COUNTIFS(TestCase!$A:$A,A14,TestCase!$G:$G,$D$5)</f>
        <v>0</v>
      </c>
      <c r="E14" s="81">
        <f>COUNTIFS(TestCase!$A:$A,A14,TestCase!$G:$G,$E$5)</f>
        <v>16</v>
      </c>
      <c r="F14" s="81">
        <f>COUNTIFS(TestCase!$A:$A,A14,TestCase!$G:$G,$F$5)</f>
        <v>0</v>
      </c>
      <c r="G14" s="81">
        <f>COUNTIFS(TestCase!$A:$A,A14,TestCase!$G:$G,$G$5)</f>
        <v>0</v>
      </c>
      <c r="H14" s="81">
        <f>COUNTIFS(TestCase!$A:$A,A14,TestCase!$G:$G,$H$5)</f>
        <v>0</v>
      </c>
      <c r="I14" s="81">
        <f>COUNTIFS(TestCase!$A:$A,A14,TestCase!$G:$G,$I$5)</f>
        <v>0</v>
      </c>
      <c r="J14" s="81">
        <f t="shared" si="14"/>
        <v>16</v>
      </c>
      <c r="K14" s="33">
        <f t="shared" ref="K14" si="21">IFERROR(ROUND(C14/J14,4),0)</f>
        <v>0</v>
      </c>
      <c r="L14" s="33">
        <f t="shared" ref="L14" si="22">IFERROR(ROUND(D14/J14,4),0)</f>
        <v>0</v>
      </c>
      <c r="M14" s="33">
        <f t="shared" ref="M14" si="23">IFERROR(ROUND(E14/J14,4),0)</f>
        <v>1</v>
      </c>
      <c r="N14" s="33">
        <f t="shared" ref="N14" si="24">IFERROR(ROUND(F14/J14,4),0)</f>
        <v>0</v>
      </c>
      <c r="O14" s="33">
        <f t="shared" ref="O14" si="25">IFERROR(ROUND(G14/J14,4),0)</f>
        <v>0</v>
      </c>
      <c r="P14" s="33">
        <f t="shared" ref="P14" si="26">IFERROR(ROUND(H14/J14,4),0)</f>
        <v>0</v>
      </c>
      <c r="Q14" s="14"/>
      <c r="T14" s="32"/>
    </row>
    <row r="15" spans="1:20" x14ac:dyDescent="0.25">
      <c r="A15" s="20" t="s">
        <v>68</v>
      </c>
      <c r="B15" s="14" t="s">
        <v>67</v>
      </c>
      <c r="C15" s="81">
        <f>COUNTIFS(TestCase!$A:$A,A15,TestCase!$G:$G,$C$5)</f>
        <v>0</v>
      </c>
      <c r="D15" s="81">
        <f>COUNTIFS(TestCase!$A:$A,A15,TestCase!$G:$G,$D$5)</f>
        <v>0</v>
      </c>
      <c r="E15" s="81">
        <f>COUNTIFS(TestCase!$A:$A,A15,TestCase!$G:$G,$E$5)</f>
        <v>16</v>
      </c>
      <c r="F15" s="81">
        <f>COUNTIFS(TestCase!$A:$A,A15,TestCase!$G:$G,$F$5)</f>
        <v>0</v>
      </c>
      <c r="G15" s="81">
        <f>COUNTIFS(TestCase!$A:$A,A15,TestCase!$G:$G,$G$5)</f>
        <v>0</v>
      </c>
      <c r="H15" s="81">
        <f>COUNTIFS(TestCase!$A:$A,A15,TestCase!$G:$G,$H$5)</f>
        <v>0</v>
      </c>
      <c r="I15" s="81">
        <f>COUNTIFS(TestCase!$A:$A,A15,TestCase!$G:$G,$I$5)</f>
        <v>0</v>
      </c>
      <c r="J15" s="81">
        <f t="shared" si="14"/>
        <v>16</v>
      </c>
      <c r="K15" s="33">
        <f t="shared" si="15"/>
        <v>0</v>
      </c>
      <c r="L15" s="33">
        <f t="shared" si="16"/>
        <v>0</v>
      </c>
      <c r="M15" s="33">
        <f t="shared" si="17"/>
        <v>1</v>
      </c>
      <c r="N15" s="33">
        <f t="shared" si="18"/>
        <v>0</v>
      </c>
      <c r="O15" s="33">
        <f t="shared" si="19"/>
        <v>0</v>
      </c>
      <c r="P15" s="33">
        <f t="shared" si="20"/>
        <v>0</v>
      </c>
      <c r="Q15" s="14"/>
      <c r="T15" s="32"/>
    </row>
    <row r="16" spans="1:20" x14ac:dyDescent="0.25">
      <c r="A16" s="20" t="s">
        <v>70</v>
      </c>
      <c r="B16" s="14" t="s">
        <v>71</v>
      </c>
      <c r="C16" s="81">
        <f>COUNTIFS(TestCase!$A:$A,A16,TestCase!$G:$G,$C$5)</f>
        <v>0</v>
      </c>
      <c r="D16" s="81">
        <f>COUNTIFS(TestCase!$A:$A,A16,TestCase!$G:$G,$D$5)</f>
        <v>0</v>
      </c>
      <c r="E16" s="81">
        <f>COUNTIFS(TestCase!$A:$A,A16,TestCase!$G:$G,$E$5)</f>
        <v>23</v>
      </c>
      <c r="F16" s="81">
        <f>COUNTIFS(TestCase!$A:$A,A16,TestCase!$G:$G,$F$5)</f>
        <v>0</v>
      </c>
      <c r="G16" s="81">
        <f>COUNTIFS(TestCase!$A:$A,A16,TestCase!$G:$G,$G$5)</f>
        <v>0</v>
      </c>
      <c r="H16" s="81">
        <f>COUNTIFS(TestCase!$A:$A,A16,TestCase!$G:$G,$H$5)</f>
        <v>0</v>
      </c>
      <c r="I16" s="81">
        <f>COUNTIFS(TestCase!$A:$A,A16,TestCase!$G:$G,$I$5)</f>
        <v>0</v>
      </c>
      <c r="J16" s="81">
        <f t="shared" si="14"/>
        <v>23</v>
      </c>
      <c r="K16" s="33">
        <f t="shared" ref="K16" si="27">IFERROR(ROUND(C16/J16,4),0)</f>
        <v>0</v>
      </c>
      <c r="L16" s="33">
        <f t="shared" ref="L16" si="28">IFERROR(ROUND(D16/J16,4),0)</f>
        <v>0</v>
      </c>
      <c r="M16" s="33">
        <f t="shared" ref="M16" si="29">IFERROR(ROUND(E16/J16,4),0)</f>
        <v>1</v>
      </c>
      <c r="N16" s="33">
        <f t="shared" ref="N16" si="30">IFERROR(ROUND(F16/J16,4),0)</f>
        <v>0</v>
      </c>
      <c r="O16" s="33">
        <f t="shared" ref="O16" si="31">IFERROR(ROUND(G16/J16,4),0)</f>
        <v>0</v>
      </c>
      <c r="P16" s="33">
        <f t="shared" ref="P16" si="32">IFERROR(ROUND(H16/J16,4),0)</f>
        <v>0</v>
      </c>
      <c r="Q16" s="14"/>
      <c r="T16" s="32"/>
    </row>
    <row r="17" spans="1:20" x14ac:dyDescent="0.25">
      <c r="A17" s="20" t="s">
        <v>72</v>
      </c>
      <c r="B17" s="14" t="s">
        <v>69</v>
      </c>
      <c r="C17" s="81">
        <f>COUNTIFS(TestCase!$A:$A,A17,TestCase!$G:$G,$C$5)</f>
        <v>0</v>
      </c>
      <c r="D17" s="81">
        <f>COUNTIFS(TestCase!$A:$A,A17,TestCase!$G:$G,$D$5)</f>
        <v>0</v>
      </c>
      <c r="E17" s="81">
        <f>COUNTIFS(TestCase!$A:$A,A17,TestCase!$G:$G,$E$5)</f>
        <v>25</v>
      </c>
      <c r="F17" s="81">
        <f>COUNTIFS(TestCase!$A:$A,A17,TestCase!$G:$G,$F$5)</f>
        <v>0</v>
      </c>
      <c r="G17" s="81">
        <f>COUNTIFS(TestCase!$A:$A,A17,TestCase!$G:$G,$G$5)</f>
        <v>0</v>
      </c>
      <c r="H17" s="81">
        <f>COUNTIFS(TestCase!$A:$A,A17,TestCase!$G:$G,$H$5)</f>
        <v>0</v>
      </c>
      <c r="I17" s="81">
        <f>COUNTIFS(TestCase!$A:$A,A17,TestCase!$G:$G,$I$5)</f>
        <v>0</v>
      </c>
      <c r="J17" s="81">
        <f t="shared" si="14"/>
        <v>25</v>
      </c>
      <c r="K17" s="33">
        <f t="shared" si="15"/>
        <v>0</v>
      </c>
      <c r="L17" s="33">
        <f t="shared" si="16"/>
        <v>0</v>
      </c>
      <c r="M17" s="33">
        <f t="shared" si="17"/>
        <v>1</v>
      </c>
      <c r="N17" s="33">
        <f t="shared" si="18"/>
        <v>0</v>
      </c>
      <c r="O17" s="33">
        <f t="shared" si="19"/>
        <v>0</v>
      </c>
      <c r="P17" s="33">
        <f t="shared" si="20"/>
        <v>0</v>
      </c>
      <c r="Q17" s="14"/>
      <c r="T17" s="32"/>
    </row>
    <row r="18" spans="1:20" x14ac:dyDescent="0.25">
      <c r="A18" s="20" t="s">
        <v>74</v>
      </c>
      <c r="B18" s="14" t="s">
        <v>75</v>
      </c>
      <c r="C18" s="81">
        <f>COUNTIFS(TestCase!$A:$A,A18,TestCase!$G:$G,$C$5)</f>
        <v>0</v>
      </c>
      <c r="D18" s="81">
        <f>COUNTIFS(TestCase!$A:$A,A18,TestCase!$G:$G,$D$5)</f>
        <v>0</v>
      </c>
      <c r="E18" s="81">
        <f>COUNTIFS(TestCase!$A:$A,A18,TestCase!$G:$G,$E$5)</f>
        <v>17</v>
      </c>
      <c r="F18" s="81">
        <f>COUNTIFS(TestCase!$A:$A,A18,TestCase!$G:$G,$F$5)</f>
        <v>0</v>
      </c>
      <c r="G18" s="81">
        <f>COUNTIFS(TestCase!$A:$A,A18,TestCase!$G:$G,$G$5)</f>
        <v>0</v>
      </c>
      <c r="H18" s="81">
        <f>COUNTIFS(TestCase!$A:$A,A18,TestCase!$G:$G,$H$5)</f>
        <v>0</v>
      </c>
      <c r="I18" s="81">
        <f>COUNTIFS(TestCase!$A:$A,A18,TestCase!$G:$G,$I$5)</f>
        <v>0</v>
      </c>
      <c r="J18" s="81">
        <f t="shared" si="14"/>
        <v>17</v>
      </c>
      <c r="K18" s="33">
        <f t="shared" ref="K18:K19" si="33">IFERROR(ROUND(C18/J18,4),0)</f>
        <v>0</v>
      </c>
      <c r="L18" s="33">
        <f t="shared" ref="L18:L19" si="34">IFERROR(ROUND(D18/J18,4),0)</f>
        <v>0</v>
      </c>
      <c r="M18" s="33">
        <f t="shared" ref="M18:M19" si="35">IFERROR(ROUND(E18/J18,4),0)</f>
        <v>1</v>
      </c>
      <c r="N18" s="33">
        <f t="shared" ref="N18:N19" si="36">IFERROR(ROUND(F18/J18,4),0)</f>
        <v>0</v>
      </c>
      <c r="O18" s="33">
        <f t="shared" ref="O18:O19" si="37">IFERROR(ROUND(G18/J18,4),0)</f>
        <v>0</v>
      </c>
      <c r="P18" s="33">
        <f t="shared" ref="P18:P19" si="38">IFERROR(ROUND(H18/J18,4),0)</f>
        <v>0</v>
      </c>
      <c r="Q18" s="14"/>
      <c r="T18" s="32"/>
    </row>
    <row r="19" spans="1:20" x14ac:dyDescent="0.25">
      <c r="A19" s="20" t="s">
        <v>76</v>
      </c>
      <c r="B19" s="14" t="s">
        <v>73</v>
      </c>
      <c r="C19" s="81">
        <f>COUNTIFS(TestCase!$A:$A,A19,TestCase!$G:$G,$C$5)</f>
        <v>0</v>
      </c>
      <c r="D19" s="81">
        <f>COUNTIFS(TestCase!$A:$A,A19,TestCase!$G:$G,$D$5)</f>
        <v>0</v>
      </c>
      <c r="E19" s="81">
        <f>COUNTIFS(TestCase!$A:$A,A19,TestCase!$G:$G,$E$5)</f>
        <v>20</v>
      </c>
      <c r="F19" s="81">
        <f>COUNTIFS(TestCase!$A:$A,A19,TestCase!$G:$G,$F$5)</f>
        <v>0</v>
      </c>
      <c r="G19" s="81">
        <f>COUNTIFS(TestCase!$A:$A,A19,TestCase!$G:$G,$G$5)</f>
        <v>0</v>
      </c>
      <c r="H19" s="81">
        <f>COUNTIFS(TestCase!$A:$A,A19,TestCase!$G:$G,$H$5)</f>
        <v>0</v>
      </c>
      <c r="I19" s="81">
        <f>COUNTIFS(TestCase!$A:$A,A19,TestCase!$G:$G,$I$5)</f>
        <v>0</v>
      </c>
      <c r="J19" s="81">
        <f t="shared" si="14"/>
        <v>20</v>
      </c>
      <c r="K19" s="33">
        <f t="shared" si="33"/>
        <v>0</v>
      </c>
      <c r="L19" s="33">
        <f t="shared" si="34"/>
        <v>0</v>
      </c>
      <c r="M19" s="33">
        <f t="shared" si="35"/>
        <v>1</v>
      </c>
      <c r="N19" s="33">
        <f t="shared" si="36"/>
        <v>0</v>
      </c>
      <c r="O19" s="33">
        <f t="shared" si="37"/>
        <v>0</v>
      </c>
      <c r="P19" s="33">
        <f t="shared" si="38"/>
        <v>0</v>
      </c>
      <c r="Q19" s="14"/>
      <c r="T19" s="32"/>
    </row>
    <row r="20" spans="1:20" x14ac:dyDescent="0.25">
      <c r="A20" s="20" t="s">
        <v>78</v>
      </c>
      <c r="B20" s="14" t="s">
        <v>77</v>
      </c>
      <c r="C20" s="81">
        <f>COUNTIFS(TestCase!$A:$A,A20,TestCase!$G:$G,$C$5)</f>
        <v>0</v>
      </c>
      <c r="D20" s="81">
        <f>COUNTIFS(TestCase!$A:$A,A20,TestCase!$G:$G,$D$5)</f>
        <v>0</v>
      </c>
      <c r="E20" s="81">
        <f>COUNTIFS(TestCase!$A:$A,A20,TestCase!$G:$G,$E$5)</f>
        <v>21</v>
      </c>
      <c r="F20" s="81">
        <f>COUNTIFS(TestCase!$A:$A,A20,TestCase!$G:$G,$F$5)</f>
        <v>0</v>
      </c>
      <c r="G20" s="81">
        <f>COUNTIFS(TestCase!$A:$A,A20,TestCase!$G:$G,$G$5)</f>
        <v>0</v>
      </c>
      <c r="H20" s="81">
        <f>COUNTIFS(TestCase!$A:$A,A20,TestCase!$G:$G,$H$5)</f>
        <v>0</v>
      </c>
      <c r="I20" s="81">
        <f>COUNTIFS(TestCase!$A:$A,A20,TestCase!$G:$G,$I$5)</f>
        <v>0</v>
      </c>
      <c r="J20" s="81">
        <f t="shared" si="14"/>
        <v>21</v>
      </c>
      <c r="K20" s="33">
        <f t="shared" ref="K20" si="39">IFERROR(ROUND(C20/J20,4),0)</f>
        <v>0</v>
      </c>
      <c r="L20" s="33">
        <f t="shared" ref="L20" si="40">IFERROR(ROUND(D20/J20,4),0)</f>
        <v>0</v>
      </c>
      <c r="M20" s="33">
        <f t="shared" ref="M20" si="41">IFERROR(ROUND(E20/J20,4),0)</f>
        <v>1</v>
      </c>
      <c r="N20" s="33">
        <f t="shared" ref="N20" si="42">IFERROR(ROUND(F20/J20,4),0)</f>
        <v>0</v>
      </c>
      <c r="O20" s="33">
        <f t="shared" ref="O20" si="43">IFERROR(ROUND(G20/J20,4),0)</f>
        <v>0</v>
      </c>
      <c r="P20" s="33">
        <f t="shared" ref="P20" si="44">IFERROR(ROUND(H20/J20,4),0)</f>
        <v>0</v>
      </c>
      <c r="Q20" s="14"/>
      <c r="T20" s="32"/>
    </row>
    <row r="21" spans="1:20" x14ac:dyDescent="0.25">
      <c r="A21" s="144" t="s">
        <v>12</v>
      </c>
      <c r="B21" s="145"/>
      <c r="C21" s="82">
        <f>SUM(C7:C20)</f>
        <v>0</v>
      </c>
      <c r="D21" s="82">
        <f t="shared" ref="D21:I21" si="45">SUM(D7:D20)</f>
        <v>0</v>
      </c>
      <c r="E21" s="82">
        <f t="shared" si="45"/>
        <v>212</v>
      </c>
      <c r="F21" s="82">
        <f t="shared" si="45"/>
        <v>0</v>
      </c>
      <c r="G21" s="82">
        <f t="shared" si="45"/>
        <v>0</v>
      </c>
      <c r="H21" s="82">
        <f t="shared" si="45"/>
        <v>0</v>
      </c>
      <c r="I21" s="82">
        <f t="shared" si="45"/>
        <v>0</v>
      </c>
      <c r="J21" s="82">
        <f>SUM(J7:J20)</f>
        <v>212</v>
      </c>
      <c r="K21" s="58">
        <f>IFERROR(100%-SUM(L21:P21),0)</f>
        <v>0</v>
      </c>
      <c r="L21" s="58">
        <f t="shared" ref="L21:O21" si="46">IFERROR(ROUND(D21/$J$21,4),0)</f>
        <v>0</v>
      </c>
      <c r="M21" s="58">
        <f>IFERROR(ROUND(E21/$J$21,4),0)</f>
        <v>1</v>
      </c>
      <c r="N21" s="58">
        <f>IFERROR(ROUND(F21/$J$21,4),0)</f>
        <v>0</v>
      </c>
      <c r="O21" s="58">
        <f t="shared" si="46"/>
        <v>0</v>
      </c>
      <c r="P21" s="58">
        <f>IFERROR(ROUND(H21/$J$21,4),0)</f>
        <v>0</v>
      </c>
      <c r="Q21" s="54"/>
      <c r="T21" s="32"/>
    </row>
    <row r="22" spans="1:20" x14ac:dyDescent="0.25">
      <c r="T22" s="32"/>
    </row>
    <row r="23" spans="1:20" x14ac:dyDescent="0.25">
      <c r="A23" s="60" t="s">
        <v>47</v>
      </c>
      <c r="T23" s="32"/>
    </row>
    <row r="24" spans="1:20" x14ac:dyDescent="0.25">
      <c r="A24" s="61" t="s">
        <v>48</v>
      </c>
    </row>
    <row r="25" spans="1:20" x14ac:dyDescent="0.25">
      <c r="A25" s="61" t="s">
        <v>49</v>
      </c>
    </row>
    <row r="26" spans="1:20" x14ac:dyDescent="0.25">
      <c r="A26" s="61" t="s">
        <v>50</v>
      </c>
    </row>
    <row r="27" spans="1:20" x14ac:dyDescent="0.25">
      <c r="A27" s="59" t="s">
        <v>51</v>
      </c>
    </row>
    <row r="28" spans="1:20" x14ac:dyDescent="0.25">
      <c r="A28" s="61" t="s">
        <v>52</v>
      </c>
    </row>
    <row r="29" spans="1:20" x14ac:dyDescent="0.25">
      <c r="A29" s="61" t="s">
        <v>53</v>
      </c>
    </row>
    <row r="30" spans="1:20" x14ac:dyDescent="0.25">
      <c r="A30" s="61" t="s">
        <v>54</v>
      </c>
    </row>
  </sheetData>
  <mergeCells count="3">
    <mergeCell ref="A21:B21"/>
    <mergeCell ref="A11:Q11"/>
    <mergeCell ref="A6:Q6"/>
  </mergeCells>
  <phoneticPr fontId="2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40"/>
  <sheetViews>
    <sheetView zoomScale="60" zoomScaleNormal="60" workbookViewId="0">
      <pane ySplit="5" topLeftCell="A200" activePane="bottomLeft" state="frozen"/>
      <selection pane="bottomLeft" activeCell="E201" sqref="E201"/>
    </sheetView>
  </sheetViews>
  <sheetFormatPr defaultColWidth="9" defaultRowHeight="13.2" x14ac:dyDescent="0.25"/>
  <cols>
    <col min="1" max="1" width="10.09765625" style="8" bestFit="1" customWidth="1"/>
    <col min="2" max="2" width="44.09765625" style="8" customWidth="1"/>
    <col min="3" max="3" width="13.59765625" style="8" bestFit="1" customWidth="1"/>
    <col min="4" max="4" width="15.09765625" style="8" bestFit="1" customWidth="1"/>
    <col min="5" max="5" width="68.09765625" style="8" customWidth="1"/>
    <col min="6" max="6" width="45.5" style="8" customWidth="1"/>
    <col min="7" max="7" width="10.8984375" style="8" customWidth="1"/>
    <col min="8" max="8" width="22.59765625" style="8" customWidth="1"/>
    <col min="9" max="9" width="15.09765625" style="92" bestFit="1" customWidth="1"/>
    <col min="10" max="11" width="13.5" style="8" bestFit="1" customWidth="1"/>
    <col min="12" max="12" width="13.5" style="8" customWidth="1"/>
    <col min="13" max="14" width="21.59765625" style="8" customWidth="1"/>
    <col min="15" max="16384" width="9" style="8"/>
  </cols>
  <sheetData>
    <row r="1" spans="1:14" x14ac:dyDescent="0.25">
      <c r="A1" s="12"/>
      <c r="B1" s="11"/>
      <c r="C1" s="15"/>
      <c r="D1" s="15"/>
      <c r="E1" s="16"/>
      <c r="F1" s="16"/>
      <c r="G1" s="17"/>
      <c r="H1" s="13"/>
      <c r="I1" s="17"/>
      <c r="J1" s="17"/>
      <c r="K1" s="17"/>
      <c r="L1" s="17"/>
      <c r="M1" s="13"/>
      <c r="N1" s="13"/>
    </row>
    <row r="2" spans="1:14" ht="19.2" x14ac:dyDescent="0.25">
      <c r="A2" s="31" t="s">
        <v>13</v>
      </c>
      <c r="B2" s="31"/>
      <c r="C2" s="31"/>
      <c r="D2" s="31"/>
      <c r="E2" s="31"/>
      <c r="F2" s="31"/>
      <c r="G2" s="31"/>
      <c r="H2" s="31"/>
      <c r="I2" s="90"/>
      <c r="J2" s="31"/>
      <c r="K2" s="31"/>
      <c r="L2" s="31"/>
      <c r="M2" s="31"/>
      <c r="N2" s="31"/>
    </row>
    <row r="3" spans="1:14" ht="19.2" x14ac:dyDescent="0.25">
      <c r="A3" s="39" t="s">
        <v>36</v>
      </c>
      <c r="B3" s="31"/>
      <c r="C3" s="31"/>
      <c r="D3" s="31"/>
      <c r="E3" s="31"/>
      <c r="F3" s="31"/>
      <c r="G3" s="31"/>
      <c r="H3" s="31"/>
      <c r="I3" s="90"/>
      <c r="J3" s="31"/>
      <c r="K3" s="31"/>
      <c r="L3" s="31"/>
      <c r="M3" s="31"/>
      <c r="N3" s="31"/>
    </row>
    <row r="4" spans="1:14" x14ac:dyDescent="0.25">
      <c r="A4" s="18"/>
      <c r="B4" s="18"/>
      <c r="C4" s="19"/>
      <c r="D4" s="19"/>
      <c r="E4" s="19"/>
      <c r="F4" s="19"/>
      <c r="G4" s="17"/>
      <c r="H4" s="13"/>
      <c r="I4" s="17"/>
      <c r="J4" s="17"/>
      <c r="K4" s="17"/>
      <c r="L4" s="17"/>
      <c r="M4" s="13"/>
      <c r="N4" s="13"/>
    </row>
    <row r="5" spans="1:14" s="17" customFormat="1" ht="26.4" x14ac:dyDescent="0.25">
      <c r="A5" s="78" t="s">
        <v>7</v>
      </c>
      <c r="B5" s="78" t="s">
        <v>9</v>
      </c>
      <c r="C5" s="79" t="s">
        <v>37</v>
      </c>
      <c r="D5" s="79" t="s">
        <v>24</v>
      </c>
      <c r="E5" s="34" t="s">
        <v>0</v>
      </c>
      <c r="F5" s="34" t="s">
        <v>1</v>
      </c>
      <c r="G5" s="38" t="s">
        <v>2</v>
      </c>
      <c r="H5" s="38" t="s">
        <v>3</v>
      </c>
      <c r="I5" s="38" t="s">
        <v>15</v>
      </c>
      <c r="J5" s="38" t="s">
        <v>25</v>
      </c>
      <c r="K5" s="38" t="s">
        <v>26</v>
      </c>
      <c r="L5" s="38" t="s">
        <v>61</v>
      </c>
      <c r="M5" s="38" t="s">
        <v>4</v>
      </c>
      <c r="N5" s="38" t="s">
        <v>44</v>
      </c>
    </row>
    <row r="6" spans="1:14" x14ac:dyDescent="0.25">
      <c r="A6" s="53" t="str">
        <f>'Scenario Test'!$A$7</f>
        <v>CSH_001</v>
      </c>
      <c r="B6" s="54" t="str">
        <f>VLOOKUP(TestCase!A6,'Scenario Test'!$A$5:$B$117,2,0)</f>
        <v>Cash flow</v>
      </c>
      <c r="C6" s="53"/>
      <c r="D6" s="53"/>
      <c r="E6" s="53"/>
      <c r="F6" s="53"/>
      <c r="G6" s="55"/>
      <c r="H6" s="54"/>
      <c r="I6" s="55"/>
      <c r="J6" s="54"/>
      <c r="K6" s="54"/>
      <c r="L6" s="54"/>
      <c r="M6" s="54"/>
      <c r="N6" s="54"/>
    </row>
    <row r="7" spans="1:14" s="24" customFormat="1" x14ac:dyDescent="0.25">
      <c r="A7" s="80" t="str">
        <f>'Scenario Test'!$A$7</f>
        <v>CSH_001</v>
      </c>
      <c r="B7" s="21" t="str">
        <f>VLOOKUP(TestCase!A7,'Scenario Test'!$A$5:$B$117,2,0)</f>
        <v>Cash flow</v>
      </c>
      <c r="C7" s="20" t="s">
        <v>421</v>
      </c>
      <c r="D7" s="20"/>
      <c r="E7" s="86" t="s">
        <v>423</v>
      </c>
      <c r="F7" s="88" t="s">
        <v>435</v>
      </c>
      <c r="G7" s="22" t="s">
        <v>5</v>
      </c>
      <c r="H7" s="23"/>
      <c r="I7" s="91">
        <v>45642</v>
      </c>
      <c r="J7" s="25"/>
      <c r="K7" s="25"/>
      <c r="L7" s="25"/>
      <c r="M7" s="23"/>
      <c r="N7" s="25"/>
    </row>
    <row r="8" spans="1:14" s="24" customFormat="1" x14ac:dyDescent="0.25">
      <c r="A8" s="80" t="str">
        <f>'Scenario Test'!$A$7</f>
        <v>CSH_001</v>
      </c>
      <c r="B8" s="21" t="str">
        <f>VLOOKUP(TestCase!A8,'Scenario Test'!$A$5:$B$117,2,0)</f>
        <v>Cash flow</v>
      </c>
      <c r="C8" s="20" t="s">
        <v>422</v>
      </c>
      <c r="D8" s="20"/>
      <c r="E8" s="86" t="s">
        <v>434</v>
      </c>
      <c r="F8" s="88" t="s">
        <v>435</v>
      </c>
      <c r="G8" s="22" t="s">
        <v>5</v>
      </c>
      <c r="H8" s="23"/>
      <c r="I8" s="91">
        <v>45642</v>
      </c>
      <c r="J8" s="25"/>
      <c r="K8" s="25"/>
      <c r="L8" s="25"/>
      <c r="M8" s="23"/>
      <c r="N8" s="25"/>
    </row>
    <row r="9" spans="1:14" s="24" customFormat="1" x14ac:dyDescent="0.25">
      <c r="A9" s="80" t="str">
        <f>'Scenario Test'!$A$7</f>
        <v>CSH_001</v>
      </c>
      <c r="B9" s="21" t="str">
        <f>VLOOKUP(TestCase!A9,'Scenario Test'!$A$5:$B$117,2,0)</f>
        <v>Cash flow</v>
      </c>
      <c r="C9" s="20" t="s">
        <v>428</v>
      </c>
      <c r="D9" s="20"/>
      <c r="E9" s="86" t="s">
        <v>424</v>
      </c>
      <c r="F9" s="88" t="s">
        <v>435</v>
      </c>
      <c r="G9" s="22" t="s">
        <v>5</v>
      </c>
      <c r="H9" s="23"/>
      <c r="I9" s="91">
        <v>45642</v>
      </c>
      <c r="J9" s="25"/>
      <c r="K9" s="25"/>
      <c r="L9" s="25"/>
      <c r="M9" s="23"/>
      <c r="N9" s="25"/>
    </row>
    <row r="10" spans="1:14" s="24" customFormat="1" x14ac:dyDescent="0.25">
      <c r="A10" s="80" t="str">
        <f>'Scenario Test'!$A$7</f>
        <v>CSH_001</v>
      </c>
      <c r="B10" s="21" t="str">
        <f>VLOOKUP(TestCase!A10,'Scenario Test'!$A$5:$B$117,2,0)</f>
        <v>Cash flow</v>
      </c>
      <c r="C10" s="20" t="s">
        <v>429</v>
      </c>
      <c r="D10" s="20"/>
      <c r="E10" s="86" t="s">
        <v>425</v>
      </c>
      <c r="F10" s="88" t="s">
        <v>435</v>
      </c>
      <c r="G10" s="22" t="s">
        <v>5</v>
      </c>
      <c r="H10" s="23"/>
      <c r="I10" s="91">
        <v>45642</v>
      </c>
      <c r="J10" s="25"/>
      <c r="K10" s="25"/>
      <c r="L10" s="25"/>
      <c r="M10" s="23"/>
      <c r="N10" s="25"/>
    </row>
    <row r="11" spans="1:14" s="24" customFormat="1" x14ac:dyDescent="0.25">
      <c r="A11" s="80" t="str">
        <f>'Scenario Test'!$A$7</f>
        <v>CSH_001</v>
      </c>
      <c r="B11" s="21" t="str">
        <f>VLOOKUP(TestCase!A11,'Scenario Test'!$A$5:$B$117,2,0)</f>
        <v>Cash flow</v>
      </c>
      <c r="C11" s="20" t="s">
        <v>430</v>
      </c>
      <c r="D11" s="20"/>
      <c r="E11" s="86" t="s">
        <v>426</v>
      </c>
      <c r="F11" s="86" t="s">
        <v>431</v>
      </c>
      <c r="G11" s="22" t="s">
        <v>5</v>
      </c>
      <c r="H11" s="23"/>
      <c r="I11" s="91">
        <v>45642</v>
      </c>
      <c r="J11" s="25"/>
      <c r="K11" s="25"/>
      <c r="L11" s="25"/>
      <c r="M11" s="23"/>
      <c r="N11" s="25"/>
    </row>
    <row r="12" spans="1:14" s="24" customFormat="1" x14ac:dyDescent="0.25">
      <c r="A12" s="80" t="str">
        <f>'Scenario Test'!$A$7</f>
        <v>CSH_001</v>
      </c>
      <c r="B12" s="21" t="str">
        <f>VLOOKUP(TestCase!A12,'Scenario Test'!$A$5:$B$117,2,0)</f>
        <v>Cash flow</v>
      </c>
      <c r="C12" s="20" t="s">
        <v>433</v>
      </c>
      <c r="D12" s="20"/>
      <c r="E12" s="86" t="s">
        <v>427</v>
      </c>
      <c r="F12" s="86" t="s">
        <v>432</v>
      </c>
      <c r="G12" s="22" t="s">
        <v>5</v>
      </c>
      <c r="H12" s="23"/>
      <c r="I12" s="91">
        <v>45642</v>
      </c>
      <c r="J12" s="25"/>
      <c r="K12" s="25"/>
      <c r="L12" s="25"/>
      <c r="M12" s="23"/>
      <c r="N12" s="25"/>
    </row>
    <row r="13" spans="1:14" x14ac:dyDescent="0.25">
      <c r="A13" s="53" t="str">
        <f>'Scenario Test'!$A$8</f>
        <v>CSH_002</v>
      </c>
      <c r="B13" s="54" t="str">
        <f>VLOOKUP(TestCase!A13,'Scenario Test'!$A$5:$B$117,2,0)</f>
        <v>CSH_MOV: Internal cash movement</v>
      </c>
      <c r="C13" s="53"/>
      <c r="D13" s="53"/>
      <c r="E13" s="53"/>
      <c r="F13" s="53"/>
      <c r="G13" s="55"/>
      <c r="H13" s="54"/>
      <c r="I13" s="55"/>
      <c r="J13" s="54"/>
      <c r="K13" s="54"/>
      <c r="L13" s="54"/>
      <c r="M13" s="54"/>
      <c r="N13" s="54"/>
    </row>
    <row r="14" spans="1:14" s="24" customFormat="1" ht="184.8" x14ac:dyDescent="0.25">
      <c r="A14" s="80" t="str">
        <f>'Scenario Test'!$A$8</f>
        <v>CSH_002</v>
      </c>
      <c r="B14" s="21" t="str">
        <f>VLOOKUP(TestCase!A14,'Scenario Test'!$A$5:$B$117,2,0)</f>
        <v>CSH_MOV: Internal cash movement</v>
      </c>
      <c r="C14" s="20" t="s">
        <v>373</v>
      </c>
      <c r="D14" s="20"/>
      <c r="E14" s="86" t="s">
        <v>348</v>
      </c>
      <c r="F14" s="99" t="s">
        <v>342</v>
      </c>
      <c r="G14" s="22" t="s">
        <v>5</v>
      </c>
      <c r="H14" s="23"/>
      <c r="I14" s="91">
        <v>45637</v>
      </c>
      <c r="J14" s="25"/>
      <c r="K14" s="25"/>
      <c r="L14" s="25"/>
      <c r="M14" s="23"/>
      <c r="N14" s="25"/>
    </row>
    <row r="15" spans="1:14" s="24" customFormat="1" x14ac:dyDescent="0.25">
      <c r="A15" s="80" t="str">
        <f>'Scenario Test'!$A$8</f>
        <v>CSH_002</v>
      </c>
      <c r="B15" s="21" t="str">
        <f>VLOOKUP(TestCase!A15,'Scenario Test'!$A$5:$B$117,2,0)</f>
        <v>CSH_MOV: Internal cash movement</v>
      </c>
      <c r="C15" s="20" t="s">
        <v>374</v>
      </c>
      <c r="D15" s="20" t="str">
        <f>C14</f>
        <v>CSH_002_001</v>
      </c>
      <c r="E15" s="86" t="s">
        <v>346</v>
      </c>
      <c r="F15" s="88" t="s">
        <v>95</v>
      </c>
      <c r="G15" s="22" t="s">
        <v>5</v>
      </c>
      <c r="H15" s="23"/>
      <c r="I15" s="91">
        <v>45637</v>
      </c>
      <c r="J15" s="25"/>
      <c r="K15" s="25"/>
      <c r="L15" s="25"/>
      <c r="M15" s="23"/>
      <c r="N15" s="25"/>
    </row>
    <row r="16" spans="1:14" s="24" customFormat="1" x14ac:dyDescent="0.25">
      <c r="A16" s="80" t="str">
        <f>'Scenario Test'!$A$8</f>
        <v>CSH_002</v>
      </c>
      <c r="B16" s="21" t="str">
        <f>VLOOKUP(TestCase!A16,'Scenario Test'!$A$5:$B$117,2,0)</f>
        <v>CSH_MOV: Internal cash movement</v>
      </c>
      <c r="C16" s="20" t="s">
        <v>375</v>
      </c>
      <c r="D16" s="20"/>
      <c r="E16" s="89" t="s">
        <v>343</v>
      </c>
      <c r="F16" s="88" t="s">
        <v>106</v>
      </c>
      <c r="G16" s="22" t="s">
        <v>5</v>
      </c>
      <c r="H16" s="23"/>
      <c r="I16" s="91">
        <v>45637</v>
      </c>
      <c r="J16" s="25"/>
      <c r="K16" s="25"/>
      <c r="L16" s="25"/>
      <c r="M16" s="23"/>
      <c r="N16" s="25"/>
    </row>
    <row r="17" spans="1:14" s="24" customFormat="1" x14ac:dyDescent="0.25">
      <c r="A17" s="80" t="str">
        <f>'Scenario Test'!$A$8</f>
        <v>CSH_002</v>
      </c>
      <c r="B17" s="21" t="str">
        <f>VLOOKUP(TestCase!A17,'Scenario Test'!$A$5:$B$117,2,0)</f>
        <v>CSH_MOV: Internal cash movement</v>
      </c>
      <c r="C17" s="20" t="s">
        <v>376</v>
      </c>
      <c r="D17" s="20"/>
      <c r="E17" s="89" t="s">
        <v>344</v>
      </c>
      <c r="F17" s="88" t="s">
        <v>106</v>
      </c>
      <c r="G17" s="22" t="s">
        <v>5</v>
      </c>
      <c r="H17" s="23"/>
      <c r="I17" s="91">
        <v>45637</v>
      </c>
      <c r="J17" s="25"/>
      <c r="K17" s="25"/>
      <c r="L17" s="25"/>
      <c r="M17" s="23"/>
      <c r="N17" s="25"/>
    </row>
    <row r="18" spans="1:14" s="24" customFormat="1" x14ac:dyDescent="0.25">
      <c r="A18" s="80" t="str">
        <f>'Scenario Test'!$A$8</f>
        <v>CSH_002</v>
      </c>
      <c r="B18" s="21" t="str">
        <f>VLOOKUP(TestCase!A18,'Scenario Test'!$A$5:$B$117,2,0)</f>
        <v>CSH_MOV: Internal cash movement</v>
      </c>
      <c r="C18" s="20" t="s">
        <v>377</v>
      </c>
      <c r="D18" s="20"/>
      <c r="E18" s="89" t="s">
        <v>345</v>
      </c>
      <c r="F18" s="88" t="s">
        <v>106</v>
      </c>
      <c r="G18" s="22" t="s">
        <v>5</v>
      </c>
      <c r="H18" s="23"/>
      <c r="I18" s="91">
        <v>45637</v>
      </c>
      <c r="J18" s="25"/>
      <c r="K18" s="25"/>
      <c r="L18" s="25"/>
      <c r="M18" s="23"/>
      <c r="N18" s="25"/>
    </row>
    <row r="19" spans="1:14" s="24" customFormat="1" ht="105.6" x14ac:dyDescent="0.25">
      <c r="A19" s="80" t="str">
        <f>'Scenario Test'!$A$8</f>
        <v>CSH_002</v>
      </c>
      <c r="B19" s="21" t="str">
        <f>VLOOKUP(TestCase!A19,'Scenario Test'!$A$5:$B$117,2,0)</f>
        <v>CSH_MOV: Internal cash movement</v>
      </c>
      <c r="C19" s="20" t="s">
        <v>378</v>
      </c>
      <c r="D19" s="20"/>
      <c r="E19" s="86" t="s">
        <v>349</v>
      </c>
      <c r="F19" s="99" t="s">
        <v>342</v>
      </c>
      <c r="G19" s="22" t="s">
        <v>5</v>
      </c>
      <c r="H19" s="23"/>
      <c r="I19" s="91">
        <v>45637</v>
      </c>
      <c r="J19" s="25"/>
      <c r="K19" s="25"/>
      <c r="L19" s="25"/>
      <c r="M19" s="23"/>
      <c r="N19" s="25"/>
    </row>
    <row r="20" spans="1:14" s="24" customFormat="1" x14ac:dyDescent="0.25">
      <c r="A20" s="80" t="str">
        <f>'Scenario Test'!$A$8</f>
        <v>CSH_002</v>
      </c>
      <c r="B20" s="21" t="str">
        <f>VLOOKUP(TestCase!A20,'Scenario Test'!$A$5:$B$117,2,0)</f>
        <v>CSH_MOV: Internal cash movement</v>
      </c>
      <c r="C20" s="20" t="s">
        <v>379</v>
      </c>
      <c r="D20" s="20" t="str">
        <f>C19</f>
        <v>CSH_002_006</v>
      </c>
      <c r="E20" s="86" t="s">
        <v>346</v>
      </c>
      <c r="F20" s="88" t="s">
        <v>106</v>
      </c>
      <c r="G20" s="22" t="s">
        <v>5</v>
      </c>
      <c r="H20" s="23"/>
      <c r="I20" s="91">
        <v>45637</v>
      </c>
      <c r="J20" s="25"/>
      <c r="K20" s="25"/>
      <c r="L20" s="25"/>
      <c r="M20" s="23"/>
      <c r="N20" s="25"/>
    </row>
    <row r="21" spans="1:14" s="24" customFormat="1" ht="105.6" x14ac:dyDescent="0.25">
      <c r="A21" s="80" t="str">
        <f>'Scenario Test'!$A$8</f>
        <v>CSH_002</v>
      </c>
      <c r="B21" s="21" t="str">
        <f>VLOOKUP(TestCase!A21,'Scenario Test'!$A$5:$B$117,2,0)</f>
        <v>CSH_MOV: Internal cash movement</v>
      </c>
      <c r="C21" s="20" t="s">
        <v>380</v>
      </c>
      <c r="D21" s="20"/>
      <c r="E21" s="86" t="s">
        <v>350</v>
      </c>
      <c r="F21" s="99" t="s">
        <v>342</v>
      </c>
      <c r="G21" s="22" t="s">
        <v>5</v>
      </c>
      <c r="H21" s="23"/>
      <c r="I21" s="91">
        <v>45637</v>
      </c>
      <c r="J21" s="25"/>
      <c r="K21" s="25"/>
      <c r="L21" s="25"/>
      <c r="M21" s="23"/>
      <c r="N21" s="25"/>
    </row>
    <row r="22" spans="1:14" s="24" customFormat="1" x14ac:dyDescent="0.25">
      <c r="A22" s="80" t="str">
        <f>'Scenario Test'!$A$8</f>
        <v>CSH_002</v>
      </c>
      <c r="B22" s="21" t="str">
        <f>VLOOKUP(TestCase!A22,'Scenario Test'!$A$5:$B$117,2,0)</f>
        <v>CSH_MOV: Internal cash movement</v>
      </c>
      <c r="C22" s="20" t="s">
        <v>381</v>
      </c>
      <c r="D22" s="20" t="str">
        <f>C21</f>
        <v>CSH_002_008</v>
      </c>
      <c r="E22" s="86" t="s">
        <v>346</v>
      </c>
      <c r="F22" s="88" t="s">
        <v>106</v>
      </c>
      <c r="G22" s="22" t="s">
        <v>5</v>
      </c>
      <c r="H22" s="23"/>
      <c r="I22" s="91">
        <v>45637</v>
      </c>
      <c r="J22" s="25"/>
      <c r="K22" s="25"/>
      <c r="L22" s="25"/>
      <c r="M22" s="23"/>
      <c r="N22" s="25"/>
    </row>
    <row r="23" spans="1:14" s="24" customFormat="1" ht="105.6" x14ac:dyDescent="0.25">
      <c r="A23" s="80" t="str">
        <f>'Scenario Test'!$A$8</f>
        <v>CSH_002</v>
      </c>
      <c r="B23" s="21" t="str">
        <f>VLOOKUP(TestCase!A23,'Scenario Test'!$A$5:$B$117,2,0)</f>
        <v>CSH_MOV: Internal cash movement</v>
      </c>
      <c r="C23" s="20" t="s">
        <v>382</v>
      </c>
      <c r="D23" s="20"/>
      <c r="E23" s="86" t="s">
        <v>351</v>
      </c>
      <c r="F23" s="99" t="s">
        <v>342</v>
      </c>
      <c r="G23" s="22" t="s">
        <v>5</v>
      </c>
      <c r="H23" s="23"/>
      <c r="I23" s="91">
        <v>45637</v>
      </c>
      <c r="J23" s="25"/>
      <c r="K23" s="25"/>
      <c r="L23" s="25"/>
      <c r="M23" s="23"/>
      <c r="N23" s="25"/>
    </row>
    <row r="24" spans="1:14" s="24" customFormat="1" ht="26.4" x14ac:dyDescent="0.25">
      <c r="A24" s="80" t="str">
        <f>'Scenario Test'!$A$8</f>
        <v>CSH_002</v>
      </c>
      <c r="B24" s="21" t="str">
        <f>VLOOKUP(TestCase!A24,'Scenario Test'!$A$5:$B$117,2,0)</f>
        <v>CSH_MOV: Internal cash movement</v>
      </c>
      <c r="C24" s="20" t="s">
        <v>383</v>
      </c>
      <c r="D24" s="20" t="str">
        <f>C23</f>
        <v>CSH_002_010</v>
      </c>
      <c r="E24" s="86" t="s">
        <v>346</v>
      </c>
      <c r="F24" s="88" t="s">
        <v>106</v>
      </c>
      <c r="G24" s="22" t="s">
        <v>5</v>
      </c>
      <c r="H24" s="23" t="s">
        <v>475</v>
      </c>
      <c r="I24" s="91">
        <v>45637</v>
      </c>
      <c r="J24" s="25"/>
      <c r="K24" s="25"/>
      <c r="L24" s="25"/>
      <c r="M24" s="23"/>
      <c r="N24" s="25"/>
    </row>
    <row r="25" spans="1:14" s="24" customFormat="1" ht="105.6" x14ac:dyDescent="0.25">
      <c r="A25" s="80" t="str">
        <f>'Scenario Test'!$A$8</f>
        <v>CSH_002</v>
      </c>
      <c r="B25" s="21" t="str">
        <f>VLOOKUP(TestCase!A25,'Scenario Test'!$A$5:$B$117,2,0)</f>
        <v>CSH_MOV: Internal cash movement</v>
      </c>
      <c r="C25" s="20" t="s">
        <v>384</v>
      </c>
      <c r="D25" s="20"/>
      <c r="E25" s="86" t="s">
        <v>352</v>
      </c>
      <c r="F25" s="99" t="s">
        <v>342</v>
      </c>
      <c r="G25" s="22" t="s">
        <v>5</v>
      </c>
      <c r="H25" s="23"/>
      <c r="I25" s="91">
        <v>45637</v>
      </c>
      <c r="J25" s="25"/>
      <c r="K25" s="25"/>
      <c r="L25" s="25"/>
      <c r="M25" s="23"/>
      <c r="N25" s="25"/>
    </row>
    <row r="26" spans="1:14" s="24" customFormat="1" x14ac:dyDescent="0.25">
      <c r="A26" s="80" t="str">
        <f>'Scenario Test'!$A$8</f>
        <v>CSH_002</v>
      </c>
      <c r="B26" s="21" t="str">
        <f>VLOOKUP(TestCase!A26,'Scenario Test'!$A$5:$B$117,2,0)</f>
        <v>CSH_MOV: Internal cash movement</v>
      </c>
      <c r="C26" s="20" t="s">
        <v>385</v>
      </c>
      <c r="D26" s="20" t="str">
        <f>C25</f>
        <v>CSH_002_012</v>
      </c>
      <c r="E26" s="86" t="s">
        <v>346</v>
      </c>
      <c r="F26" s="88" t="s">
        <v>106</v>
      </c>
      <c r="G26" s="22" t="s">
        <v>5</v>
      </c>
      <c r="H26" s="23"/>
      <c r="I26" s="91">
        <v>45637</v>
      </c>
      <c r="J26" s="25"/>
      <c r="K26" s="25"/>
      <c r="L26" s="25"/>
      <c r="M26" s="23"/>
      <c r="N26" s="25"/>
    </row>
    <row r="27" spans="1:14" s="24" customFormat="1" ht="105.6" x14ac:dyDescent="0.25">
      <c r="A27" s="80" t="str">
        <f>'Scenario Test'!$A$8</f>
        <v>CSH_002</v>
      </c>
      <c r="B27" s="21" t="str">
        <f>VLOOKUP(TestCase!A27,'Scenario Test'!$A$5:$B$117,2,0)</f>
        <v>CSH_MOV: Internal cash movement</v>
      </c>
      <c r="C27" s="20" t="s">
        <v>386</v>
      </c>
      <c r="D27" s="20"/>
      <c r="E27" s="86" t="s">
        <v>353</v>
      </c>
      <c r="F27" s="99" t="s">
        <v>342</v>
      </c>
      <c r="G27" s="22" t="s">
        <v>5</v>
      </c>
      <c r="H27" s="23"/>
      <c r="I27" s="91">
        <v>45637</v>
      </c>
      <c r="J27" s="25"/>
      <c r="K27" s="25"/>
      <c r="L27" s="25"/>
      <c r="M27" s="23"/>
      <c r="N27" s="25"/>
    </row>
    <row r="28" spans="1:14" s="24" customFormat="1" x14ac:dyDescent="0.25">
      <c r="A28" s="80" t="str">
        <f>'Scenario Test'!$A$8</f>
        <v>CSH_002</v>
      </c>
      <c r="B28" s="21" t="str">
        <f>VLOOKUP(TestCase!A28,'Scenario Test'!$A$5:$B$117,2,0)</f>
        <v>CSH_MOV: Internal cash movement</v>
      </c>
      <c r="C28" s="20" t="s">
        <v>387</v>
      </c>
      <c r="D28" s="20" t="str">
        <f>C27</f>
        <v>CSH_002_014</v>
      </c>
      <c r="E28" s="86" t="s">
        <v>346</v>
      </c>
      <c r="F28" s="88" t="s">
        <v>106</v>
      </c>
      <c r="G28" s="22" t="s">
        <v>5</v>
      </c>
      <c r="H28" s="23"/>
      <c r="I28" s="91">
        <v>45637</v>
      </c>
      <c r="J28" s="25"/>
      <c r="K28" s="25"/>
      <c r="L28" s="25"/>
      <c r="M28" s="23"/>
      <c r="N28" s="25"/>
    </row>
    <row r="29" spans="1:14" s="24" customFormat="1" ht="105.6" x14ac:dyDescent="0.25">
      <c r="A29" s="80" t="str">
        <f>'Scenario Test'!$A$8</f>
        <v>CSH_002</v>
      </c>
      <c r="B29" s="21" t="str">
        <f>VLOOKUP(TestCase!A29,'Scenario Test'!$A$5:$B$117,2,0)</f>
        <v>CSH_MOV: Internal cash movement</v>
      </c>
      <c r="C29" s="20" t="s">
        <v>388</v>
      </c>
      <c r="D29" s="20"/>
      <c r="E29" s="86" t="s">
        <v>486</v>
      </c>
      <c r="F29" s="99" t="s">
        <v>342</v>
      </c>
      <c r="G29" s="22" t="s">
        <v>5</v>
      </c>
      <c r="H29" s="23"/>
      <c r="I29" s="91">
        <v>45637</v>
      </c>
      <c r="J29" s="25"/>
      <c r="K29" s="25"/>
      <c r="L29" s="25"/>
      <c r="M29" s="23"/>
      <c r="N29" s="25"/>
    </row>
    <row r="30" spans="1:14" s="24" customFormat="1" x14ac:dyDescent="0.25">
      <c r="A30" s="80" t="str">
        <f>'Scenario Test'!$A$8</f>
        <v>CSH_002</v>
      </c>
      <c r="B30" s="21" t="str">
        <f>VLOOKUP(TestCase!A30,'Scenario Test'!$A$5:$B$117,2,0)</f>
        <v>CSH_MOV: Internal cash movement</v>
      </c>
      <c r="C30" s="20" t="s">
        <v>389</v>
      </c>
      <c r="D30" s="20" t="str">
        <f>C29</f>
        <v>CSH_002_016</v>
      </c>
      <c r="E30" s="86" t="s">
        <v>346</v>
      </c>
      <c r="F30" s="88" t="s">
        <v>106</v>
      </c>
      <c r="G30" s="22" t="s">
        <v>5</v>
      </c>
      <c r="H30" s="23"/>
      <c r="I30" s="91">
        <v>45637</v>
      </c>
      <c r="J30" s="25"/>
      <c r="K30" s="25"/>
      <c r="L30" s="25"/>
      <c r="M30" s="23"/>
      <c r="N30" s="25"/>
    </row>
    <row r="31" spans="1:14" s="24" customFormat="1" ht="105.6" x14ac:dyDescent="0.25">
      <c r="A31" s="80" t="str">
        <f>'Scenario Test'!$A$8</f>
        <v>CSH_002</v>
      </c>
      <c r="B31" s="21" t="str">
        <f>VLOOKUP(TestCase!A31,'Scenario Test'!$A$5:$B$117,2,0)</f>
        <v>CSH_MOV: Internal cash movement</v>
      </c>
      <c r="C31" s="20" t="s">
        <v>390</v>
      </c>
      <c r="D31" s="20"/>
      <c r="E31" s="86" t="s">
        <v>354</v>
      </c>
      <c r="F31" s="99" t="s">
        <v>342</v>
      </c>
      <c r="G31" s="22" t="s">
        <v>5</v>
      </c>
      <c r="H31" s="23"/>
      <c r="I31" s="91">
        <v>45637</v>
      </c>
      <c r="J31" s="25"/>
      <c r="K31" s="25"/>
      <c r="L31" s="25"/>
      <c r="M31" s="23"/>
      <c r="N31" s="25"/>
    </row>
    <row r="32" spans="1:14" s="24" customFormat="1" x14ac:dyDescent="0.25">
      <c r="A32" s="80" t="str">
        <f>'Scenario Test'!$A$8</f>
        <v>CSH_002</v>
      </c>
      <c r="B32" s="21" t="str">
        <f>VLOOKUP(TestCase!A32,'Scenario Test'!$A$5:$B$117,2,0)</f>
        <v>CSH_MOV: Internal cash movement</v>
      </c>
      <c r="C32" s="20" t="s">
        <v>391</v>
      </c>
      <c r="D32" s="20" t="str">
        <f>C31</f>
        <v>CSH_002_018</v>
      </c>
      <c r="E32" s="86" t="s">
        <v>346</v>
      </c>
      <c r="F32" s="88" t="s">
        <v>106</v>
      </c>
      <c r="G32" s="22" t="s">
        <v>5</v>
      </c>
      <c r="H32" s="23"/>
      <c r="I32" s="91">
        <v>45637</v>
      </c>
      <c r="J32" s="25"/>
      <c r="K32" s="25"/>
      <c r="L32" s="25"/>
      <c r="M32" s="23"/>
      <c r="N32" s="25"/>
    </row>
    <row r="33" spans="1:14" s="24" customFormat="1" ht="105.6" x14ac:dyDescent="0.25">
      <c r="A33" s="80" t="str">
        <f>'Scenario Test'!$A$8</f>
        <v>CSH_002</v>
      </c>
      <c r="B33" s="21" t="str">
        <f>VLOOKUP(TestCase!A33,'Scenario Test'!$A$5:$B$117,2,0)</f>
        <v>CSH_MOV: Internal cash movement</v>
      </c>
      <c r="C33" s="20" t="s">
        <v>392</v>
      </c>
      <c r="D33" s="20"/>
      <c r="E33" s="86" t="s">
        <v>355</v>
      </c>
      <c r="F33" s="99" t="s">
        <v>342</v>
      </c>
      <c r="G33" s="22" t="s">
        <v>5</v>
      </c>
      <c r="H33" s="23"/>
      <c r="I33" s="91">
        <v>45637</v>
      </c>
      <c r="J33" s="25"/>
      <c r="K33" s="25"/>
      <c r="L33" s="25"/>
      <c r="M33" s="23"/>
      <c r="N33" s="25"/>
    </row>
    <row r="34" spans="1:14" s="24" customFormat="1" x14ac:dyDescent="0.25">
      <c r="A34" s="80" t="str">
        <f>'Scenario Test'!$A$8</f>
        <v>CSH_002</v>
      </c>
      <c r="B34" s="21" t="str">
        <f>VLOOKUP(TestCase!A34,'Scenario Test'!$A$5:$B$117,2,0)</f>
        <v>CSH_MOV: Internal cash movement</v>
      </c>
      <c r="C34" s="20" t="s">
        <v>393</v>
      </c>
      <c r="D34" s="20" t="str">
        <f>C33</f>
        <v>CSH_002_020</v>
      </c>
      <c r="E34" s="86" t="s">
        <v>346</v>
      </c>
      <c r="F34" s="88" t="s">
        <v>106</v>
      </c>
      <c r="G34" s="22" t="s">
        <v>5</v>
      </c>
      <c r="H34" s="23"/>
      <c r="I34" s="91">
        <v>45637</v>
      </c>
      <c r="J34" s="25"/>
      <c r="K34" s="25"/>
      <c r="L34" s="25"/>
      <c r="M34" s="23"/>
      <c r="N34" s="25"/>
    </row>
    <row r="35" spans="1:14" s="24" customFormat="1" ht="105.6" x14ac:dyDescent="0.25">
      <c r="A35" s="80" t="str">
        <f>'Scenario Test'!$A$8</f>
        <v>CSH_002</v>
      </c>
      <c r="B35" s="21" t="str">
        <f>VLOOKUP(TestCase!A35,'Scenario Test'!$A$5:$B$117,2,0)</f>
        <v>CSH_MOV: Internal cash movement</v>
      </c>
      <c r="C35" s="20" t="s">
        <v>394</v>
      </c>
      <c r="D35" s="20"/>
      <c r="E35" s="86" t="s">
        <v>356</v>
      </c>
      <c r="F35" s="99" t="s">
        <v>342</v>
      </c>
      <c r="G35" s="22" t="s">
        <v>5</v>
      </c>
      <c r="H35" s="23"/>
      <c r="I35" s="91">
        <v>45637</v>
      </c>
      <c r="J35" s="25"/>
      <c r="K35" s="25"/>
      <c r="L35" s="25"/>
      <c r="M35" s="23"/>
      <c r="N35" s="25"/>
    </row>
    <row r="36" spans="1:14" s="24" customFormat="1" x14ac:dyDescent="0.25">
      <c r="A36" s="80" t="str">
        <f>'Scenario Test'!$A$8</f>
        <v>CSH_002</v>
      </c>
      <c r="B36" s="21" t="str">
        <f>VLOOKUP(TestCase!A36,'Scenario Test'!$A$5:$B$117,2,0)</f>
        <v>CSH_MOV: Internal cash movement</v>
      </c>
      <c r="C36" s="20" t="s">
        <v>395</v>
      </c>
      <c r="D36" s="20" t="str">
        <f>C35</f>
        <v>CSH_002_022</v>
      </c>
      <c r="E36" s="100" t="s">
        <v>347</v>
      </c>
      <c r="F36" s="88" t="s">
        <v>106</v>
      </c>
      <c r="G36" s="22" t="s">
        <v>5</v>
      </c>
      <c r="H36" s="23"/>
      <c r="I36" s="91">
        <v>45637</v>
      </c>
      <c r="J36" s="25"/>
      <c r="K36" s="25"/>
      <c r="L36" s="25"/>
      <c r="M36" s="23"/>
      <c r="N36" s="25"/>
    </row>
    <row r="37" spans="1:14" s="24" customFormat="1" x14ac:dyDescent="0.25">
      <c r="A37" s="80" t="str">
        <f>'Scenario Test'!$A$8</f>
        <v>CSH_002</v>
      </c>
      <c r="B37" s="21" t="str">
        <f>VLOOKUP(TestCase!A37,'Scenario Test'!$A$5:$B$117,2,0)</f>
        <v>CSH_MOV: Internal cash movement</v>
      </c>
      <c r="C37" s="20" t="s">
        <v>396</v>
      </c>
      <c r="D37" s="20"/>
      <c r="E37" s="87" t="s">
        <v>94</v>
      </c>
      <c r="F37" s="88" t="s">
        <v>95</v>
      </c>
      <c r="G37" s="22" t="s">
        <v>5</v>
      </c>
      <c r="H37" s="23"/>
      <c r="I37" s="91">
        <v>45637</v>
      </c>
      <c r="J37" s="25"/>
      <c r="K37" s="25"/>
      <c r="L37" s="25"/>
      <c r="M37" s="23"/>
      <c r="N37" s="25"/>
    </row>
    <row r="38" spans="1:14" x14ac:dyDescent="0.25">
      <c r="A38" s="53" t="str">
        <f>'Scenario Test'!$A$9</f>
        <v>CSH_003</v>
      </c>
      <c r="B38" s="54" t="str">
        <f>VLOOKUP(TestCase!A38,'Scenario Test'!$A$5:$B$117,2,0)</f>
        <v>CSH_BMOV: Internal branch cash movement</v>
      </c>
      <c r="C38" s="53"/>
      <c r="D38" s="53"/>
      <c r="E38" s="53"/>
      <c r="F38" s="53"/>
      <c r="G38" s="55"/>
      <c r="H38" s="54"/>
      <c r="I38" s="55"/>
      <c r="J38" s="54"/>
      <c r="K38" s="54"/>
      <c r="L38" s="54"/>
      <c r="M38" s="54"/>
      <c r="N38" s="54"/>
    </row>
    <row r="39" spans="1:14" s="24" customFormat="1" ht="198" x14ac:dyDescent="0.25">
      <c r="A39" s="80" t="str">
        <f>'Scenario Test'!$A$9</f>
        <v>CSH_003</v>
      </c>
      <c r="B39" s="21" t="str">
        <f>VLOOKUP(TestCase!A39,'Scenario Test'!$A$5:$B$117,2,0)</f>
        <v>CSH_BMOV: Internal branch cash movement</v>
      </c>
      <c r="C39" s="20" t="s">
        <v>397</v>
      </c>
      <c r="D39" s="20"/>
      <c r="E39" s="86" t="s">
        <v>357</v>
      </c>
      <c r="F39" s="99" t="s">
        <v>342</v>
      </c>
      <c r="G39" s="22" t="s">
        <v>5</v>
      </c>
      <c r="H39" s="23"/>
      <c r="I39" s="91">
        <v>45638</v>
      </c>
      <c r="J39" s="25"/>
      <c r="K39" s="25"/>
      <c r="L39" s="25"/>
      <c r="M39" s="23"/>
      <c r="N39" s="25"/>
    </row>
    <row r="40" spans="1:14" s="24" customFormat="1" x14ac:dyDescent="0.25">
      <c r="A40" s="80" t="str">
        <f>'Scenario Test'!$A$9</f>
        <v>CSH_003</v>
      </c>
      <c r="B40" s="21" t="str">
        <f>VLOOKUP(TestCase!A40,'Scenario Test'!$A$5:$B$117,2,0)</f>
        <v>CSH_BMOV: Internal branch cash movement</v>
      </c>
      <c r="C40" s="20" t="s">
        <v>398</v>
      </c>
      <c r="D40" s="20" t="str">
        <f>C39</f>
        <v>CSH_003_001</v>
      </c>
      <c r="E40" s="86" t="s">
        <v>346</v>
      </c>
      <c r="F40" s="88" t="s">
        <v>95</v>
      </c>
      <c r="G40" s="22" t="s">
        <v>5</v>
      </c>
      <c r="H40" s="23"/>
      <c r="I40" s="91">
        <v>45638</v>
      </c>
      <c r="J40" s="25"/>
      <c r="K40" s="25"/>
      <c r="L40" s="25"/>
      <c r="M40" s="23"/>
      <c r="N40" s="25"/>
    </row>
    <row r="41" spans="1:14" s="24" customFormat="1" x14ac:dyDescent="0.25">
      <c r="A41" s="80" t="str">
        <f>'Scenario Test'!$A$9</f>
        <v>CSH_003</v>
      </c>
      <c r="B41" s="21" t="str">
        <f>VLOOKUP(TestCase!A41,'Scenario Test'!$A$5:$B$117,2,0)</f>
        <v>CSH_BMOV: Internal branch cash movement</v>
      </c>
      <c r="C41" s="20" t="s">
        <v>399</v>
      </c>
      <c r="D41" s="20"/>
      <c r="E41" s="89" t="s">
        <v>343</v>
      </c>
      <c r="F41" s="88" t="s">
        <v>106</v>
      </c>
      <c r="G41" s="22" t="s">
        <v>5</v>
      </c>
      <c r="H41" s="23"/>
      <c r="I41" s="91">
        <v>45638</v>
      </c>
      <c r="J41" s="25"/>
      <c r="K41" s="25"/>
      <c r="L41" s="25"/>
      <c r="M41" s="23"/>
      <c r="N41" s="25"/>
    </row>
    <row r="42" spans="1:14" s="24" customFormat="1" x14ac:dyDescent="0.25">
      <c r="A42" s="80" t="str">
        <f>'Scenario Test'!$A$9</f>
        <v>CSH_003</v>
      </c>
      <c r="B42" s="21" t="str">
        <f>VLOOKUP(TestCase!A42,'Scenario Test'!$A$5:$B$117,2,0)</f>
        <v>CSH_BMOV: Internal branch cash movement</v>
      </c>
      <c r="C42" s="20" t="s">
        <v>400</v>
      </c>
      <c r="D42" s="20"/>
      <c r="E42" s="89" t="s">
        <v>344</v>
      </c>
      <c r="F42" s="88" t="s">
        <v>106</v>
      </c>
      <c r="G42" s="22" t="s">
        <v>5</v>
      </c>
      <c r="H42" s="23"/>
      <c r="I42" s="91">
        <v>45638</v>
      </c>
      <c r="J42" s="25"/>
      <c r="K42" s="25"/>
      <c r="L42" s="25"/>
      <c r="M42" s="23"/>
      <c r="N42" s="25"/>
    </row>
    <row r="43" spans="1:14" s="24" customFormat="1" x14ac:dyDescent="0.25">
      <c r="A43" s="80" t="str">
        <f>'Scenario Test'!$A$9</f>
        <v>CSH_003</v>
      </c>
      <c r="B43" s="21" t="str">
        <f>VLOOKUP(TestCase!A43,'Scenario Test'!$A$5:$B$117,2,0)</f>
        <v>CSH_BMOV: Internal branch cash movement</v>
      </c>
      <c r="C43" s="20" t="s">
        <v>401</v>
      </c>
      <c r="D43" s="20"/>
      <c r="E43" s="89" t="s">
        <v>345</v>
      </c>
      <c r="F43" s="88" t="s">
        <v>106</v>
      </c>
      <c r="G43" s="22" t="s">
        <v>5</v>
      </c>
      <c r="H43" s="23"/>
      <c r="I43" s="91">
        <v>45638</v>
      </c>
      <c r="J43" s="25"/>
      <c r="K43" s="25"/>
      <c r="L43" s="25"/>
      <c r="M43" s="23"/>
      <c r="N43" s="25"/>
    </row>
    <row r="44" spans="1:14" s="24" customFormat="1" ht="105.6" x14ac:dyDescent="0.25">
      <c r="A44" s="80" t="str">
        <f>'Scenario Test'!$A$9</f>
        <v>CSH_003</v>
      </c>
      <c r="B44" s="21" t="str">
        <f>VLOOKUP(TestCase!A44,'Scenario Test'!$A$5:$B$117,2,0)</f>
        <v>CSH_BMOV: Internal branch cash movement</v>
      </c>
      <c r="C44" s="20" t="s">
        <v>402</v>
      </c>
      <c r="D44" s="20"/>
      <c r="E44" s="86" t="s">
        <v>359</v>
      </c>
      <c r="F44" s="99" t="s">
        <v>342</v>
      </c>
      <c r="G44" s="22" t="s">
        <v>5</v>
      </c>
      <c r="H44" s="23"/>
      <c r="I44" s="91">
        <v>45638</v>
      </c>
      <c r="J44" s="25"/>
      <c r="K44" s="25"/>
      <c r="L44" s="25"/>
      <c r="M44" s="23"/>
      <c r="N44" s="25"/>
    </row>
    <row r="45" spans="1:14" s="24" customFormat="1" x14ac:dyDescent="0.25">
      <c r="A45" s="80" t="str">
        <f>'Scenario Test'!$A$9</f>
        <v>CSH_003</v>
      </c>
      <c r="B45" s="21" t="str">
        <f>VLOOKUP(TestCase!A45,'Scenario Test'!$A$5:$B$117,2,0)</f>
        <v>CSH_BMOV: Internal branch cash movement</v>
      </c>
      <c r="C45" s="20" t="s">
        <v>403</v>
      </c>
      <c r="D45" s="20" t="str">
        <f>C44</f>
        <v>CSH_003_006</v>
      </c>
      <c r="E45" s="86" t="s">
        <v>346</v>
      </c>
      <c r="F45" s="88" t="s">
        <v>106</v>
      </c>
      <c r="G45" s="22" t="s">
        <v>5</v>
      </c>
      <c r="H45" s="23"/>
      <c r="I45" s="91">
        <v>45638</v>
      </c>
      <c r="J45" s="25"/>
      <c r="K45" s="25"/>
      <c r="L45" s="25"/>
      <c r="M45" s="23"/>
      <c r="N45" s="25"/>
    </row>
    <row r="46" spans="1:14" s="24" customFormat="1" ht="105.6" x14ac:dyDescent="0.25">
      <c r="A46" s="80" t="str">
        <f>'Scenario Test'!$A$9</f>
        <v>CSH_003</v>
      </c>
      <c r="B46" s="21" t="str">
        <f>VLOOKUP(TestCase!A46,'Scenario Test'!$A$5:$B$117,2,0)</f>
        <v>CSH_BMOV: Internal branch cash movement</v>
      </c>
      <c r="C46" s="20" t="s">
        <v>404</v>
      </c>
      <c r="D46" s="20"/>
      <c r="E46" s="86" t="s">
        <v>360</v>
      </c>
      <c r="F46" s="99" t="s">
        <v>342</v>
      </c>
      <c r="G46" s="22" t="s">
        <v>5</v>
      </c>
      <c r="H46" s="23"/>
      <c r="I46" s="91">
        <v>45638</v>
      </c>
      <c r="J46" s="25"/>
      <c r="K46" s="25"/>
      <c r="L46" s="25"/>
      <c r="M46" s="23"/>
      <c r="N46" s="25"/>
    </row>
    <row r="47" spans="1:14" s="24" customFormat="1" x14ac:dyDescent="0.25">
      <c r="A47" s="80" t="str">
        <f>'Scenario Test'!$A$9</f>
        <v>CSH_003</v>
      </c>
      <c r="B47" s="21" t="str">
        <f>VLOOKUP(TestCase!A47,'Scenario Test'!$A$5:$B$117,2,0)</f>
        <v>CSH_BMOV: Internal branch cash movement</v>
      </c>
      <c r="C47" s="20" t="s">
        <v>405</v>
      </c>
      <c r="D47" s="20" t="str">
        <f>C46</f>
        <v>CSH_003_008</v>
      </c>
      <c r="E47" s="86" t="s">
        <v>346</v>
      </c>
      <c r="F47" s="88" t="s">
        <v>106</v>
      </c>
      <c r="G47" s="22" t="s">
        <v>5</v>
      </c>
      <c r="H47" s="23"/>
      <c r="I47" s="91">
        <v>45638</v>
      </c>
      <c r="J47" s="25"/>
      <c r="K47" s="25"/>
      <c r="L47" s="25"/>
      <c r="M47" s="23"/>
      <c r="N47" s="25"/>
    </row>
    <row r="48" spans="1:14" s="24" customFormat="1" ht="105.6" x14ac:dyDescent="0.25">
      <c r="A48" s="80" t="str">
        <f>'Scenario Test'!$A$9</f>
        <v>CSH_003</v>
      </c>
      <c r="B48" s="21" t="str">
        <f>VLOOKUP(TestCase!A48,'Scenario Test'!$A$5:$B$117,2,0)</f>
        <v>CSH_BMOV: Internal branch cash movement</v>
      </c>
      <c r="C48" s="20" t="s">
        <v>406</v>
      </c>
      <c r="D48" s="20"/>
      <c r="E48" s="86" t="s">
        <v>361</v>
      </c>
      <c r="F48" s="99" t="s">
        <v>342</v>
      </c>
      <c r="G48" s="22" t="s">
        <v>5</v>
      </c>
      <c r="H48" s="23"/>
      <c r="I48" s="91">
        <v>45638</v>
      </c>
      <c r="J48" s="25"/>
      <c r="K48" s="25"/>
      <c r="L48" s="25"/>
      <c r="M48" s="23"/>
      <c r="N48" s="25"/>
    </row>
    <row r="49" spans="1:14" s="24" customFormat="1" x14ac:dyDescent="0.25">
      <c r="A49" s="80" t="str">
        <f>'Scenario Test'!$A$9</f>
        <v>CSH_003</v>
      </c>
      <c r="B49" s="21" t="str">
        <f>VLOOKUP(TestCase!A49,'Scenario Test'!$A$5:$B$117,2,0)</f>
        <v>CSH_BMOV: Internal branch cash movement</v>
      </c>
      <c r="C49" s="20" t="s">
        <v>407</v>
      </c>
      <c r="D49" s="20" t="str">
        <f>C48</f>
        <v>CSH_003_010</v>
      </c>
      <c r="E49" s="86" t="s">
        <v>346</v>
      </c>
      <c r="F49" s="88" t="s">
        <v>106</v>
      </c>
      <c r="G49" s="22" t="s">
        <v>5</v>
      </c>
      <c r="H49" s="23"/>
      <c r="I49" s="91">
        <v>45638</v>
      </c>
      <c r="J49" s="25"/>
      <c r="K49" s="25"/>
      <c r="L49" s="25"/>
      <c r="M49" s="23"/>
      <c r="N49" s="25"/>
    </row>
    <row r="50" spans="1:14" s="24" customFormat="1" ht="105.6" x14ac:dyDescent="0.25">
      <c r="A50" s="80" t="str">
        <f>'Scenario Test'!$A$9</f>
        <v>CSH_003</v>
      </c>
      <c r="B50" s="21" t="str">
        <f>VLOOKUP(TestCase!A50,'Scenario Test'!$A$5:$B$117,2,0)</f>
        <v>CSH_BMOV: Internal branch cash movement</v>
      </c>
      <c r="C50" s="20" t="s">
        <v>408</v>
      </c>
      <c r="D50" s="20"/>
      <c r="E50" s="86" t="s">
        <v>362</v>
      </c>
      <c r="F50" s="99" t="s">
        <v>342</v>
      </c>
      <c r="G50" s="22" t="s">
        <v>5</v>
      </c>
      <c r="H50" s="23"/>
      <c r="I50" s="91">
        <v>45638</v>
      </c>
      <c r="J50" s="25"/>
      <c r="K50" s="25"/>
      <c r="L50" s="25"/>
      <c r="M50" s="23"/>
      <c r="N50" s="25"/>
    </row>
    <row r="51" spans="1:14" s="24" customFormat="1" x14ac:dyDescent="0.25">
      <c r="A51" s="80" t="str">
        <f>'Scenario Test'!$A$9</f>
        <v>CSH_003</v>
      </c>
      <c r="B51" s="21" t="str">
        <f>VLOOKUP(TestCase!A51,'Scenario Test'!$A$5:$B$117,2,0)</f>
        <v>CSH_BMOV: Internal branch cash movement</v>
      </c>
      <c r="C51" s="20" t="s">
        <v>409</v>
      </c>
      <c r="D51" s="20" t="str">
        <f>C50</f>
        <v>CSH_003_012</v>
      </c>
      <c r="E51" s="86" t="s">
        <v>346</v>
      </c>
      <c r="F51" s="88" t="s">
        <v>106</v>
      </c>
      <c r="G51" s="22" t="s">
        <v>5</v>
      </c>
      <c r="H51" s="23"/>
      <c r="I51" s="91">
        <v>45638</v>
      </c>
      <c r="J51" s="25"/>
      <c r="K51" s="25"/>
      <c r="L51" s="25"/>
      <c r="M51" s="23"/>
      <c r="N51" s="25"/>
    </row>
    <row r="52" spans="1:14" s="24" customFormat="1" ht="105.6" x14ac:dyDescent="0.25">
      <c r="A52" s="80" t="str">
        <f>'Scenario Test'!$A$9</f>
        <v>CSH_003</v>
      </c>
      <c r="B52" s="21" t="str">
        <f>VLOOKUP(TestCase!A52,'Scenario Test'!$A$5:$B$117,2,0)</f>
        <v>CSH_BMOV: Internal branch cash movement</v>
      </c>
      <c r="C52" s="20" t="s">
        <v>410</v>
      </c>
      <c r="D52" s="20"/>
      <c r="E52" s="86" t="s">
        <v>363</v>
      </c>
      <c r="F52" s="99" t="s">
        <v>342</v>
      </c>
      <c r="G52" s="22" t="s">
        <v>5</v>
      </c>
      <c r="H52" s="23"/>
      <c r="I52" s="91">
        <v>45638</v>
      </c>
      <c r="J52" s="25"/>
      <c r="K52" s="25"/>
      <c r="L52" s="25"/>
      <c r="M52" s="23"/>
      <c r="N52" s="25"/>
    </row>
    <row r="53" spans="1:14" s="24" customFormat="1" x14ac:dyDescent="0.25">
      <c r="A53" s="80" t="str">
        <f>'Scenario Test'!$A$9</f>
        <v>CSH_003</v>
      </c>
      <c r="B53" s="21" t="str">
        <f>VLOOKUP(TestCase!A53,'Scenario Test'!$A$5:$B$117,2,0)</f>
        <v>CSH_BMOV: Internal branch cash movement</v>
      </c>
      <c r="C53" s="20" t="s">
        <v>411</v>
      </c>
      <c r="D53" s="20" t="str">
        <f>C52</f>
        <v>CSH_003_014</v>
      </c>
      <c r="E53" s="86" t="s">
        <v>346</v>
      </c>
      <c r="F53" s="88" t="s">
        <v>106</v>
      </c>
      <c r="G53" s="22" t="s">
        <v>5</v>
      </c>
      <c r="H53" s="23"/>
      <c r="I53" s="91">
        <v>45638</v>
      </c>
      <c r="J53" s="25"/>
      <c r="K53" s="25"/>
      <c r="L53" s="25"/>
      <c r="M53" s="23"/>
      <c r="N53" s="25"/>
    </row>
    <row r="54" spans="1:14" s="24" customFormat="1" ht="105.6" x14ac:dyDescent="0.25">
      <c r="A54" s="80" t="str">
        <f>'Scenario Test'!$A$9</f>
        <v>CSH_003</v>
      </c>
      <c r="B54" s="21" t="str">
        <f>VLOOKUP(TestCase!A54,'Scenario Test'!$A$5:$B$117,2,0)</f>
        <v>CSH_BMOV: Internal branch cash movement</v>
      </c>
      <c r="C54" s="20" t="s">
        <v>412</v>
      </c>
      <c r="D54" s="20"/>
      <c r="E54" s="86" t="s">
        <v>364</v>
      </c>
      <c r="F54" s="99" t="s">
        <v>342</v>
      </c>
      <c r="G54" s="22" t="s">
        <v>5</v>
      </c>
      <c r="H54" s="23"/>
      <c r="I54" s="91">
        <v>45638</v>
      </c>
      <c r="J54" s="25"/>
      <c r="K54" s="25"/>
      <c r="L54" s="25"/>
      <c r="M54" s="23"/>
      <c r="N54" s="25"/>
    </row>
    <row r="55" spans="1:14" s="24" customFormat="1" x14ac:dyDescent="0.25">
      <c r="A55" s="80" t="str">
        <f>'Scenario Test'!$A$9</f>
        <v>CSH_003</v>
      </c>
      <c r="B55" s="21" t="str">
        <f>VLOOKUP(TestCase!A55,'Scenario Test'!$A$5:$B$117,2,0)</f>
        <v>CSH_BMOV: Internal branch cash movement</v>
      </c>
      <c r="C55" s="20" t="s">
        <v>413</v>
      </c>
      <c r="D55" s="20" t="str">
        <f>C54</f>
        <v>CSH_003_016</v>
      </c>
      <c r="E55" s="86" t="s">
        <v>346</v>
      </c>
      <c r="F55" s="88" t="s">
        <v>106</v>
      </c>
      <c r="G55" s="22" t="s">
        <v>5</v>
      </c>
      <c r="H55" s="23"/>
      <c r="I55" s="91">
        <v>45638</v>
      </c>
      <c r="J55" s="25"/>
      <c r="K55" s="25"/>
      <c r="L55" s="25"/>
      <c r="M55" s="23"/>
      <c r="N55" s="25"/>
    </row>
    <row r="56" spans="1:14" s="24" customFormat="1" ht="105.6" x14ac:dyDescent="0.25">
      <c r="A56" s="80" t="str">
        <f>'Scenario Test'!$A$9</f>
        <v>CSH_003</v>
      </c>
      <c r="B56" s="21" t="str">
        <f>VLOOKUP(TestCase!A56,'Scenario Test'!$A$5:$B$117,2,0)</f>
        <v>CSH_BMOV: Internal branch cash movement</v>
      </c>
      <c r="C56" s="20" t="s">
        <v>414</v>
      </c>
      <c r="D56" s="20"/>
      <c r="E56" s="86" t="s">
        <v>358</v>
      </c>
      <c r="F56" s="99" t="s">
        <v>342</v>
      </c>
      <c r="G56" s="22" t="s">
        <v>5</v>
      </c>
      <c r="H56" s="23"/>
      <c r="I56" s="91">
        <v>45638</v>
      </c>
      <c r="J56" s="25"/>
      <c r="K56" s="25"/>
      <c r="L56" s="25"/>
      <c r="M56" s="23"/>
      <c r="N56" s="25"/>
    </row>
    <row r="57" spans="1:14" s="24" customFormat="1" x14ac:dyDescent="0.25">
      <c r="A57" s="80" t="str">
        <f>'Scenario Test'!$A$9</f>
        <v>CSH_003</v>
      </c>
      <c r="B57" s="21" t="str">
        <f>VLOOKUP(TestCase!A57,'Scenario Test'!$A$5:$B$117,2,0)</f>
        <v>CSH_BMOV: Internal branch cash movement</v>
      </c>
      <c r="C57" s="20" t="s">
        <v>415</v>
      </c>
      <c r="D57" s="20" t="str">
        <f>C56</f>
        <v>CSH_003_018</v>
      </c>
      <c r="E57" s="100" t="s">
        <v>347</v>
      </c>
      <c r="F57" s="88" t="s">
        <v>106</v>
      </c>
      <c r="G57" s="22" t="s">
        <v>5</v>
      </c>
      <c r="H57" s="23"/>
      <c r="I57" s="91">
        <v>45638</v>
      </c>
      <c r="J57" s="25"/>
      <c r="K57" s="25"/>
      <c r="L57" s="25"/>
      <c r="M57" s="23"/>
      <c r="N57" s="25"/>
    </row>
    <row r="58" spans="1:14" s="24" customFormat="1" x14ac:dyDescent="0.25">
      <c r="A58" s="80" t="str">
        <f>'Scenario Test'!$A$9</f>
        <v>CSH_003</v>
      </c>
      <c r="B58" s="21" t="str">
        <f>VLOOKUP(TestCase!A58,'Scenario Test'!$A$5:$B$117,2,0)</f>
        <v>CSH_BMOV: Internal branch cash movement</v>
      </c>
      <c r="C58" s="20" t="s">
        <v>416</v>
      </c>
      <c r="D58" s="20"/>
      <c r="E58" s="87" t="s">
        <v>94</v>
      </c>
      <c r="F58" s="88" t="s">
        <v>95</v>
      </c>
      <c r="G58" s="22" t="s">
        <v>5</v>
      </c>
      <c r="H58" s="23"/>
      <c r="I58" s="91">
        <v>45638</v>
      </c>
      <c r="J58" s="25"/>
      <c r="K58" s="25"/>
      <c r="L58" s="25"/>
      <c r="M58" s="23"/>
      <c r="N58" s="25"/>
    </row>
    <row r="59" spans="1:14" x14ac:dyDescent="0.25">
      <c r="A59" s="53" t="str">
        <f>'Scenario Test'!$A$10</f>
        <v>CSH_004</v>
      </c>
      <c r="B59" s="54" t="str">
        <f>VLOOKUP(TestCase!A59,'Scenario Test'!$A$5:$B$117,2,0)</f>
        <v>CSH_DNM: Cash denomination</v>
      </c>
      <c r="C59" s="53"/>
      <c r="D59" s="53"/>
      <c r="E59" s="53"/>
      <c r="F59" s="53"/>
      <c r="G59" s="55"/>
      <c r="H59" s="54"/>
      <c r="I59" s="55"/>
      <c r="J59" s="54"/>
      <c r="K59" s="54"/>
      <c r="L59" s="54"/>
      <c r="M59" s="54"/>
      <c r="N59" s="54"/>
    </row>
    <row r="60" spans="1:14" s="24" customFormat="1" ht="79.2" x14ac:dyDescent="0.25">
      <c r="A60" s="80" t="str">
        <f>'Scenario Test'!$A$10</f>
        <v>CSH_004</v>
      </c>
      <c r="B60" s="21" t="str">
        <f>VLOOKUP(TestCase!A60,'Scenario Test'!$A$5:$B$117,2,0)</f>
        <v>CSH_DNM: Cash denomination</v>
      </c>
      <c r="C60" s="20" t="s">
        <v>417</v>
      </c>
      <c r="D60" s="20"/>
      <c r="E60" s="86" t="s">
        <v>365</v>
      </c>
      <c r="F60" s="88" t="s">
        <v>95</v>
      </c>
      <c r="G60" s="22" t="s">
        <v>5</v>
      </c>
      <c r="H60" s="23"/>
      <c r="I60" s="91">
        <v>45638</v>
      </c>
      <c r="J60" s="25"/>
      <c r="K60" s="25"/>
      <c r="L60" s="25"/>
      <c r="M60" s="23"/>
      <c r="N60" s="25"/>
    </row>
    <row r="61" spans="1:14" s="24" customFormat="1" ht="79.2" x14ac:dyDescent="0.25">
      <c r="A61" s="80" t="str">
        <f>'Scenario Test'!$A$10</f>
        <v>CSH_004</v>
      </c>
      <c r="B61" s="21" t="str">
        <f>VLOOKUP(TestCase!A61,'Scenario Test'!$A$5:$B$117,2,0)</f>
        <v>CSH_DNM: Cash denomination</v>
      </c>
      <c r="C61" s="20" t="s">
        <v>418</v>
      </c>
      <c r="D61" s="20"/>
      <c r="E61" s="86" t="s">
        <v>366</v>
      </c>
      <c r="F61" s="88" t="s">
        <v>95</v>
      </c>
      <c r="G61" s="22" t="s">
        <v>5</v>
      </c>
      <c r="H61" s="23"/>
      <c r="I61" s="91">
        <v>45638</v>
      </c>
      <c r="J61" s="25"/>
      <c r="K61" s="25"/>
      <c r="L61" s="25"/>
      <c r="M61" s="23"/>
      <c r="N61" s="25"/>
    </row>
    <row r="62" spans="1:14" s="24" customFormat="1" ht="26.4" x14ac:dyDescent="0.25">
      <c r="A62" s="80" t="str">
        <f>'Scenario Test'!$A$10</f>
        <v>CSH_004</v>
      </c>
      <c r="B62" s="21" t="str">
        <f>VLOOKUP(TestCase!A62,'Scenario Test'!$A$5:$B$117,2,0)</f>
        <v>CSH_DNM: Cash denomination</v>
      </c>
      <c r="C62" s="20" t="s">
        <v>419</v>
      </c>
      <c r="D62" s="20"/>
      <c r="E62" s="86" t="s">
        <v>367</v>
      </c>
      <c r="F62" s="88" t="s">
        <v>106</v>
      </c>
      <c r="G62" s="22" t="s">
        <v>5</v>
      </c>
      <c r="H62" s="23"/>
      <c r="I62" s="91">
        <v>45638</v>
      </c>
      <c r="J62" s="25"/>
      <c r="K62" s="25"/>
      <c r="L62" s="25"/>
      <c r="M62" s="23"/>
      <c r="N62" s="25"/>
    </row>
    <row r="63" spans="1:14" s="24" customFormat="1" ht="26.4" x14ac:dyDescent="0.25">
      <c r="A63" s="80" t="str">
        <f>'Scenario Test'!$A$10</f>
        <v>CSH_004</v>
      </c>
      <c r="B63" s="21" t="str">
        <f>VLOOKUP(TestCase!A63,'Scenario Test'!$A$5:$B$117,2,0)</f>
        <v>CSH_DNM: Cash denomination</v>
      </c>
      <c r="C63" s="20" t="s">
        <v>420</v>
      </c>
      <c r="D63" s="20"/>
      <c r="E63" s="86" t="s">
        <v>368</v>
      </c>
      <c r="F63" s="88" t="s">
        <v>106</v>
      </c>
      <c r="G63" s="22" t="s">
        <v>5</v>
      </c>
      <c r="H63" s="23"/>
      <c r="I63" s="91">
        <v>45638</v>
      </c>
      <c r="J63" s="25"/>
      <c r="K63" s="25"/>
      <c r="L63" s="25"/>
      <c r="M63" s="23"/>
      <c r="N63" s="25"/>
    </row>
    <row r="64" spans="1:14" s="24" customFormat="1" x14ac:dyDescent="0.25">
      <c r="A64" s="80" t="str">
        <f>'Scenario Test'!$A$9</f>
        <v>CSH_003</v>
      </c>
      <c r="B64" s="21" t="str">
        <f>VLOOKUP(TestCase!A64,'Scenario Test'!$A$5:$B$117,2,0)</f>
        <v>CSH_BMOV: Internal branch cash movement</v>
      </c>
      <c r="C64" s="20" t="s">
        <v>416</v>
      </c>
      <c r="D64" s="20"/>
      <c r="E64" s="87" t="s">
        <v>94</v>
      </c>
      <c r="F64" s="88" t="s">
        <v>485</v>
      </c>
      <c r="G64" s="22" t="s">
        <v>5</v>
      </c>
      <c r="H64" s="23"/>
      <c r="I64" s="91">
        <v>45638</v>
      </c>
      <c r="J64" s="25"/>
      <c r="K64" s="25"/>
      <c r="L64" s="25"/>
      <c r="M64" s="23"/>
      <c r="N64" s="25"/>
    </row>
    <row r="65" spans="1:14" x14ac:dyDescent="0.25">
      <c r="A65" s="53" t="str">
        <f>'Scenario Test'!$A$12</f>
        <v>FX_001</v>
      </c>
      <c r="B65" s="54" t="str">
        <f>VLOOKUP(TestCase!A65,'Scenario Test'!$A$5:$B$117,2,0)</f>
        <v>FX Cash-Cash</v>
      </c>
      <c r="C65" s="53"/>
      <c r="D65" s="53"/>
      <c r="E65" s="53"/>
      <c r="F65" s="53"/>
      <c r="G65" s="55"/>
      <c r="H65" s="54"/>
      <c r="I65" s="55"/>
      <c r="J65" s="54"/>
      <c r="K65" s="54"/>
      <c r="L65" s="54"/>
      <c r="M65" s="54"/>
      <c r="N65" s="54"/>
    </row>
    <row r="66" spans="1:14" s="24" customFormat="1" ht="224.4" x14ac:dyDescent="0.25">
      <c r="A66" s="80" t="str">
        <f>'Scenario Test'!$A$12</f>
        <v>FX_001</v>
      </c>
      <c r="B66" s="21" t="str">
        <f>VLOOKUP(TestCase!A66,'Scenario Test'!$A$5:$B$117,2,0)</f>
        <v>FX Cash-Cash</v>
      </c>
      <c r="C66" s="20" t="s">
        <v>80</v>
      </c>
      <c r="D66" s="20"/>
      <c r="E66" s="86" t="s">
        <v>323</v>
      </c>
      <c r="F66" s="88" t="s">
        <v>95</v>
      </c>
      <c r="G66" s="22" t="s">
        <v>5</v>
      </c>
      <c r="H66" s="23"/>
      <c r="I66" s="91">
        <v>45636</v>
      </c>
      <c r="J66" s="25"/>
      <c r="K66" s="25"/>
      <c r="L66" s="25"/>
      <c r="M66" s="23"/>
      <c r="N66" s="25"/>
    </row>
    <row r="67" spans="1:14" s="24" customFormat="1" ht="224.4" x14ac:dyDescent="0.25">
      <c r="A67" s="80" t="str">
        <f>'Scenario Test'!$A$12</f>
        <v>FX_001</v>
      </c>
      <c r="B67" s="21" t="str">
        <f>VLOOKUP(TestCase!A67,'Scenario Test'!$A$5:$B$117,2,0)</f>
        <v>FX Cash-Cash</v>
      </c>
      <c r="C67" s="20" t="s">
        <v>81</v>
      </c>
      <c r="D67" s="20"/>
      <c r="E67" s="86" t="s">
        <v>324</v>
      </c>
      <c r="F67" s="88" t="s">
        <v>95</v>
      </c>
      <c r="G67" s="22" t="s">
        <v>5</v>
      </c>
      <c r="H67" s="23"/>
      <c r="I67" s="91">
        <v>45636</v>
      </c>
      <c r="J67" s="25"/>
      <c r="K67" s="25"/>
      <c r="L67" s="25"/>
      <c r="M67" s="23"/>
      <c r="N67" s="25"/>
    </row>
    <row r="68" spans="1:14" s="24" customFormat="1" ht="224.4" x14ac:dyDescent="0.25">
      <c r="A68" s="80" t="str">
        <f>'Scenario Test'!$A$12</f>
        <v>FX_001</v>
      </c>
      <c r="B68" s="21" t="str">
        <f>VLOOKUP(TestCase!A68,'Scenario Test'!$A$5:$B$117,2,0)</f>
        <v>FX Cash-Cash</v>
      </c>
      <c r="C68" s="20" t="s">
        <v>82</v>
      </c>
      <c r="D68" s="20"/>
      <c r="E68" s="86" t="s">
        <v>325</v>
      </c>
      <c r="F68" s="88" t="s">
        <v>95</v>
      </c>
      <c r="G68" s="22" t="s">
        <v>5</v>
      </c>
      <c r="H68" s="23"/>
      <c r="I68" s="91">
        <v>45636</v>
      </c>
      <c r="J68" s="25"/>
      <c r="K68" s="25"/>
      <c r="L68" s="25"/>
      <c r="M68" s="23"/>
      <c r="N68" s="25"/>
    </row>
    <row r="69" spans="1:14" s="24" customFormat="1" ht="224.4" x14ac:dyDescent="0.25">
      <c r="A69" s="80" t="str">
        <f>'Scenario Test'!$A$12</f>
        <v>FX_001</v>
      </c>
      <c r="B69" s="21" t="str">
        <f>VLOOKUP(TestCase!A69,'Scenario Test'!$A$5:$B$117,2,0)</f>
        <v>FX Cash-Cash</v>
      </c>
      <c r="C69" s="20" t="s">
        <v>83</v>
      </c>
      <c r="D69" s="20"/>
      <c r="E69" s="86" t="s">
        <v>326</v>
      </c>
      <c r="F69" s="88" t="s">
        <v>95</v>
      </c>
      <c r="G69" s="22" t="s">
        <v>5</v>
      </c>
      <c r="H69" s="23"/>
      <c r="I69" s="91">
        <v>45636</v>
      </c>
      <c r="J69" s="25"/>
      <c r="K69" s="25"/>
      <c r="L69" s="25"/>
      <c r="M69" s="23"/>
      <c r="N69" s="25"/>
    </row>
    <row r="70" spans="1:14" s="24" customFormat="1" ht="237.6" x14ac:dyDescent="0.25">
      <c r="A70" s="80" t="str">
        <f>'Scenario Test'!$A$12</f>
        <v>FX_001</v>
      </c>
      <c r="B70" s="21" t="str">
        <f>VLOOKUP(TestCase!A70,'Scenario Test'!$A$5:$B$117,2,0)</f>
        <v>FX Cash-Cash</v>
      </c>
      <c r="C70" s="20" t="s">
        <v>84</v>
      </c>
      <c r="D70" s="20"/>
      <c r="E70" s="86" t="s">
        <v>327</v>
      </c>
      <c r="F70" s="88" t="s">
        <v>95</v>
      </c>
      <c r="G70" s="22" t="s">
        <v>5</v>
      </c>
      <c r="H70" s="23"/>
      <c r="I70" s="91">
        <v>45636</v>
      </c>
      <c r="J70" s="25"/>
      <c r="K70" s="25"/>
      <c r="L70" s="25"/>
      <c r="M70" s="23"/>
      <c r="N70" s="25"/>
    </row>
    <row r="71" spans="1:14" s="24" customFormat="1" x14ac:dyDescent="0.25">
      <c r="A71" s="80" t="str">
        <f>'Scenario Test'!$A$12</f>
        <v>FX_001</v>
      </c>
      <c r="B71" s="21" t="str">
        <f>VLOOKUP(TestCase!A71,'Scenario Test'!$A$5:$B$117,2,0)</f>
        <v>FX Cash-Cash</v>
      </c>
      <c r="C71" s="20" t="s">
        <v>96</v>
      </c>
      <c r="D71" s="20"/>
      <c r="E71" s="89" t="s">
        <v>99</v>
      </c>
      <c r="F71" s="88" t="s">
        <v>106</v>
      </c>
      <c r="G71" s="22"/>
      <c r="H71" s="23"/>
      <c r="I71" s="91">
        <v>45636</v>
      </c>
      <c r="J71" s="25"/>
      <c r="K71" s="25"/>
      <c r="L71" s="25"/>
      <c r="M71" s="23"/>
      <c r="N71" s="25"/>
    </row>
    <row r="72" spans="1:14" s="24" customFormat="1" x14ac:dyDescent="0.25">
      <c r="A72" s="80" t="str">
        <f>'Scenario Test'!$A$12</f>
        <v>FX_001</v>
      </c>
      <c r="B72" s="21" t="str">
        <f>VLOOKUP(TestCase!A72,'Scenario Test'!$A$5:$B$117,2,0)</f>
        <v>FX Cash-Cash</v>
      </c>
      <c r="C72" s="20" t="s">
        <v>97</v>
      </c>
      <c r="D72" s="20"/>
      <c r="E72" s="89" t="s">
        <v>100</v>
      </c>
      <c r="F72" s="88" t="s">
        <v>106</v>
      </c>
      <c r="G72" s="22"/>
      <c r="H72" s="23"/>
      <c r="I72" s="91">
        <v>45636</v>
      </c>
      <c r="J72" s="25"/>
      <c r="K72" s="25"/>
      <c r="L72" s="25"/>
      <c r="M72" s="23"/>
      <c r="N72" s="25"/>
    </row>
    <row r="73" spans="1:14" s="24" customFormat="1" ht="118.8" x14ac:dyDescent="0.25">
      <c r="A73" s="80" t="str">
        <f>'Scenario Test'!$A$12</f>
        <v>FX_001</v>
      </c>
      <c r="B73" s="21" t="str">
        <f>VLOOKUP(TestCase!A73,'Scenario Test'!$A$5:$B$117,2,0)</f>
        <v>FX Cash-Cash</v>
      </c>
      <c r="C73" s="20" t="s">
        <v>98</v>
      </c>
      <c r="D73" s="20"/>
      <c r="E73" s="86" t="s">
        <v>101</v>
      </c>
      <c r="F73" s="88" t="s">
        <v>106</v>
      </c>
      <c r="G73" s="22" t="s">
        <v>5</v>
      </c>
      <c r="H73" s="23"/>
      <c r="I73" s="91">
        <v>45636</v>
      </c>
      <c r="J73" s="25"/>
      <c r="K73" s="25"/>
      <c r="L73" s="25"/>
      <c r="M73" s="23"/>
      <c r="N73" s="25"/>
    </row>
    <row r="74" spans="1:14" s="24" customFormat="1" ht="118.8" x14ac:dyDescent="0.25">
      <c r="A74" s="80" t="str">
        <f>'Scenario Test'!$A$12</f>
        <v>FX_001</v>
      </c>
      <c r="B74" s="21" t="str">
        <f>VLOOKUP(TestCase!A74,'Scenario Test'!$A$5:$B$117,2,0)</f>
        <v>FX Cash-Cash</v>
      </c>
      <c r="C74" s="20" t="s">
        <v>103</v>
      </c>
      <c r="D74" s="20"/>
      <c r="E74" s="86" t="s">
        <v>102</v>
      </c>
      <c r="F74" s="88" t="s">
        <v>106</v>
      </c>
      <c r="G74" s="22" t="s">
        <v>5</v>
      </c>
      <c r="H74" s="23"/>
      <c r="I74" s="91">
        <v>45636</v>
      </c>
      <c r="J74" s="25"/>
      <c r="K74" s="25"/>
      <c r="L74" s="25"/>
      <c r="M74" s="23"/>
      <c r="N74" s="25"/>
    </row>
    <row r="75" spans="1:14" s="24" customFormat="1" ht="132" x14ac:dyDescent="0.25">
      <c r="A75" s="80" t="str">
        <f>'Scenario Test'!$A$12</f>
        <v>FX_001</v>
      </c>
      <c r="B75" s="21" t="str">
        <f>VLOOKUP(TestCase!A75,'Scenario Test'!$A$5:$B$117,2,0)</f>
        <v>FX Cash-Cash</v>
      </c>
      <c r="C75" s="20" t="s">
        <v>104</v>
      </c>
      <c r="D75" s="20"/>
      <c r="E75" s="86" t="s">
        <v>112</v>
      </c>
      <c r="F75" s="88" t="s">
        <v>106</v>
      </c>
      <c r="G75" s="22" t="s">
        <v>5</v>
      </c>
      <c r="H75" s="23"/>
      <c r="I75" s="91">
        <v>45636</v>
      </c>
      <c r="J75" s="25"/>
      <c r="K75" s="25"/>
      <c r="L75" s="25"/>
      <c r="M75" s="23"/>
      <c r="N75" s="25"/>
    </row>
    <row r="76" spans="1:14" s="24" customFormat="1" x14ac:dyDescent="0.25">
      <c r="A76" s="80" t="str">
        <f>'Scenario Test'!$A$12</f>
        <v>FX_001</v>
      </c>
      <c r="B76" s="21" t="str">
        <f>VLOOKUP(TestCase!A76,'Scenario Test'!$A$5:$B$117,2,0)</f>
        <v>FX Cash-Cash</v>
      </c>
      <c r="C76" s="20" t="s">
        <v>105</v>
      </c>
      <c r="D76" s="20"/>
      <c r="E76" s="87" t="s">
        <v>94</v>
      </c>
      <c r="F76" s="88" t="s">
        <v>95</v>
      </c>
      <c r="G76" s="22" t="s">
        <v>5</v>
      </c>
      <c r="H76" s="23"/>
      <c r="I76" s="91">
        <v>45636</v>
      </c>
      <c r="J76" s="25"/>
      <c r="K76" s="25"/>
      <c r="L76" s="25"/>
      <c r="M76" s="23"/>
      <c r="N76" s="25"/>
    </row>
    <row r="77" spans="1:14" x14ac:dyDescent="0.25">
      <c r="A77" s="53" t="str">
        <f>'Scenario Test'!$A$13</f>
        <v>FX_002</v>
      </c>
      <c r="B77" s="54" t="str">
        <f>VLOOKUP(TestCase!A77,'Scenario Test'!$A$5:$B$117,2,0)</f>
        <v>FX Cash-Deposit</v>
      </c>
      <c r="C77" s="53"/>
      <c r="D77" s="53"/>
      <c r="E77" s="53"/>
      <c r="F77" s="53"/>
      <c r="G77" s="55"/>
      <c r="H77" s="54"/>
      <c r="I77" s="55"/>
      <c r="J77" s="54"/>
      <c r="K77" s="54"/>
      <c r="L77" s="54"/>
      <c r="M77" s="54"/>
      <c r="N77" s="54"/>
    </row>
    <row r="78" spans="1:14" s="85" customFormat="1" ht="250.8" x14ac:dyDescent="0.25">
      <c r="A78" s="84" t="str">
        <f>'Scenario Test'!$A$13</f>
        <v>FX_002</v>
      </c>
      <c r="B78" s="23" t="str">
        <f>VLOOKUP(TestCase!A78,'Scenario Test'!$A$5:$B$117,2,0)</f>
        <v>FX Cash-Deposit</v>
      </c>
      <c r="C78" s="20" t="s">
        <v>85</v>
      </c>
      <c r="D78" s="20"/>
      <c r="E78" s="86" t="s">
        <v>487</v>
      </c>
      <c r="F78" s="88" t="s">
        <v>95</v>
      </c>
      <c r="G78" s="22" t="s">
        <v>5</v>
      </c>
      <c r="H78" s="23"/>
      <c r="I78" s="91">
        <v>45636</v>
      </c>
      <c r="J78" s="25"/>
      <c r="K78" s="25"/>
      <c r="L78" s="25"/>
      <c r="M78" s="23"/>
      <c r="N78" s="23"/>
    </row>
    <row r="79" spans="1:14" s="85" customFormat="1" ht="250.8" x14ac:dyDescent="0.25">
      <c r="A79" s="84" t="str">
        <f>'Scenario Test'!$A$13</f>
        <v>FX_002</v>
      </c>
      <c r="B79" s="23" t="str">
        <f>VLOOKUP(TestCase!A79,'Scenario Test'!$A$5:$B$117,2,0)</f>
        <v>FX Cash-Deposit</v>
      </c>
      <c r="C79" s="20" t="s">
        <v>86</v>
      </c>
      <c r="D79" s="20"/>
      <c r="E79" s="86" t="s">
        <v>328</v>
      </c>
      <c r="F79" s="88" t="s">
        <v>95</v>
      </c>
      <c r="G79" s="22" t="s">
        <v>5</v>
      </c>
      <c r="H79" s="23"/>
      <c r="I79" s="91">
        <v>45636</v>
      </c>
      <c r="J79" s="25"/>
      <c r="K79" s="25"/>
      <c r="L79" s="25"/>
      <c r="M79" s="23"/>
      <c r="N79" s="23"/>
    </row>
    <row r="80" spans="1:14" s="85" customFormat="1" ht="250.8" x14ac:dyDescent="0.25">
      <c r="A80" s="84" t="str">
        <f>'Scenario Test'!$A$13</f>
        <v>FX_002</v>
      </c>
      <c r="B80" s="23" t="str">
        <f>VLOOKUP(TestCase!A80,'Scenario Test'!$A$5:$B$117,2,0)</f>
        <v>FX Cash-Deposit</v>
      </c>
      <c r="C80" s="20" t="s">
        <v>87</v>
      </c>
      <c r="D80" s="20"/>
      <c r="E80" s="86" t="s">
        <v>329</v>
      </c>
      <c r="F80" s="88" t="s">
        <v>95</v>
      </c>
      <c r="G80" s="22" t="s">
        <v>5</v>
      </c>
      <c r="H80" s="23"/>
      <c r="I80" s="91">
        <v>45636</v>
      </c>
      <c r="J80" s="25"/>
      <c r="K80" s="25"/>
      <c r="L80" s="25"/>
      <c r="M80" s="23"/>
      <c r="N80" s="23"/>
    </row>
    <row r="81" spans="1:14" s="85" customFormat="1" ht="250.8" x14ac:dyDescent="0.25">
      <c r="A81" s="84" t="str">
        <f>'Scenario Test'!$A$13</f>
        <v>FX_002</v>
      </c>
      <c r="B81" s="23" t="str">
        <f>VLOOKUP(TestCase!A81,'Scenario Test'!$A$5:$B$117,2,0)</f>
        <v>FX Cash-Deposit</v>
      </c>
      <c r="C81" s="20" t="s">
        <v>107</v>
      </c>
      <c r="D81" s="20"/>
      <c r="E81" s="86" t="s">
        <v>330</v>
      </c>
      <c r="F81" s="88" t="s">
        <v>95</v>
      </c>
      <c r="G81" s="22" t="s">
        <v>5</v>
      </c>
      <c r="H81" s="23"/>
      <c r="I81" s="91">
        <v>45636</v>
      </c>
      <c r="J81" s="25"/>
      <c r="K81" s="25"/>
      <c r="L81" s="25"/>
      <c r="M81" s="23"/>
      <c r="N81" s="23"/>
    </row>
    <row r="82" spans="1:14" s="85" customFormat="1" ht="264" x14ac:dyDescent="0.25">
      <c r="A82" s="84" t="str">
        <f>'Scenario Test'!$A$13</f>
        <v>FX_002</v>
      </c>
      <c r="B82" s="23" t="str">
        <f>VLOOKUP(TestCase!A82,'Scenario Test'!$A$5:$B$117,2,0)</f>
        <v>FX Cash-Deposit</v>
      </c>
      <c r="C82" s="20" t="s">
        <v>108</v>
      </c>
      <c r="D82" s="20"/>
      <c r="E82" s="86" t="s">
        <v>331</v>
      </c>
      <c r="F82" s="88" t="s">
        <v>95</v>
      </c>
      <c r="G82" s="22" t="s">
        <v>5</v>
      </c>
      <c r="H82" s="23"/>
      <c r="I82" s="91">
        <v>45636</v>
      </c>
      <c r="J82" s="25"/>
      <c r="K82" s="25"/>
      <c r="L82" s="25"/>
      <c r="M82" s="23"/>
      <c r="N82" s="23"/>
    </row>
    <row r="83" spans="1:14" s="24" customFormat="1" x14ac:dyDescent="0.25">
      <c r="A83" s="84" t="str">
        <f>'Scenario Test'!$A$13</f>
        <v>FX_002</v>
      </c>
      <c r="B83" s="21" t="str">
        <f>VLOOKUP(TestCase!A83,'Scenario Test'!$A$5:$B$117,2,0)</f>
        <v>FX Cash-Deposit</v>
      </c>
      <c r="C83" s="20" t="s">
        <v>114</v>
      </c>
      <c r="D83" s="20"/>
      <c r="E83" s="89" t="s">
        <v>99</v>
      </c>
      <c r="F83" s="88" t="s">
        <v>106</v>
      </c>
      <c r="G83" s="22"/>
      <c r="H83" s="23"/>
      <c r="I83" s="91">
        <v>45636</v>
      </c>
      <c r="J83" s="25"/>
      <c r="K83" s="25"/>
      <c r="L83" s="25"/>
      <c r="M83" s="23"/>
      <c r="N83" s="25"/>
    </row>
    <row r="84" spans="1:14" s="24" customFormat="1" x14ac:dyDescent="0.25">
      <c r="A84" s="84" t="str">
        <f>'Scenario Test'!$A$13</f>
        <v>FX_002</v>
      </c>
      <c r="B84" s="21" t="str">
        <f>VLOOKUP(TestCase!A84,'Scenario Test'!$A$5:$B$117,2,0)</f>
        <v>FX Cash-Deposit</v>
      </c>
      <c r="C84" s="20" t="s">
        <v>115</v>
      </c>
      <c r="D84" s="20"/>
      <c r="E84" s="89" t="s">
        <v>100</v>
      </c>
      <c r="F84" s="88" t="s">
        <v>106</v>
      </c>
      <c r="G84" s="22"/>
      <c r="H84" s="23"/>
      <c r="I84" s="91">
        <v>45636</v>
      </c>
      <c r="J84" s="25"/>
      <c r="K84" s="25"/>
      <c r="L84" s="25"/>
      <c r="M84" s="23"/>
      <c r="N84" s="25"/>
    </row>
    <row r="85" spans="1:14" s="24" customFormat="1" x14ac:dyDescent="0.25">
      <c r="A85" s="84" t="str">
        <f>'Scenario Test'!$A$13</f>
        <v>FX_002</v>
      </c>
      <c r="B85" s="21" t="str">
        <f>VLOOKUP(TestCase!A85,'Scenario Test'!$A$5:$B$117,2,0)</f>
        <v>FX Cash-Deposit</v>
      </c>
      <c r="C85" s="20" t="s">
        <v>116</v>
      </c>
      <c r="D85" s="20"/>
      <c r="E85" s="89" t="s">
        <v>125</v>
      </c>
      <c r="F85" s="88" t="s">
        <v>106</v>
      </c>
      <c r="G85" s="22"/>
      <c r="H85" s="23"/>
      <c r="I85" s="91">
        <v>45636</v>
      </c>
      <c r="J85" s="25"/>
      <c r="K85" s="25"/>
      <c r="L85" s="25"/>
      <c r="M85" s="23"/>
      <c r="N85" s="25"/>
    </row>
    <row r="86" spans="1:14" s="24" customFormat="1" x14ac:dyDescent="0.25">
      <c r="A86" s="84" t="str">
        <f>'Scenario Test'!$A$13</f>
        <v>FX_002</v>
      </c>
      <c r="B86" s="21" t="str">
        <f>VLOOKUP(TestCase!A86,'Scenario Test'!$A$5:$B$117,2,0)</f>
        <v>FX Cash-Deposit</v>
      </c>
      <c r="C86" s="20" t="s">
        <v>117</v>
      </c>
      <c r="D86" s="20"/>
      <c r="E86" s="89" t="s">
        <v>126</v>
      </c>
      <c r="F86" s="88" t="s">
        <v>106</v>
      </c>
      <c r="G86" s="22"/>
      <c r="H86" s="23"/>
      <c r="I86" s="91">
        <v>45636</v>
      </c>
      <c r="J86" s="25"/>
      <c r="K86" s="25"/>
      <c r="L86" s="25"/>
      <c r="M86" s="23"/>
      <c r="N86" s="25"/>
    </row>
    <row r="87" spans="1:14" s="85" customFormat="1" ht="132" x14ac:dyDescent="0.25">
      <c r="A87" s="84" t="str">
        <f>'Scenario Test'!$A$13</f>
        <v>FX_002</v>
      </c>
      <c r="B87" s="23" t="str">
        <f>VLOOKUP(TestCase!A87,'Scenario Test'!$A$5:$B$117,2,0)</f>
        <v>FX Cash-Deposit</v>
      </c>
      <c r="C87" s="20" t="s">
        <v>118</v>
      </c>
      <c r="D87" s="20"/>
      <c r="E87" s="86" t="s">
        <v>109</v>
      </c>
      <c r="F87" s="88" t="s">
        <v>106</v>
      </c>
      <c r="G87" s="22" t="s">
        <v>5</v>
      </c>
      <c r="H87" s="23"/>
      <c r="I87" s="91">
        <v>45636</v>
      </c>
      <c r="J87" s="25"/>
      <c r="K87" s="25"/>
      <c r="L87" s="25"/>
      <c r="M87" s="23"/>
      <c r="N87" s="23"/>
    </row>
    <row r="88" spans="1:14" s="85" customFormat="1" ht="132" x14ac:dyDescent="0.25">
      <c r="A88" s="84" t="str">
        <f>'Scenario Test'!$A$13</f>
        <v>FX_002</v>
      </c>
      <c r="B88" s="23" t="str">
        <f>VLOOKUP(TestCase!A88,'Scenario Test'!$A$5:$B$117,2,0)</f>
        <v>FX Cash-Deposit</v>
      </c>
      <c r="C88" s="20" t="s">
        <v>119</v>
      </c>
      <c r="D88" s="20"/>
      <c r="E88" s="86" t="s">
        <v>110</v>
      </c>
      <c r="F88" s="88" t="s">
        <v>106</v>
      </c>
      <c r="G88" s="22" t="s">
        <v>5</v>
      </c>
      <c r="H88" s="23"/>
      <c r="I88" s="91">
        <v>45636</v>
      </c>
      <c r="J88" s="25"/>
      <c r="K88" s="25"/>
      <c r="L88" s="25"/>
      <c r="M88" s="23"/>
      <c r="N88" s="23"/>
    </row>
    <row r="89" spans="1:14" s="85" customFormat="1" ht="132" x14ac:dyDescent="0.25">
      <c r="A89" s="84" t="str">
        <f>'Scenario Test'!$A$13</f>
        <v>FX_002</v>
      </c>
      <c r="B89" s="23" t="str">
        <f>VLOOKUP(TestCase!A89,'Scenario Test'!$A$5:$B$117,2,0)</f>
        <v>FX Cash-Deposit</v>
      </c>
      <c r="C89" s="20" t="s">
        <v>120</v>
      </c>
      <c r="D89" s="20"/>
      <c r="E89" s="86" t="s">
        <v>113</v>
      </c>
      <c r="F89" s="88" t="s">
        <v>106</v>
      </c>
      <c r="G89" s="22" t="s">
        <v>5</v>
      </c>
      <c r="H89" s="23"/>
      <c r="I89" s="91">
        <v>45636</v>
      </c>
      <c r="J89" s="25"/>
      <c r="K89" s="25"/>
      <c r="L89" s="25"/>
      <c r="M89" s="23"/>
      <c r="N89" s="23"/>
    </row>
    <row r="90" spans="1:14" s="85" customFormat="1" ht="264" x14ac:dyDescent="0.25">
      <c r="A90" s="84" t="str">
        <f>'Scenario Test'!$A$13</f>
        <v>FX_002</v>
      </c>
      <c r="B90" s="23" t="str">
        <f>VLOOKUP(TestCase!A90,'Scenario Test'!$A$5:$B$117,2,0)</f>
        <v>FX Cash-Deposit</v>
      </c>
      <c r="C90" s="20" t="s">
        <v>121</v>
      </c>
      <c r="D90" s="20"/>
      <c r="E90" s="86" t="s">
        <v>111</v>
      </c>
      <c r="F90" s="88" t="s">
        <v>106</v>
      </c>
      <c r="G90" s="22" t="s">
        <v>5</v>
      </c>
      <c r="H90" s="23"/>
      <c r="I90" s="91">
        <v>45636</v>
      </c>
      <c r="J90" s="25"/>
      <c r="K90" s="25"/>
      <c r="L90" s="25"/>
      <c r="M90" s="23"/>
      <c r="N90" s="23"/>
    </row>
    <row r="91" spans="1:14" s="24" customFormat="1" x14ac:dyDescent="0.25">
      <c r="A91" s="84" t="str">
        <f>'Scenario Test'!$A$13</f>
        <v>FX_002</v>
      </c>
      <c r="B91" s="21" t="str">
        <f>VLOOKUP(TestCase!A91,'Scenario Test'!$A$5:$B$117,2,0)</f>
        <v>FX Cash-Deposit</v>
      </c>
      <c r="C91" s="20" t="s">
        <v>122</v>
      </c>
      <c r="D91" s="20"/>
      <c r="E91" s="87" t="s">
        <v>94</v>
      </c>
      <c r="F91" s="88" t="s">
        <v>95</v>
      </c>
      <c r="G91" s="22" t="s">
        <v>5</v>
      </c>
      <c r="H91" s="23"/>
      <c r="I91" s="91">
        <v>45636</v>
      </c>
      <c r="J91" s="25"/>
      <c r="K91" s="25"/>
      <c r="L91" s="25"/>
      <c r="M91" s="23"/>
      <c r="N91" s="25"/>
    </row>
    <row r="92" spans="1:14" x14ac:dyDescent="0.25">
      <c r="A92" s="53" t="str">
        <f>'Scenario Test'!$A$14</f>
        <v>FX_003</v>
      </c>
      <c r="B92" s="54" t="str">
        <f>VLOOKUP(TestCase!A92,'Scenario Test'!$A$5:$B$117,2,0)</f>
        <v>FX Cash-GL</v>
      </c>
      <c r="C92" s="53"/>
      <c r="D92" s="53"/>
      <c r="E92" s="53"/>
      <c r="F92" s="53"/>
      <c r="G92" s="55"/>
      <c r="H92" s="54"/>
      <c r="I92" s="55"/>
      <c r="J92" s="54"/>
      <c r="K92" s="54"/>
      <c r="L92" s="54"/>
      <c r="M92" s="54"/>
      <c r="N92" s="54"/>
    </row>
    <row r="93" spans="1:14" s="24" customFormat="1" ht="277.2" x14ac:dyDescent="0.25">
      <c r="A93" s="84" t="str">
        <f>'Scenario Test'!$A$14</f>
        <v>FX_003</v>
      </c>
      <c r="B93" s="21" t="str">
        <f>VLOOKUP(TestCase!A93,'Scenario Test'!$A$5:$B$117,2,0)</f>
        <v>FX Cash-GL</v>
      </c>
      <c r="C93" s="20" t="s">
        <v>88</v>
      </c>
      <c r="D93" s="20"/>
      <c r="E93" s="86" t="s">
        <v>332</v>
      </c>
      <c r="F93" s="88" t="s">
        <v>95</v>
      </c>
      <c r="G93" s="22" t="s">
        <v>5</v>
      </c>
      <c r="H93" s="23"/>
      <c r="I93" s="91">
        <v>45636</v>
      </c>
      <c r="J93" s="25"/>
      <c r="K93" s="25"/>
      <c r="L93" s="25"/>
      <c r="M93" s="23"/>
      <c r="N93" s="23"/>
    </row>
    <row r="94" spans="1:14" s="85" customFormat="1" ht="277.2" x14ac:dyDescent="0.25">
      <c r="A94" s="84" t="str">
        <f>'Scenario Test'!$A$14</f>
        <v>FX_003</v>
      </c>
      <c r="B94" s="23" t="str">
        <f>VLOOKUP(TestCase!A94,'Scenario Test'!$A$5:$B$117,2,0)</f>
        <v>FX Cash-GL</v>
      </c>
      <c r="C94" s="20" t="s">
        <v>89</v>
      </c>
      <c r="D94" s="20"/>
      <c r="E94" s="86" t="s">
        <v>333</v>
      </c>
      <c r="F94" s="88" t="s">
        <v>95</v>
      </c>
      <c r="G94" s="22" t="s">
        <v>5</v>
      </c>
      <c r="H94" s="23"/>
      <c r="I94" s="91">
        <v>45636</v>
      </c>
      <c r="J94" s="25"/>
      <c r="K94" s="25"/>
      <c r="L94" s="25"/>
      <c r="M94" s="23"/>
      <c r="N94" s="23"/>
    </row>
    <row r="95" spans="1:14" s="85" customFormat="1" ht="277.2" x14ac:dyDescent="0.25">
      <c r="A95" s="84" t="str">
        <f>'Scenario Test'!$A$14</f>
        <v>FX_003</v>
      </c>
      <c r="B95" s="23" t="str">
        <f>VLOOKUP(TestCase!A95,'Scenario Test'!$A$5:$B$117,2,0)</f>
        <v>FX Cash-GL</v>
      </c>
      <c r="C95" s="20" t="s">
        <v>90</v>
      </c>
      <c r="D95" s="20"/>
      <c r="E95" s="86" t="s">
        <v>334</v>
      </c>
      <c r="F95" s="88" t="s">
        <v>95</v>
      </c>
      <c r="G95" s="22" t="s">
        <v>5</v>
      </c>
      <c r="H95" s="23"/>
      <c r="I95" s="91">
        <v>45636</v>
      </c>
      <c r="J95" s="25"/>
      <c r="K95" s="25"/>
      <c r="L95" s="25"/>
      <c r="M95" s="23"/>
      <c r="N95" s="23"/>
    </row>
    <row r="96" spans="1:14" s="85" customFormat="1" ht="277.2" x14ac:dyDescent="0.25">
      <c r="A96" s="84" t="str">
        <f>'Scenario Test'!$A$14</f>
        <v>FX_003</v>
      </c>
      <c r="B96" s="23" t="str">
        <f>VLOOKUP(TestCase!A96,'Scenario Test'!$A$5:$B$117,2,0)</f>
        <v>FX Cash-GL</v>
      </c>
      <c r="C96" s="20" t="s">
        <v>127</v>
      </c>
      <c r="D96" s="20"/>
      <c r="E96" s="86" t="s">
        <v>335</v>
      </c>
      <c r="F96" s="88" t="s">
        <v>95</v>
      </c>
      <c r="G96" s="22" t="s">
        <v>5</v>
      </c>
      <c r="H96" s="23"/>
      <c r="I96" s="91">
        <v>45636</v>
      </c>
      <c r="J96" s="25"/>
      <c r="K96" s="25"/>
      <c r="L96" s="25"/>
      <c r="M96" s="23"/>
      <c r="N96" s="23"/>
    </row>
    <row r="97" spans="1:14" s="85" customFormat="1" ht="290.39999999999998" x14ac:dyDescent="0.25">
      <c r="A97" s="84" t="str">
        <f>'Scenario Test'!$A$14</f>
        <v>FX_003</v>
      </c>
      <c r="B97" s="23" t="str">
        <f>VLOOKUP(TestCase!A97,'Scenario Test'!$A$5:$B$117,2,0)</f>
        <v>FX Cash-GL</v>
      </c>
      <c r="C97" s="20" t="s">
        <v>128</v>
      </c>
      <c r="D97" s="20"/>
      <c r="E97" s="86" t="s">
        <v>336</v>
      </c>
      <c r="F97" s="88" t="s">
        <v>95</v>
      </c>
      <c r="G97" s="22" t="s">
        <v>5</v>
      </c>
      <c r="H97" s="23"/>
      <c r="I97" s="91">
        <v>45636</v>
      </c>
      <c r="J97" s="25"/>
      <c r="K97" s="25"/>
      <c r="L97" s="25"/>
      <c r="M97" s="23"/>
      <c r="N97" s="23"/>
    </row>
    <row r="98" spans="1:14" s="24" customFormat="1" x14ac:dyDescent="0.25">
      <c r="A98" s="84" t="str">
        <f>'Scenario Test'!$A$14</f>
        <v>FX_003</v>
      </c>
      <c r="B98" s="21" t="str">
        <f>VLOOKUP(TestCase!A98,'Scenario Test'!$A$5:$B$117,2,0)</f>
        <v>FX Cash-GL</v>
      </c>
      <c r="C98" s="20" t="s">
        <v>129</v>
      </c>
      <c r="D98" s="20"/>
      <c r="E98" s="89" t="s">
        <v>99</v>
      </c>
      <c r="F98" s="88" t="s">
        <v>106</v>
      </c>
      <c r="G98" s="22" t="s">
        <v>5</v>
      </c>
      <c r="H98" s="23"/>
      <c r="I98" s="91">
        <v>45636</v>
      </c>
      <c r="J98" s="25"/>
      <c r="K98" s="25"/>
      <c r="L98" s="25"/>
      <c r="M98" s="23"/>
      <c r="N98" s="25"/>
    </row>
    <row r="99" spans="1:14" s="24" customFormat="1" x14ac:dyDescent="0.25">
      <c r="A99" s="84" t="str">
        <f>'Scenario Test'!$A$14</f>
        <v>FX_003</v>
      </c>
      <c r="B99" s="21" t="str">
        <f>VLOOKUP(TestCase!A99,'Scenario Test'!$A$5:$B$117,2,0)</f>
        <v>FX Cash-GL</v>
      </c>
      <c r="C99" s="20" t="s">
        <v>130</v>
      </c>
      <c r="D99" s="20"/>
      <c r="E99" s="89" t="s">
        <v>100</v>
      </c>
      <c r="F99" s="88" t="s">
        <v>106</v>
      </c>
      <c r="G99" s="22" t="s">
        <v>5</v>
      </c>
      <c r="H99" s="23"/>
      <c r="I99" s="91">
        <v>45636</v>
      </c>
      <c r="J99" s="25"/>
      <c r="K99" s="25"/>
      <c r="L99" s="25"/>
      <c r="M99" s="23"/>
      <c r="N99" s="25"/>
    </row>
    <row r="100" spans="1:14" s="24" customFormat="1" x14ac:dyDescent="0.25">
      <c r="A100" s="84" t="str">
        <f>'Scenario Test'!$A$14</f>
        <v>FX_003</v>
      </c>
      <c r="B100" s="21" t="str">
        <f>VLOOKUP(TestCase!A100,'Scenario Test'!$A$5:$B$117,2,0)</f>
        <v>FX Cash-GL</v>
      </c>
      <c r="C100" s="20" t="s">
        <v>131</v>
      </c>
      <c r="D100" s="20"/>
      <c r="E100" s="89" t="s">
        <v>125</v>
      </c>
      <c r="F100" s="88" t="s">
        <v>106</v>
      </c>
      <c r="G100" s="22" t="s">
        <v>5</v>
      </c>
      <c r="H100" s="23"/>
      <c r="I100" s="91">
        <v>45636</v>
      </c>
      <c r="J100" s="25"/>
      <c r="K100" s="25"/>
      <c r="L100" s="25"/>
      <c r="M100" s="23"/>
      <c r="N100" s="25"/>
    </row>
    <row r="101" spans="1:14" s="24" customFormat="1" x14ac:dyDescent="0.25">
      <c r="A101" s="84" t="str">
        <f>'Scenario Test'!$A$14</f>
        <v>FX_003</v>
      </c>
      <c r="B101" s="21" t="str">
        <f>VLOOKUP(TestCase!A101,'Scenario Test'!$A$5:$B$117,2,0)</f>
        <v>FX Cash-GL</v>
      </c>
      <c r="C101" s="20" t="s">
        <v>132</v>
      </c>
      <c r="D101" s="20"/>
      <c r="E101" s="89" t="s">
        <v>126</v>
      </c>
      <c r="F101" s="88" t="s">
        <v>106</v>
      </c>
      <c r="G101" s="22" t="s">
        <v>5</v>
      </c>
      <c r="H101" s="23"/>
      <c r="I101" s="91">
        <v>45636</v>
      </c>
      <c r="J101" s="25"/>
      <c r="K101" s="25"/>
      <c r="L101" s="25"/>
      <c r="M101" s="23"/>
      <c r="N101" s="25"/>
    </row>
    <row r="102" spans="1:14" s="24" customFormat="1" ht="158.4" x14ac:dyDescent="0.25">
      <c r="A102" s="84" t="str">
        <f>'Scenario Test'!$A$14</f>
        <v>FX_003</v>
      </c>
      <c r="B102" s="21" t="str">
        <f>VLOOKUP(TestCase!A102,'Scenario Test'!$A$5:$B$117,2,0)</f>
        <v>FX Cash-GL</v>
      </c>
      <c r="C102" s="20" t="s">
        <v>133</v>
      </c>
      <c r="D102" s="20"/>
      <c r="E102" s="86" t="s">
        <v>135</v>
      </c>
      <c r="F102" s="88" t="s">
        <v>106</v>
      </c>
      <c r="G102" s="22" t="s">
        <v>5</v>
      </c>
      <c r="H102" s="23"/>
      <c r="I102" s="91">
        <v>45636</v>
      </c>
      <c r="J102" s="25"/>
      <c r="K102" s="25"/>
      <c r="L102" s="25"/>
      <c r="M102" s="23"/>
      <c r="N102" s="23"/>
    </row>
    <row r="103" spans="1:14" s="24" customFormat="1" ht="158.4" x14ac:dyDescent="0.25">
      <c r="A103" s="84" t="str">
        <f>'Scenario Test'!$A$14</f>
        <v>FX_003</v>
      </c>
      <c r="B103" s="21" t="str">
        <f>VLOOKUP(TestCase!A103,'Scenario Test'!$A$5:$B$117,2,0)</f>
        <v>FX Cash-GL</v>
      </c>
      <c r="C103" s="20" t="s">
        <v>134</v>
      </c>
      <c r="D103" s="20"/>
      <c r="E103" s="86" t="s">
        <v>136</v>
      </c>
      <c r="F103" s="88" t="s">
        <v>106</v>
      </c>
      <c r="G103" s="22" t="s">
        <v>5</v>
      </c>
      <c r="H103" s="23"/>
      <c r="I103" s="91">
        <v>45636</v>
      </c>
      <c r="J103" s="25"/>
      <c r="K103" s="25"/>
      <c r="L103" s="25"/>
      <c r="M103" s="23"/>
      <c r="N103" s="23"/>
    </row>
    <row r="104" spans="1:14" s="24" customFormat="1" ht="158.4" x14ac:dyDescent="0.25">
      <c r="A104" s="84" t="str">
        <f>'Scenario Test'!$A$14</f>
        <v>FX_003</v>
      </c>
      <c r="B104" s="21" t="str">
        <f>VLOOKUP(TestCase!A104,'Scenario Test'!$A$5:$B$117,2,0)</f>
        <v>FX Cash-GL</v>
      </c>
      <c r="C104" s="20" t="s">
        <v>141</v>
      </c>
      <c r="D104" s="20"/>
      <c r="E104" s="86" t="s">
        <v>137</v>
      </c>
      <c r="F104" s="88" t="s">
        <v>106</v>
      </c>
      <c r="G104" s="22" t="s">
        <v>5</v>
      </c>
      <c r="H104" s="23" t="s">
        <v>475</v>
      </c>
      <c r="I104" s="91">
        <v>45636</v>
      </c>
      <c r="J104" s="25"/>
      <c r="K104" s="25"/>
      <c r="L104" s="25"/>
      <c r="M104" s="23"/>
      <c r="N104" s="23"/>
    </row>
    <row r="105" spans="1:14" s="24" customFormat="1" ht="158.4" x14ac:dyDescent="0.25">
      <c r="A105" s="84" t="str">
        <f>'Scenario Test'!$A$14</f>
        <v>FX_003</v>
      </c>
      <c r="B105" s="21" t="str">
        <f>VLOOKUP(TestCase!A105,'Scenario Test'!$A$5:$B$117,2,0)</f>
        <v>FX Cash-GL</v>
      </c>
      <c r="C105" s="20" t="s">
        <v>142</v>
      </c>
      <c r="D105" s="20"/>
      <c r="E105" s="86" t="s">
        <v>138</v>
      </c>
      <c r="F105" s="88" t="s">
        <v>106</v>
      </c>
      <c r="G105" s="22" t="s">
        <v>5</v>
      </c>
      <c r="H105" s="23" t="s">
        <v>475</v>
      </c>
      <c r="I105" s="91">
        <v>45636</v>
      </c>
      <c r="J105" s="25"/>
      <c r="K105" s="25"/>
      <c r="L105" s="25"/>
      <c r="M105" s="23"/>
      <c r="N105" s="23"/>
    </row>
    <row r="106" spans="1:14" s="24" customFormat="1" ht="158.4" x14ac:dyDescent="0.25">
      <c r="A106" s="84" t="str">
        <f>'Scenario Test'!$A$14</f>
        <v>FX_003</v>
      </c>
      <c r="B106" s="21" t="str">
        <f>VLOOKUP(TestCase!A106,'Scenario Test'!$A$5:$B$117,2,0)</f>
        <v>FX Cash-GL</v>
      </c>
      <c r="C106" s="20" t="s">
        <v>143</v>
      </c>
      <c r="D106" s="20"/>
      <c r="E106" s="86" t="s">
        <v>139</v>
      </c>
      <c r="F106" s="88" t="s">
        <v>106</v>
      </c>
      <c r="G106" s="22" t="s">
        <v>5</v>
      </c>
      <c r="H106" s="23"/>
      <c r="I106" s="91">
        <v>45636</v>
      </c>
      <c r="J106" s="25"/>
      <c r="K106" s="25"/>
      <c r="L106" s="25"/>
      <c r="M106" s="23"/>
      <c r="N106" s="23"/>
    </row>
    <row r="107" spans="1:14" s="85" customFormat="1" ht="171.6" x14ac:dyDescent="0.25">
      <c r="A107" s="84" t="str">
        <f>'Scenario Test'!$A$14</f>
        <v>FX_003</v>
      </c>
      <c r="B107" s="23" t="str">
        <f>VLOOKUP(TestCase!A107,'Scenario Test'!$A$5:$B$117,2,0)</f>
        <v>FX Cash-GL</v>
      </c>
      <c r="C107" s="20" t="s">
        <v>144</v>
      </c>
      <c r="D107" s="20"/>
      <c r="E107" s="86" t="s">
        <v>140</v>
      </c>
      <c r="F107" s="88" t="s">
        <v>106</v>
      </c>
      <c r="G107" s="22" t="s">
        <v>5</v>
      </c>
      <c r="H107" s="23"/>
      <c r="I107" s="91">
        <v>45636</v>
      </c>
      <c r="J107" s="25"/>
      <c r="K107" s="25"/>
      <c r="L107" s="25"/>
      <c r="M107" s="23"/>
      <c r="N107" s="23"/>
    </row>
    <row r="108" spans="1:14" s="24" customFormat="1" x14ac:dyDescent="0.25">
      <c r="A108" s="84" t="str">
        <f>'Scenario Test'!$A$14</f>
        <v>FX_003</v>
      </c>
      <c r="B108" s="21" t="str">
        <f>VLOOKUP(TestCase!A108,'Scenario Test'!$A$5:$B$117,2,0)</f>
        <v>FX Cash-GL</v>
      </c>
      <c r="C108" s="20" t="s">
        <v>145</v>
      </c>
      <c r="D108" s="20"/>
      <c r="E108" s="87" t="s">
        <v>94</v>
      </c>
      <c r="F108" s="88" t="s">
        <v>95</v>
      </c>
      <c r="G108" s="22" t="s">
        <v>5</v>
      </c>
      <c r="H108" s="23"/>
      <c r="I108" s="91">
        <v>45636</v>
      </c>
      <c r="J108" s="25"/>
      <c r="K108" s="25"/>
      <c r="L108" s="25"/>
      <c r="M108" s="23"/>
      <c r="N108" s="25"/>
    </row>
    <row r="109" spans="1:14" x14ac:dyDescent="0.25">
      <c r="A109" s="53" t="str">
        <f>'Scenario Test'!$A$15</f>
        <v>FX_004</v>
      </c>
      <c r="B109" s="54" t="str">
        <f>VLOOKUP(TestCase!A109,'Scenario Test'!$A$5:$B$117,2,0)</f>
        <v>FX Deposit-Cash</v>
      </c>
      <c r="C109" s="53"/>
      <c r="D109" s="53"/>
      <c r="E109" s="53"/>
      <c r="F109" s="53"/>
      <c r="G109" s="55"/>
      <c r="H109" s="54"/>
      <c r="I109" s="55"/>
      <c r="J109" s="54"/>
      <c r="K109" s="54"/>
      <c r="L109" s="54"/>
      <c r="M109" s="54"/>
      <c r="N109" s="54"/>
    </row>
    <row r="110" spans="1:14" s="24" customFormat="1" ht="264" x14ac:dyDescent="0.25">
      <c r="A110" s="84" t="str">
        <f>'Scenario Test'!$A$15</f>
        <v>FX_004</v>
      </c>
      <c r="B110" s="21" t="str">
        <f>VLOOKUP(TestCase!A110,'Scenario Test'!$A$5:$B$117,2,0)</f>
        <v>FX Deposit-Cash</v>
      </c>
      <c r="C110" s="20" t="s">
        <v>91</v>
      </c>
      <c r="D110" s="20"/>
      <c r="E110" s="86" t="s">
        <v>488</v>
      </c>
      <c r="F110" s="88" t="s">
        <v>95</v>
      </c>
      <c r="G110" s="22" t="s">
        <v>5</v>
      </c>
      <c r="H110" s="23"/>
      <c r="I110" s="91">
        <v>45636</v>
      </c>
      <c r="J110" s="25"/>
      <c r="K110" s="25"/>
      <c r="L110" s="25"/>
      <c r="M110" s="23"/>
      <c r="N110" s="23"/>
    </row>
    <row r="111" spans="1:14" s="24" customFormat="1" ht="264" x14ac:dyDescent="0.25">
      <c r="A111" s="84" t="str">
        <f>'Scenario Test'!$A$15</f>
        <v>FX_004</v>
      </c>
      <c r="B111" s="21" t="str">
        <f>VLOOKUP(TestCase!A111,'Scenario Test'!$A$5:$B$117,2,0)</f>
        <v>FX Deposit-Cash</v>
      </c>
      <c r="C111" s="20" t="s">
        <v>92</v>
      </c>
      <c r="D111" s="20"/>
      <c r="E111" s="86" t="s">
        <v>489</v>
      </c>
      <c r="F111" s="88" t="s">
        <v>95</v>
      </c>
      <c r="G111" s="22" t="s">
        <v>5</v>
      </c>
      <c r="H111" s="23"/>
      <c r="I111" s="91">
        <v>45636</v>
      </c>
      <c r="J111" s="25"/>
      <c r="K111" s="25"/>
      <c r="L111" s="25"/>
      <c r="M111" s="23"/>
      <c r="N111" s="23"/>
    </row>
    <row r="112" spans="1:14" s="24" customFormat="1" ht="264" x14ac:dyDescent="0.25">
      <c r="A112" s="84" t="str">
        <f>'Scenario Test'!$A$15</f>
        <v>FX_004</v>
      </c>
      <c r="B112" s="21" t="str">
        <f>VLOOKUP(TestCase!A112,'Scenario Test'!$A$5:$B$117,2,0)</f>
        <v>FX Deposit-Cash</v>
      </c>
      <c r="C112" s="20" t="s">
        <v>93</v>
      </c>
      <c r="D112" s="20"/>
      <c r="E112" s="86" t="s">
        <v>490</v>
      </c>
      <c r="F112" s="88" t="s">
        <v>95</v>
      </c>
      <c r="G112" s="22" t="s">
        <v>5</v>
      </c>
      <c r="H112" s="23"/>
      <c r="I112" s="91">
        <v>45636</v>
      </c>
      <c r="J112" s="25"/>
      <c r="K112" s="25"/>
      <c r="L112" s="25"/>
      <c r="M112" s="23"/>
      <c r="N112" s="23"/>
    </row>
    <row r="113" spans="1:14" s="24" customFormat="1" ht="264" x14ac:dyDescent="0.25">
      <c r="A113" s="84" t="str">
        <f>'Scenario Test'!$A$15</f>
        <v>FX_004</v>
      </c>
      <c r="B113" s="21" t="str">
        <f>VLOOKUP(TestCase!A113,'Scenario Test'!$A$5:$B$117,2,0)</f>
        <v>FX Deposit-Cash</v>
      </c>
      <c r="C113" s="20" t="s">
        <v>152</v>
      </c>
      <c r="D113" s="20"/>
      <c r="E113" s="86" t="s">
        <v>496</v>
      </c>
      <c r="F113" s="88" t="s">
        <v>95</v>
      </c>
      <c r="G113" s="22" t="s">
        <v>5</v>
      </c>
      <c r="H113" s="23"/>
      <c r="I113" s="91">
        <v>45636</v>
      </c>
      <c r="J113" s="25"/>
      <c r="K113" s="25"/>
      <c r="L113" s="25"/>
      <c r="M113" s="23"/>
      <c r="N113" s="23"/>
    </row>
    <row r="114" spans="1:14" s="24" customFormat="1" ht="277.2" x14ac:dyDescent="0.25">
      <c r="A114" s="84" t="str">
        <f>'Scenario Test'!$A$15</f>
        <v>FX_004</v>
      </c>
      <c r="B114" s="21" t="str">
        <f>VLOOKUP(TestCase!A114,'Scenario Test'!$A$5:$B$117,2,0)</f>
        <v>FX Deposit-Cash</v>
      </c>
      <c r="C114" s="20" t="s">
        <v>153</v>
      </c>
      <c r="D114" s="20"/>
      <c r="E114" s="86" t="s">
        <v>497</v>
      </c>
      <c r="F114" s="88" t="s">
        <v>95</v>
      </c>
      <c r="G114" s="22" t="s">
        <v>5</v>
      </c>
      <c r="H114" s="23"/>
      <c r="I114" s="91">
        <v>45636</v>
      </c>
      <c r="J114" s="25"/>
      <c r="K114" s="25"/>
      <c r="L114" s="25"/>
      <c r="M114" s="23"/>
      <c r="N114" s="23"/>
    </row>
    <row r="115" spans="1:14" s="24" customFormat="1" ht="316.8" x14ac:dyDescent="0.25">
      <c r="A115" s="84" t="str">
        <f>'Scenario Test'!$A$15</f>
        <v>FX_004</v>
      </c>
      <c r="B115" s="21" t="str">
        <f>VLOOKUP(TestCase!A115,'Scenario Test'!$A$5:$B$117,2,0)</f>
        <v>FX Deposit-Cash</v>
      </c>
      <c r="C115" s="20" t="s">
        <v>154</v>
      </c>
      <c r="D115" s="20"/>
      <c r="E115" s="86" t="s">
        <v>491</v>
      </c>
      <c r="F115" s="88" t="s">
        <v>95</v>
      </c>
      <c r="G115" s="22" t="s">
        <v>5</v>
      </c>
      <c r="H115" s="23"/>
      <c r="I115" s="91">
        <v>45636</v>
      </c>
      <c r="J115" s="25"/>
      <c r="K115" s="25"/>
      <c r="L115" s="25"/>
      <c r="M115" s="23"/>
      <c r="N115" s="23"/>
    </row>
    <row r="116" spans="1:14" s="24" customFormat="1" x14ac:dyDescent="0.25">
      <c r="A116" s="84" t="str">
        <f>'Scenario Test'!$A$15</f>
        <v>FX_004</v>
      </c>
      <c r="B116" s="21" t="str">
        <f>VLOOKUP(TestCase!A116,'Scenario Test'!$A$5:$B$117,2,0)</f>
        <v>FX Deposit-Cash</v>
      </c>
      <c r="C116" s="20" t="s">
        <v>155</v>
      </c>
      <c r="D116" s="20"/>
      <c r="E116" s="89" t="s">
        <v>99</v>
      </c>
      <c r="F116" s="88" t="s">
        <v>106</v>
      </c>
      <c r="G116" s="22"/>
      <c r="H116" s="23"/>
      <c r="I116" s="91">
        <v>45636</v>
      </c>
      <c r="J116" s="25"/>
      <c r="K116" s="25"/>
      <c r="L116" s="25"/>
      <c r="M116" s="23"/>
      <c r="N116" s="25"/>
    </row>
    <row r="117" spans="1:14" s="24" customFormat="1" x14ac:dyDescent="0.25">
      <c r="A117" s="84" t="str">
        <f>'Scenario Test'!$A$15</f>
        <v>FX_004</v>
      </c>
      <c r="B117" s="21" t="str">
        <f>VLOOKUP(TestCase!A117,'Scenario Test'!$A$5:$B$117,2,0)</f>
        <v>FX Deposit-Cash</v>
      </c>
      <c r="C117" s="20" t="s">
        <v>156</v>
      </c>
      <c r="D117" s="20"/>
      <c r="E117" s="89" t="s">
        <v>100</v>
      </c>
      <c r="F117" s="88" t="s">
        <v>106</v>
      </c>
      <c r="G117" s="22"/>
      <c r="H117" s="23"/>
      <c r="I117" s="91">
        <v>45636</v>
      </c>
      <c r="J117" s="25"/>
      <c r="K117" s="25"/>
      <c r="L117" s="25"/>
      <c r="M117" s="23"/>
      <c r="N117" s="25"/>
    </row>
    <row r="118" spans="1:14" s="24" customFormat="1" x14ac:dyDescent="0.25">
      <c r="A118" s="84" t="str">
        <f>'Scenario Test'!$A$15</f>
        <v>FX_004</v>
      </c>
      <c r="B118" s="21" t="str">
        <f>VLOOKUP(TestCase!A118,'Scenario Test'!$A$5:$B$117,2,0)</f>
        <v>FX Deposit-Cash</v>
      </c>
      <c r="C118" s="20" t="s">
        <v>157</v>
      </c>
      <c r="D118" s="20"/>
      <c r="E118" s="89" t="s">
        <v>123</v>
      </c>
      <c r="F118" s="88" t="s">
        <v>106</v>
      </c>
      <c r="G118" s="22"/>
      <c r="H118" s="23"/>
      <c r="I118" s="91">
        <v>45636</v>
      </c>
      <c r="J118" s="25"/>
      <c r="K118" s="25"/>
      <c r="L118" s="25"/>
      <c r="M118" s="23"/>
      <c r="N118" s="25"/>
    </row>
    <row r="119" spans="1:14" s="24" customFormat="1" x14ac:dyDescent="0.25">
      <c r="A119" s="84" t="str">
        <f>'Scenario Test'!$A$15</f>
        <v>FX_004</v>
      </c>
      <c r="B119" s="21" t="str">
        <f>VLOOKUP(TestCase!A119,'Scenario Test'!$A$5:$B$117,2,0)</f>
        <v>FX Deposit-Cash</v>
      </c>
      <c r="C119" s="20" t="s">
        <v>158</v>
      </c>
      <c r="D119" s="20"/>
      <c r="E119" s="89" t="s">
        <v>124</v>
      </c>
      <c r="F119" s="88" t="s">
        <v>106</v>
      </c>
      <c r="G119" s="22"/>
      <c r="H119" s="23"/>
      <c r="I119" s="91">
        <v>45636</v>
      </c>
      <c r="J119" s="25"/>
      <c r="K119" s="25"/>
      <c r="L119" s="25"/>
      <c r="M119" s="23"/>
      <c r="N119" s="25"/>
    </row>
    <row r="120" spans="1:14" s="24" customFormat="1" ht="145.19999999999999" x14ac:dyDescent="0.25">
      <c r="A120" s="84" t="str">
        <f>'Scenario Test'!$A$15</f>
        <v>FX_004</v>
      </c>
      <c r="B120" s="21" t="str">
        <f>VLOOKUP(TestCase!A120,'Scenario Test'!$A$5:$B$117,2,0)</f>
        <v>FX Deposit-Cash</v>
      </c>
      <c r="C120" s="20" t="s">
        <v>159</v>
      </c>
      <c r="D120" s="20"/>
      <c r="E120" s="86" t="s">
        <v>186</v>
      </c>
      <c r="F120" s="88" t="s">
        <v>106</v>
      </c>
      <c r="G120" s="22" t="s">
        <v>5</v>
      </c>
      <c r="H120" s="23"/>
      <c r="I120" s="91">
        <v>45636</v>
      </c>
      <c r="J120" s="25"/>
      <c r="K120" s="25"/>
      <c r="L120" s="25"/>
      <c r="M120" s="23"/>
      <c r="N120" s="23"/>
    </row>
    <row r="121" spans="1:14" s="24" customFormat="1" ht="145.19999999999999" x14ac:dyDescent="0.25">
      <c r="A121" s="84" t="str">
        <f>'Scenario Test'!$A$15</f>
        <v>FX_004</v>
      </c>
      <c r="B121" s="21" t="str">
        <f>VLOOKUP(TestCase!A121,'Scenario Test'!$A$5:$B$117,2,0)</f>
        <v>FX Deposit-Cash</v>
      </c>
      <c r="C121" s="20" t="s">
        <v>160</v>
      </c>
      <c r="D121" s="20"/>
      <c r="E121" s="86" t="s">
        <v>181</v>
      </c>
      <c r="F121" s="88" t="s">
        <v>106</v>
      </c>
      <c r="G121" s="22" t="s">
        <v>5</v>
      </c>
      <c r="H121" s="23"/>
      <c r="I121" s="91">
        <v>45636</v>
      </c>
      <c r="J121" s="25"/>
      <c r="K121" s="25"/>
      <c r="L121" s="25"/>
      <c r="M121" s="23"/>
      <c r="N121" s="23"/>
    </row>
    <row r="122" spans="1:14" s="24" customFormat="1" ht="145.19999999999999" x14ac:dyDescent="0.25">
      <c r="A122" s="84" t="str">
        <f>'Scenario Test'!$A$15</f>
        <v>FX_004</v>
      </c>
      <c r="B122" s="21" t="str">
        <f>VLOOKUP(TestCase!A122,'Scenario Test'!$A$5:$B$117,2,0)</f>
        <v>FX Deposit-Cash</v>
      </c>
      <c r="C122" s="20" t="s">
        <v>161</v>
      </c>
      <c r="D122" s="20"/>
      <c r="E122" s="86" t="s">
        <v>182</v>
      </c>
      <c r="F122" s="88" t="s">
        <v>106</v>
      </c>
      <c r="G122" s="22" t="s">
        <v>5</v>
      </c>
      <c r="H122" s="23"/>
      <c r="I122" s="91">
        <v>45636</v>
      </c>
      <c r="J122" s="25"/>
      <c r="K122" s="25"/>
      <c r="L122" s="25"/>
      <c r="M122" s="23"/>
      <c r="N122" s="23"/>
    </row>
    <row r="123" spans="1:14" s="24" customFormat="1" ht="145.19999999999999" x14ac:dyDescent="0.25">
      <c r="A123" s="84" t="str">
        <f>'Scenario Test'!$A$15</f>
        <v>FX_004</v>
      </c>
      <c r="B123" s="21" t="str">
        <f>VLOOKUP(TestCase!A123,'Scenario Test'!$A$5:$B$117,2,0)</f>
        <v>FX Deposit-Cash</v>
      </c>
      <c r="C123" s="20" t="s">
        <v>162</v>
      </c>
      <c r="D123" s="20"/>
      <c r="E123" s="86" t="s">
        <v>183</v>
      </c>
      <c r="F123" s="88" t="s">
        <v>106</v>
      </c>
      <c r="G123" s="22" t="s">
        <v>5</v>
      </c>
      <c r="H123" s="23"/>
      <c r="I123" s="91">
        <v>45636</v>
      </c>
      <c r="J123" s="25"/>
      <c r="K123" s="25"/>
      <c r="L123" s="25"/>
      <c r="M123" s="23"/>
      <c r="N123" s="23"/>
    </row>
    <row r="124" spans="1:14" s="24" customFormat="1" ht="145.19999999999999" x14ac:dyDescent="0.25">
      <c r="A124" s="84" t="str">
        <f>'Scenario Test'!$A$15</f>
        <v>FX_004</v>
      </c>
      <c r="B124" s="21" t="str">
        <f>VLOOKUP(TestCase!A124,'Scenario Test'!$A$5:$B$117,2,0)</f>
        <v>FX Deposit-Cash</v>
      </c>
      <c r="C124" s="20" t="s">
        <v>163</v>
      </c>
      <c r="D124" s="20"/>
      <c r="E124" s="86" t="s">
        <v>184</v>
      </c>
      <c r="F124" s="88" t="s">
        <v>106</v>
      </c>
      <c r="G124" s="22" t="s">
        <v>5</v>
      </c>
      <c r="H124" s="23"/>
      <c r="I124" s="91">
        <v>45636</v>
      </c>
      <c r="J124" s="25"/>
      <c r="K124" s="25"/>
      <c r="L124" s="25"/>
      <c r="M124" s="23"/>
      <c r="N124" s="23"/>
    </row>
    <row r="125" spans="1:14" s="24" customFormat="1" ht="158.4" x14ac:dyDescent="0.25">
      <c r="A125" s="84" t="str">
        <f>'Scenario Test'!$A$15</f>
        <v>FX_004</v>
      </c>
      <c r="B125" s="21" t="str">
        <f>VLOOKUP(TestCase!A125,'Scenario Test'!$A$5:$B$117,2,0)</f>
        <v>FX Deposit-Cash</v>
      </c>
      <c r="C125" s="20" t="s">
        <v>164</v>
      </c>
      <c r="D125" s="20"/>
      <c r="E125" s="86" t="s">
        <v>185</v>
      </c>
      <c r="F125" s="88" t="s">
        <v>106</v>
      </c>
      <c r="G125" s="22" t="s">
        <v>5</v>
      </c>
      <c r="H125" s="23"/>
      <c r="I125" s="91">
        <v>45636</v>
      </c>
      <c r="J125" s="25"/>
      <c r="K125" s="25"/>
      <c r="L125" s="25"/>
      <c r="M125" s="23"/>
      <c r="N125" s="23"/>
    </row>
    <row r="126" spans="1:14" s="24" customFormat="1" ht="211.2" x14ac:dyDescent="0.25">
      <c r="A126" s="84" t="str">
        <f>'Scenario Test'!$A$15</f>
        <v>FX_004</v>
      </c>
      <c r="B126" s="21" t="str">
        <f>VLOOKUP(TestCase!A126,'Scenario Test'!$A$5:$B$117,2,0)</f>
        <v>FX Deposit-Cash</v>
      </c>
      <c r="C126" s="20" t="s">
        <v>165</v>
      </c>
      <c r="D126" s="20"/>
      <c r="E126" s="86" t="s">
        <v>191</v>
      </c>
      <c r="F126" s="88" t="s">
        <v>106</v>
      </c>
      <c r="G126" s="22" t="s">
        <v>5</v>
      </c>
      <c r="H126" s="23"/>
      <c r="I126" s="91">
        <v>45636</v>
      </c>
      <c r="J126" s="25"/>
      <c r="K126" s="25"/>
      <c r="L126" s="25"/>
      <c r="M126" s="23"/>
      <c r="N126" s="23"/>
    </row>
    <row r="127" spans="1:14" s="24" customFormat="1" ht="211.2" x14ac:dyDescent="0.25">
      <c r="A127" s="84" t="str">
        <f>'Scenario Test'!$A$15</f>
        <v>FX_004</v>
      </c>
      <c r="B127" s="21" t="str">
        <f>VLOOKUP(TestCase!A127,'Scenario Test'!$A$5:$B$117,2,0)</f>
        <v>FX Deposit-Cash</v>
      </c>
      <c r="C127" s="20" t="s">
        <v>194</v>
      </c>
      <c r="D127" s="20"/>
      <c r="E127" s="86" t="s">
        <v>192</v>
      </c>
      <c r="F127" s="88" t="s">
        <v>106</v>
      </c>
      <c r="G127" s="22" t="s">
        <v>5</v>
      </c>
      <c r="H127" s="23"/>
      <c r="I127" s="91">
        <v>45636</v>
      </c>
      <c r="J127" s="25"/>
      <c r="K127" s="25"/>
      <c r="L127" s="25"/>
      <c r="M127" s="23"/>
      <c r="N127" s="23"/>
    </row>
    <row r="128" spans="1:14" s="24" customFormat="1" ht="211.2" x14ac:dyDescent="0.25">
      <c r="A128" s="84" t="str">
        <f>'Scenario Test'!$A$15</f>
        <v>FX_004</v>
      </c>
      <c r="B128" s="21" t="str">
        <f>VLOOKUP(TestCase!A128,'Scenario Test'!$A$5:$B$117,2,0)</f>
        <v>FX Deposit-Cash</v>
      </c>
      <c r="C128" s="20" t="s">
        <v>195</v>
      </c>
      <c r="D128" s="20"/>
      <c r="E128" s="86" t="s">
        <v>193</v>
      </c>
      <c r="F128" s="88" t="s">
        <v>106</v>
      </c>
      <c r="G128" s="22" t="s">
        <v>5</v>
      </c>
      <c r="H128" s="23"/>
      <c r="I128" s="91">
        <v>45636</v>
      </c>
      <c r="J128" s="25"/>
      <c r="K128" s="25"/>
      <c r="L128" s="25"/>
      <c r="M128" s="23"/>
      <c r="N128" s="23"/>
    </row>
    <row r="129" spans="1:14" s="24" customFormat="1" x14ac:dyDescent="0.25">
      <c r="A129" s="84" t="str">
        <f>'Scenario Test'!$A$15</f>
        <v>FX_004</v>
      </c>
      <c r="B129" s="21" t="str">
        <f>VLOOKUP(TestCase!A129,'Scenario Test'!$A$5:$B$117,2,0)</f>
        <v>FX Deposit-Cash</v>
      </c>
      <c r="C129" s="20" t="s">
        <v>196</v>
      </c>
      <c r="D129" s="20"/>
      <c r="E129" s="87" t="s">
        <v>94</v>
      </c>
      <c r="F129" s="88" t="s">
        <v>95</v>
      </c>
      <c r="G129" s="22" t="s">
        <v>5</v>
      </c>
      <c r="H129" s="23"/>
      <c r="I129" s="91">
        <v>45636</v>
      </c>
      <c r="J129" s="25"/>
      <c r="K129" s="25"/>
      <c r="L129" s="25"/>
      <c r="M129" s="23"/>
      <c r="N129" s="25"/>
    </row>
    <row r="130" spans="1:14" x14ac:dyDescent="0.25">
      <c r="A130" s="53" t="str">
        <f>'Scenario Test'!$A$16</f>
        <v>FX_005</v>
      </c>
      <c r="B130" s="54" t="str">
        <f>VLOOKUP(TestCase!A130,'Scenario Test'!$A$5:$B$117,2,0)</f>
        <v>FX Deposit-Deposit</v>
      </c>
      <c r="C130" s="53"/>
      <c r="D130" s="53"/>
      <c r="E130" s="53"/>
      <c r="F130" s="53"/>
      <c r="G130" s="55"/>
      <c r="H130" s="54"/>
      <c r="I130" s="55"/>
      <c r="J130" s="54"/>
      <c r="K130" s="54"/>
      <c r="L130" s="54"/>
      <c r="M130" s="54"/>
      <c r="N130" s="54"/>
    </row>
    <row r="131" spans="1:14" s="24" customFormat="1" ht="277.2" x14ac:dyDescent="0.25">
      <c r="A131" s="84" t="str">
        <f>'Scenario Test'!$A$16</f>
        <v>FX_005</v>
      </c>
      <c r="B131" s="21" t="str">
        <f>VLOOKUP(TestCase!A131,'Scenario Test'!$A$5:$B$117,2,0)</f>
        <v>FX Deposit-Deposit</v>
      </c>
      <c r="C131" s="20" t="s">
        <v>146</v>
      </c>
      <c r="D131" s="20"/>
      <c r="E131" s="86" t="s">
        <v>492</v>
      </c>
      <c r="F131" s="88" t="s">
        <v>95</v>
      </c>
      <c r="G131" s="22" t="s">
        <v>5</v>
      </c>
      <c r="H131" s="23"/>
      <c r="I131" s="91">
        <v>45636</v>
      </c>
      <c r="J131" s="25"/>
      <c r="K131" s="25"/>
      <c r="L131" s="25"/>
      <c r="M131" s="23"/>
      <c r="N131" s="23"/>
    </row>
    <row r="132" spans="1:14" s="24" customFormat="1" ht="277.2" x14ac:dyDescent="0.25">
      <c r="A132" s="84" t="str">
        <f>'Scenario Test'!$A$16</f>
        <v>FX_005</v>
      </c>
      <c r="B132" s="21" t="str">
        <f>VLOOKUP(TestCase!A132,'Scenario Test'!$A$5:$B$117,2,0)</f>
        <v>FX Deposit-Deposit</v>
      </c>
      <c r="C132" s="20" t="s">
        <v>147</v>
      </c>
      <c r="D132" s="20"/>
      <c r="E132" s="86" t="s">
        <v>493</v>
      </c>
      <c r="F132" s="88" t="s">
        <v>95</v>
      </c>
      <c r="G132" s="22" t="s">
        <v>5</v>
      </c>
      <c r="H132" s="23"/>
      <c r="I132" s="91">
        <v>45636</v>
      </c>
      <c r="J132" s="25"/>
      <c r="K132" s="25"/>
      <c r="L132" s="25"/>
      <c r="M132" s="23"/>
      <c r="N132" s="23"/>
    </row>
    <row r="133" spans="1:14" s="24" customFormat="1" ht="277.2" x14ac:dyDescent="0.25">
      <c r="A133" s="84" t="str">
        <f>'Scenario Test'!$A$16</f>
        <v>FX_005</v>
      </c>
      <c r="B133" s="21" t="str">
        <f>VLOOKUP(TestCase!A133,'Scenario Test'!$A$5:$B$117,2,0)</f>
        <v>FX Deposit-Deposit</v>
      </c>
      <c r="C133" s="20" t="s">
        <v>148</v>
      </c>
      <c r="D133" s="20"/>
      <c r="E133" s="86" t="s">
        <v>494</v>
      </c>
      <c r="F133" s="88" t="s">
        <v>95</v>
      </c>
      <c r="G133" s="22" t="s">
        <v>5</v>
      </c>
      <c r="H133" s="23"/>
      <c r="I133" s="91">
        <v>45636</v>
      </c>
      <c r="J133" s="25"/>
      <c r="K133" s="25"/>
      <c r="L133" s="25"/>
      <c r="M133" s="23"/>
      <c r="N133" s="23"/>
    </row>
    <row r="134" spans="1:14" s="24" customFormat="1" ht="277.2" x14ac:dyDescent="0.25">
      <c r="A134" s="84" t="str">
        <f>'Scenario Test'!$A$16</f>
        <v>FX_005</v>
      </c>
      <c r="B134" s="21" t="str">
        <f>VLOOKUP(TestCase!A134,'Scenario Test'!$A$5:$B$117,2,0)</f>
        <v>FX Deposit-Deposit</v>
      </c>
      <c r="C134" s="20" t="s">
        <v>166</v>
      </c>
      <c r="D134" s="20"/>
      <c r="E134" s="86" t="s">
        <v>495</v>
      </c>
      <c r="F134" s="88" t="s">
        <v>95</v>
      </c>
      <c r="G134" s="22" t="s">
        <v>5</v>
      </c>
      <c r="H134" s="23"/>
      <c r="I134" s="91">
        <v>45636</v>
      </c>
      <c r="J134" s="25"/>
      <c r="K134" s="25"/>
      <c r="L134" s="25"/>
      <c r="M134" s="23"/>
      <c r="N134" s="23"/>
    </row>
    <row r="135" spans="1:14" s="24" customFormat="1" ht="290.39999999999998" x14ac:dyDescent="0.25">
      <c r="A135" s="84" t="str">
        <f>'Scenario Test'!$A$16</f>
        <v>FX_005</v>
      </c>
      <c r="B135" s="21" t="str">
        <f>VLOOKUP(TestCase!A135,'Scenario Test'!$A$5:$B$117,2,0)</f>
        <v>FX Deposit-Deposit</v>
      </c>
      <c r="C135" s="20" t="s">
        <v>167</v>
      </c>
      <c r="D135" s="20"/>
      <c r="E135" s="86" t="s">
        <v>498</v>
      </c>
      <c r="F135" s="88" t="s">
        <v>95</v>
      </c>
      <c r="G135" s="22" t="s">
        <v>5</v>
      </c>
      <c r="H135" s="23"/>
      <c r="I135" s="91">
        <v>45636</v>
      </c>
      <c r="J135" s="25"/>
      <c r="K135" s="25"/>
      <c r="L135" s="25"/>
      <c r="M135" s="23"/>
      <c r="N135" s="23"/>
    </row>
    <row r="136" spans="1:14" s="24" customFormat="1" ht="330" x14ac:dyDescent="0.25">
      <c r="A136" s="84" t="str">
        <f>'Scenario Test'!$A$16</f>
        <v>FX_005</v>
      </c>
      <c r="B136" s="21" t="str">
        <f>VLOOKUP(TestCase!A136,'Scenario Test'!$A$5:$B$117,2,0)</f>
        <v>FX Deposit-Deposit</v>
      </c>
      <c r="C136" s="20" t="s">
        <v>168</v>
      </c>
      <c r="D136" s="20"/>
      <c r="E136" s="86" t="s">
        <v>499</v>
      </c>
      <c r="F136" s="88" t="s">
        <v>95</v>
      </c>
      <c r="G136" s="22" t="s">
        <v>5</v>
      </c>
      <c r="H136" s="23"/>
      <c r="I136" s="91">
        <v>45636</v>
      </c>
      <c r="J136" s="25"/>
      <c r="K136" s="25"/>
      <c r="L136" s="25"/>
      <c r="M136" s="23"/>
      <c r="N136" s="23"/>
    </row>
    <row r="137" spans="1:14" s="24" customFormat="1" x14ac:dyDescent="0.25">
      <c r="A137" s="84" t="str">
        <f>'Scenario Test'!$A$16</f>
        <v>FX_005</v>
      </c>
      <c r="B137" s="21" t="str">
        <f>VLOOKUP(TestCase!A137,'Scenario Test'!$A$5:$B$117,2,0)</f>
        <v>FX Deposit-Deposit</v>
      </c>
      <c r="C137" s="20" t="s">
        <v>169</v>
      </c>
      <c r="D137" s="20"/>
      <c r="E137" s="89" t="s">
        <v>99</v>
      </c>
      <c r="F137" s="88" t="s">
        <v>106</v>
      </c>
      <c r="G137" s="22" t="s">
        <v>5</v>
      </c>
      <c r="H137" s="23"/>
      <c r="I137" s="91">
        <v>45636</v>
      </c>
      <c r="J137" s="25"/>
      <c r="K137" s="25"/>
      <c r="L137" s="25"/>
      <c r="M137" s="23"/>
      <c r="N137" s="23"/>
    </row>
    <row r="138" spans="1:14" s="24" customFormat="1" x14ac:dyDescent="0.25">
      <c r="A138" s="84" t="str">
        <f>'Scenario Test'!$A$16</f>
        <v>FX_005</v>
      </c>
      <c r="B138" s="21" t="str">
        <f>VLOOKUP(TestCase!A138,'Scenario Test'!$A$5:$B$117,2,0)</f>
        <v>FX Deposit-Deposit</v>
      </c>
      <c r="C138" s="20" t="s">
        <v>170</v>
      </c>
      <c r="D138" s="20"/>
      <c r="E138" s="89" t="s">
        <v>100</v>
      </c>
      <c r="F138" s="88" t="s">
        <v>106</v>
      </c>
      <c r="G138" s="22" t="s">
        <v>5</v>
      </c>
      <c r="H138" s="23"/>
      <c r="I138" s="91">
        <v>45636</v>
      </c>
      <c r="J138" s="25"/>
      <c r="K138" s="25"/>
      <c r="L138" s="25"/>
      <c r="M138" s="23"/>
      <c r="N138" s="23"/>
    </row>
    <row r="139" spans="1:14" s="24" customFormat="1" x14ac:dyDescent="0.25">
      <c r="A139" s="84" t="str">
        <f>'Scenario Test'!$A$16</f>
        <v>FX_005</v>
      </c>
      <c r="B139" s="21" t="str">
        <f>VLOOKUP(TestCase!A139,'Scenario Test'!$A$5:$B$117,2,0)</f>
        <v>FX Deposit-Deposit</v>
      </c>
      <c r="C139" s="20" t="s">
        <v>171</v>
      </c>
      <c r="D139" s="20"/>
      <c r="E139" s="89" t="s">
        <v>123</v>
      </c>
      <c r="F139" s="88" t="s">
        <v>106</v>
      </c>
      <c r="G139" s="22" t="s">
        <v>5</v>
      </c>
      <c r="H139" s="23"/>
      <c r="I139" s="91">
        <v>45636</v>
      </c>
      <c r="J139" s="25"/>
      <c r="K139" s="25"/>
      <c r="L139" s="25"/>
      <c r="M139" s="23"/>
      <c r="N139" s="23"/>
    </row>
    <row r="140" spans="1:14" s="24" customFormat="1" x14ac:dyDescent="0.25">
      <c r="A140" s="84" t="str">
        <f>'Scenario Test'!$A$16</f>
        <v>FX_005</v>
      </c>
      <c r="B140" s="21" t="str">
        <f>VLOOKUP(TestCase!A140,'Scenario Test'!$A$5:$B$117,2,0)</f>
        <v>FX Deposit-Deposit</v>
      </c>
      <c r="C140" s="20" t="s">
        <v>172</v>
      </c>
      <c r="D140" s="20"/>
      <c r="E140" s="89" t="s">
        <v>124</v>
      </c>
      <c r="F140" s="88" t="s">
        <v>106</v>
      </c>
      <c r="G140" s="22" t="s">
        <v>5</v>
      </c>
      <c r="H140" s="23"/>
      <c r="I140" s="91">
        <v>45636</v>
      </c>
      <c r="J140" s="25"/>
      <c r="K140" s="25"/>
      <c r="L140" s="25"/>
      <c r="M140" s="23"/>
      <c r="N140" s="23"/>
    </row>
    <row r="141" spans="1:14" s="24" customFormat="1" x14ac:dyDescent="0.25">
      <c r="A141" s="84" t="str">
        <f>'Scenario Test'!$A$16</f>
        <v>FX_005</v>
      </c>
      <c r="B141" s="21" t="str">
        <f>VLOOKUP(TestCase!A141,'Scenario Test'!$A$5:$B$117,2,0)</f>
        <v>FX Deposit-Deposit</v>
      </c>
      <c r="C141" s="20" t="s">
        <v>173</v>
      </c>
      <c r="D141" s="20"/>
      <c r="E141" s="89" t="s">
        <v>125</v>
      </c>
      <c r="F141" s="88" t="s">
        <v>106</v>
      </c>
      <c r="G141" s="22" t="s">
        <v>5</v>
      </c>
      <c r="H141" s="23"/>
      <c r="I141" s="91">
        <v>45636</v>
      </c>
      <c r="J141" s="25"/>
      <c r="K141" s="25"/>
      <c r="L141" s="25"/>
      <c r="M141" s="23"/>
      <c r="N141" s="25"/>
    </row>
    <row r="142" spans="1:14" s="24" customFormat="1" x14ac:dyDescent="0.25">
      <c r="A142" s="84" t="str">
        <f>'Scenario Test'!$A$16</f>
        <v>FX_005</v>
      </c>
      <c r="B142" s="21" t="str">
        <f>VLOOKUP(TestCase!A142,'Scenario Test'!$A$5:$B$117,2,0)</f>
        <v>FX Deposit-Deposit</v>
      </c>
      <c r="C142" s="20" t="s">
        <v>174</v>
      </c>
      <c r="D142" s="20"/>
      <c r="E142" s="89" t="s">
        <v>126</v>
      </c>
      <c r="F142" s="88" t="s">
        <v>106</v>
      </c>
      <c r="G142" s="22" t="s">
        <v>5</v>
      </c>
      <c r="H142" s="23"/>
      <c r="I142" s="91">
        <v>45636</v>
      </c>
      <c r="J142" s="25"/>
      <c r="K142" s="25"/>
      <c r="L142" s="25"/>
      <c r="M142" s="23"/>
      <c r="N142" s="25"/>
    </row>
    <row r="143" spans="1:14" s="24" customFormat="1" ht="145.19999999999999" x14ac:dyDescent="0.25">
      <c r="A143" s="84" t="str">
        <f>'Scenario Test'!$A$16</f>
        <v>FX_005</v>
      </c>
      <c r="B143" s="21" t="str">
        <f>VLOOKUP(TestCase!A143,'Scenario Test'!$A$5:$B$117,2,0)</f>
        <v>FX Deposit-Deposit</v>
      </c>
      <c r="C143" s="20" t="s">
        <v>175</v>
      </c>
      <c r="D143" s="20"/>
      <c r="E143" s="86" t="s">
        <v>277</v>
      </c>
      <c r="F143" s="88" t="s">
        <v>106</v>
      </c>
      <c r="G143" s="22" t="s">
        <v>5</v>
      </c>
      <c r="H143" s="23"/>
      <c r="I143" s="91">
        <v>45636</v>
      </c>
      <c r="J143" s="25"/>
      <c r="K143" s="25"/>
      <c r="L143" s="25"/>
      <c r="M143" s="23"/>
      <c r="N143" s="23"/>
    </row>
    <row r="144" spans="1:14" s="24" customFormat="1" ht="145.19999999999999" x14ac:dyDescent="0.25">
      <c r="A144" s="84" t="str">
        <f>'Scenario Test'!$A$16</f>
        <v>FX_005</v>
      </c>
      <c r="B144" s="21" t="str">
        <f>VLOOKUP(TestCase!A144,'Scenario Test'!$A$5:$B$117,2,0)</f>
        <v>FX Deposit-Deposit</v>
      </c>
      <c r="C144" s="20" t="s">
        <v>176</v>
      </c>
      <c r="D144" s="20"/>
      <c r="E144" s="86" t="s">
        <v>278</v>
      </c>
      <c r="F144" s="88" t="s">
        <v>106</v>
      </c>
      <c r="G144" s="22" t="s">
        <v>5</v>
      </c>
      <c r="H144" s="23"/>
      <c r="I144" s="91">
        <v>45636</v>
      </c>
      <c r="J144" s="25"/>
      <c r="K144" s="25"/>
      <c r="L144" s="25"/>
      <c r="M144" s="23"/>
      <c r="N144" s="23"/>
    </row>
    <row r="145" spans="1:14" s="24" customFormat="1" ht="145.19999999999999" x14ac:dyDescent="0.25">
      <c r="A145" s="84" t="str">
        <f>'Scenario Test'!$A$16</f>
        <v>FX_005</v>
      </c>
      <c r="B145" s="21" t="str">
        <f>VLOOKUP(TestCase!A145,'Scenario Test'!$A$5:$B$117,2,0)</f>
        <v>FX Deposit-Deposit</v>
      </c>
      <c r="C145" s="20" t="s">
        <v>177</v>
      </c>
      <c r="D145" s="20"/>
      <c r="E145" s="86" t="s">
        <v>279</v>
      </c>
      <c r="F145" s="88" t="s">
        <v>106</v>
      </c>
      <c r="G145" s="22" t="s">
        <v>5</v>
      </c>
      <c r="H145" s="23"/>
      <c r="I145" s="91">
        <v>45636</v>
      </c>
      <c r="J145" s="25"/>
      <c r="K145" s="25"/>
      <c r="L145" s="25"/>
      <c r="M145" s="23"/>
      <c r="N145" s="23"/>
    </row>
    <row r="146" spans="1:14" s="24" customFormat="1" ht="132" x14ac:dyDescent="0.25">
      <c r="A146" s="84" t="str">
        <f>'Scenario Test'!$A$16</f>
        <v>FX_005</v>
      </c>
      <c r="B146" s="21" t="str">
        <f>VLOOKUP(TestCase!A146,'Scenario Test'!$A$5:$B$117,2,0)</f>
        <v>FX Deposit-Deposit</v>
      </c>
      <c r="C146" s="20" t="s">
        <v>178</v>
      </c>
      <c r="D146" s="20"/>
      <c r="E146" s="86" t="s">
        <v>189</v>
      </c>
      <c r="F146" s="88" t="s">
        <v>106</v>
      </c>
      <c r="G146" s="22" t="s">
        <v>5</v>
      </c>
      <c r="H146" s="23"/>
      <c r="I146" s="91">
        <v>45636</v>
      </c>
      <c r="J146" s="25"/>
      <c r="K146" s="25"/>
      <c r="L146" s="25"/>
      <c r="M146" s="23"/>
      <c r="N146" s="23"/>
    </row>
    <row r="147" spans="1:14" s="24" customFormat="1" ht="145.19999999999999" x14ac:dyDescent="0.25">
      <c r="A147" s="84" t="str">
        <f>'Scenario Test'!$A$16</f>
        <v>FX_005</v>
      </c>
      <c r="B147" s="21" t="str">
        <f>VLOOKUP(TestCase!A147,'Scenario Test'!$A$5:$B$117,2,0)</f>
        <v>FX Deposit-Deposit</v>
      </c>
      <c r="C147" s="20" t="s">
        <v>179</v>
      </c>
      <c r="D147" s="20"/>
      <c r="E147" s="86" t="s">
        <v>281</v>
      </c>
      <c r="F147" s="88" t="s">
        <v>106</v>
      </c>
      <c r="G147" s="22" t="s">
        <v>5</v>
      </c>
      <c r="H147" s="23"/>
      <c r="I147" s="91">
        <v>45636</v>
      </c>
      <c r="J147" s="25"/>
      <c r="K147" s="25"/>
      <c r="L147" s="25"/>
      <c r="M147" s="23"/>
      <c r="N147" s="23"/>
    </row>
    <row r="148" spans="1:14" s="24" customFormat="1" ht="145.19999999999999" x14ac:dyDescent="0.25">
      <c r="A148" s="84" t="str">
        <f>'Scenario Test'!$A$16</f>
        <v>FX_005</v>
      </c>
      <c r="B148" s="21" t="str">
        <f>VLOOKUP(TestCase!A148,'Scenario Test'!$A$5:$B$117,2,0)</f>
        <v>FX Deposit-Deposit</v>
      </c>
      <c r="C148" s="20" t="s">
        <v>180</v>
      </c>
      <c r="D148" s="20"/>
      <c r="E148" s="86" t="s">
        <v>280</v>
      </c>
      <c r="F148" s="88" t="s">
        <v>106</v>
      </c>
      <c r="G148" s="22" t="s">
        <v>5</v>
      </c>
      <c r="H148" s="23"/>
      <c r="I148" s="91">
        <v>45636</v>
      </c>
      <c r="J148" s="25"/>
      <c r="K148" s="25"/>
      <c r="L148" s="25"/>
      <c r="M148" s="23"/>
      <c r="N148" s="23"/>
    </row>
    <row r="149" spans="1:14" s="24" customFormat="1" ht="145.19999999999999" x14ac:dyDescent="0.25">
      <c r="A149" s="84" t="str">
        <f>'Scenario Test'!$A$16</f>
        <v>FX_005</v>
      </c>
      <c r="B149" s="21" t="str">
        <f>VLOOKUP(TestCase!A149,'Scenario Test'!$A$5:$B$117,2,0)</f>
        <v>FX Deposit-Deposit</v>
      </c>
      <c r="C149" s="20" t="s">
        <v>187</v>
      </c>
      <c r="D149" s="20"/>
      <c r="E149" s="86" t="s">
        <v>190</v>
      </c>
      <c r="F149" s="88" t="s">
        <v>106</v>
      </c>
      <c r="G149" s="22" t="s">
        <v>5</v>
      </c>
      <c r="H149" s="23"/>
      <c r="I149" s="91">
        <v>45636</v>
      </c>
      <c r="J149" s="25"/>
      <c r="K149" s="25"/>
      <c r="L149" s="25"/>
      <c r="M149" s="23"/>
      <c r="N149" s="23"/>
    </row>
    <row r="150" spans="1:14" s="24" customFormat="1" ht="198" x14ac:dyDescent="0.25">
      <c r="A150" s="84" t="str">
        <f>'Scenario Test'!$A$16</f>
        <v>FX_005</v>
      </c>
      <c r="B150" s="21" t="str">
        <f>VLOOKUP(TestCase!A150,'Scenario Test'!$A$5:$B$117,2,0)</f>
        <v>FX Deposit-Deposit</v>
      </c>
      <c r="C150" s="20" t="s">
        <v>188</v>
      </c>
      <c r="D150" s="20"/>
      <c r="E150" s="86" t="s">
        <v>197</v>
      </c>
      <c r="F150" s="88" t="s">
        <v>106</v>
      </c>
      <c r="G150" s="22" t="s">
        <v>5</v>
      </c>
      <c r="H150" s="23"/>
      <c r="I150" s="91">
        <v>45636</v>
      </c>
      <c r="J150" s="25"/>
      <c r="K150" s="25"/>
      <c r="L150" s="25"/>
      <c r="M150" s="23"/>
      <c r="N150" s="23"/>
    </row>
    <row r="151" spans="1:14" s="24" customFormat="1" ht="198" x14ac:dyDescent="0.25">
      <c r="A151" s="84" t="str">
        <f>'Scenario Test'!$A$16</f>
        <v>FX_005</v>
      </c>
      <c r="B151" s="21" t="str">
        <f>VLOOKUP(TestCase!A151,'Scenario Test'!$A$5:$B$117,2,0)</f>
        <v>FX Deposit-Deposit</v>
      </c>
      <c r="C151" s="20" t="s">
        <v>200</v>
      </c>
      <c r="D151" s="20"/>
      <c r="E151" s="86" t="s">
        <v>198</v>
      </c>
      <c r="F151" s="88" t="s">
        <v>106</v>
      </c>
      <c r="G151" s="22" t="s">
        <v>5</v>
      </c>
      <c r="H151" s="23"/>
      <c r="I151" s="91">
        <v>45636</v>
      </c>
      <c r="J151" s="25"/>
      <c r="K151" s="25"/>
      <c r="L151" s="25"/>
      <c r="M151" s="23"/>
      <c r="N151" s="23"/>
    </row>
    <row r="152" spans="1:14" s="24" customFormat="1" ht="198" x14ac:dyDescent="0.25">
      <c r="A152" s="84" t="str">
        <f>'Scenario Test'!$A$16</f>
        <v>FX_005</v>
      </c>
      <c r="B152" s="21" t="str">
        <f>VLOOKUP(TestCase!A152,'Scenario Test'!$A$5:$B$117,2,0)</f>
        <v>FX Deposit-Deposit</v>
      </c>
      <c r="C152" s="20" t="s">
        <v>201</v>
      </c>
      <c r="D152" s="20"/>
      <c r="E152" s="86" t="s">
        <v>199</v>
      </c>
      <c r="F152" s="88" t="s">
        <v>106</v>
      </c>
      <c r="G152" s="22" t="s">
        <v>5</v>
      </c>
      <c r="H152" s="23"/>
      <c r="I152" s="91">
        <v>45636</v>
      </c>
      <c r="J152" s="25"/>
      <c r="K152" s="25"/>
      <c r="L152" s="25"/>
      <c r="M152" s="23"/>
      <c r="N152" s="23"/>
    </row>
    <row r="153" spans="1:14" s="24" customFormat="1" x14ac:dyDescent="0.25">
      <c r="A153" s="84" t="str">
        <f>'Scenario Test'!$A$16</f>
        <v>FX_005</v>
      </c>
      <c r="B153" s="21" t="str">
        <f>VLOOKUP(TestCase!A153,'Scenario Test'!$A$5:$B$117,2,0)</f>
        <v>FX Deposit-Deposit</v>
      </c>
      <c r="C153" s="20" t="s">
        <v>282</v>
      </c>
      <c r="D153" s="20"/>
      <c r="E153" s="87" t="s">
        <v>94</v>
      </c>
      <c r="F153" s="88" t="s">
        <v>95</v>
      </c>
      <c r="G153" s="22" t="s">
        <v>5</v>
      </c>
      <c r="H153" s="23"/>
      <c r="I153" s="91">
        <v>45636</v>
      </c>
      <c r="J153" s="25"/>
      <c r="K153" s="25"/>
      <c r="L153" s="25"/>
      <c r="M153" s="23"/>
      <c r="N153" s="25"/>
    </row>
    <row r="154" spans="1:14" x14ac:dyDescent="0.25">
      <c r="A154" s="53" t="str">
        <f>'Scenario Test'!$A$17</f>
        <v>FX_006</v>
      </c>
      <c r="B154" s="54" t="str">
        <f>VLOOKUP(TestCase!A154,'Scenario Test'!$A$5:$B$117,2,0)</f>
        <v>FX Deposit-GL</v>
      </c>
      <c r="C154" s="53"/>
      <c r="D154" s="53"/>
      <c r="E154" s="53"/>
      <c r="F154" s="53"/>
      <c r="G154" s="55"/>
      <c r="H154" s="54"/>
      <c r="I154" s="55"/>
      <c r="J154" s="54"/>
      <c r="K154" s="54"/>
      <c r="L154" s="54"/>
      <c r="M154" s="54"/>
      <c r="N154" s="54"/>
    </row>
    <row r="155" spans="1:14" s="24" customFormat="1" ht="290.39999999999998" x14ac:dyDescent="0.25">
      <c r="A155" s="84" t="str">
        <f>'Scenario Test'!$A$17</f>
        <v>FX_006</v>
      </c>
      <c r="B155" s="21" t="str">
        <f>VLOOKUP(TestCase!A155,'Scenario Test'!$A$5:$B$117,2,0)</f>
        <v>FX Deposit-GL</v>
      </c>
      <c r="C155" s="20" t="s">
        <v>149</v>
      </c>
      <c r="D155" s="20"/>
      <c r="E155" s="86" t="s">
        <v>500</v>
      </c>
      <c r="F155" s="88" t="s">
        <v>95</v>
      </c>
      <c r="G155" s="22" t="s">
        <v>5</v>
      </c>
      <c r="H155" s="23"/>
      <c r="I155" s="91">
        <v>45636</v>
      </c>
      <c r="J155" s="25"/>
      <c r="K155" s="25"/>
      <c r="L155" s="25"/>
      <c r="M155" s="23"/>
      <c r="N155" s="23"/>
    </row>
    <row r="156" spans="1:14" s="24" customFormat="1" ht="290.39999999999998" x14ac:dyDescent="0.25">
      <c r="A156" s="84" t="str">
        <f>'Scenario Test'!$A$17</f>
        <v>FX_006</v>
      </c>
      <c r="B156" s="21" t="str">
        <f>VLOOKUP(TestCase!A156,'Scenario Test'!$A$5:$B$117,2,0)</f>
        <v>FX Deposit-GL</v>
      </c>
      <c r="C156" s="20" t="s">
        <v>150</v>
      </c>
      <c r="D156" s="20"/>
      <c r="E156" s="86" t="s">
        <v>501</v>
      </c>
      <c r="F156" s="88" t="s">
        <v>95</v>
      </c>
      <c r="G156" s="22" t="s">
        <v>5</v>
      </c>
      <c r="H156" s="23"/>
      <c r="I156" s="91">
        <v>45636</v>
      </c>
      <c r="J156" s="25"/>
      <c r="K156" s="25"/>
      <c r="L156" s="25"/>
      <c r="M156" s="23"/>
      <c r="N156" s="23"/>
    </row>
    <row r="157" spans="1:14" s="24" customFormat="1" ht="290.39999999999998" x14ac:dyDescent="0.25">
      <c r="A157" s="84" t="str">
        <f>'Scenario Test'!$A$17</f>
        <v>FX_006</v>
      </c>
      <c r="B157" s="21" t="str">
        <f>VLOOKUP(TestCase!A157,'Scenario Test'!$A$5:$B$117,2,0)</f>
        <v>FX Deposit-GL</v>
      </c>
      <c r="C157" s="20" t="s">
        <v>151</v>
      </c>
      <c r="D157" s="20"/>
      <c r="E157" s="86" t="s">
        <v>502</v>
      </c>
      <c r="F157" s="88" t="s">
        <v>95</v>
      </c>
      <c r="G157" s="22" t="s">
        <v>5</v>
      </c>
      <c r="H157" s="23"/>
      <c r="I157" s="91">
        <v>45636</v>
      </c>
      <c r="J157" s="25"/>
      <c r="K157" s="25"/>
      <c r="L157" s="25"/>
      <c r="M157" s="23"/>
      <c r="N157" s="23"/>
    </row>
    <row r="158" spans="1:14" s="24" customFormat="1" ht="290.39999999999998" x14ac:dyDescent="0.25">
      <c r="A158" s="84" t="str">
        <f>'Scenario Test'!$A$17</f>
        <v>FX_006</v>
      </c>
      <c r="B158" s="21" t="str">
        <f>VLOOKUP(TestCase!A158,'Scenario Test'!$A$5:$B$117,2,0)</f>
        <v>FX Deposit-GL</v>
      </c>
      <c r="C158" s="20" t="s">
        <v>202</v>
      </c>
      <c r="D158" s="20"/>
      <c r="E158" s="86" t="s">
        <v>503</v>
      </c>
      <c r="F158" s="88" t="s">
        <v>95</v>
      </c>
      <c r="G158" s="22" t="s">
        <v>5</v>
      </c>
      <c r="H158" s="23"/>
      <c r="I158" s="91">
        <v>45636</v>
      </c>
      <c r="J158" s="25"/>
      <c r="K158" s="25"/>
      <c r="L158" s="25"/>
      <c r="M158" s="23"/>
      <c r="N158" s="23"/>
    </row>
    <row r="159" spans="1:14" s="24" customFormat="1" ht="303.60000000000002" x14ac:dyDescent="0.25">
      <c r="A159" s="84" t="str">
        <f>'Scenario Test'!$A$17</f>
        <v>FX_006</v>
      </c>
      <c r="B159" s="21" t="str">
        <f>VLOOKUP(TestCase!A159,'Scenario Test'!$A$5:$B$117,2,0)</f>
        <v>FX Deposit-GL</v>
      </c>
      <c r="C159" s="20" t="s">
        <v>203</v>
      </c>
      <c r="D159" s="20"/>
      <c r="E159" s="86" t="s">
        <v>504</v>
      </c>
      <c r="F159" s="88" t="s">
        <v>95</v>
      </c>
      <c r="G159" s="22" t="s">
        <v>5</v>
      </c>
      <c r="H159" s="23"/>
      <c r="I159" s="91">
        <v>45636</v>
      </c>
      <c r="J159" s="25"/>
      <c r="K159" s="25"/>
      <c r="L159" s="25"/>
      <c r="M159" s="23"/>
      <c r="N159" s="23"/>
    </row>
    <row r="160" spans="1:14" s="24" customFormat="1" ht="343.2" x14ac:dyDescent="0.25">
      <c r="A160" s="84" t="str">
        <f>'Scenario Test'!$A$17</f>
        <v>FX_006</v>
      </c>
      <c r="B160" s="21" t="str">
        <f>VLOOKUP(TestCase!A160,'Scenario Test'!$A$5:$B$117,2,0)</f>
        <v>FX Deposit-GL</v>
      </c>
      <c r="C160" s="20" t="s">
        <v>204</v>
      </c>
      <c r="D160" s="20"/>
      <c r="E160" s="86" t="s">
        <v>478</v>
      </c>
      <c r="F160" s="88" t="s">
        <v>95</v>
      </c>
      <c r="G160" s="22" t="s">
        <v>5</v>
      </c>
      <c r="H160" s="23"/>
      <c r="I160" s="91">
        <v>45636</v>
      </c>
      <c r="J160" s="25"/>
      <c r="K160" s="25"/>
      <c r="L160" s="25"/>
      <c r="M160" s="23"/>
      <c r="N160" s="23"/>
    </row>
    <row r="161" spans="1:14" s="24" customFormat="1" x14ac:dyDescent="0.25">
      <c r="A161" s="84" t="str">
        <f>'Scenario Test'!$A$17</f>
        <v>FX_006</v>
      </c>
      <c r="B161" s="21" t="str">
        <f>VLOOKUP(TestCase!A161,'Scenario Test'!$A$5:$B$117,2,0)</f>
        <v>FX Deposit-GL</v>
      </c>
      <c r="C161" s="20" t="s">
        <v>205</v>
      </c>
      <c r="D161" s="20"/>
      <c r="E161" s="89" t="s">
        <v>99</v>
      </c>
      <c r="F161" s="88" t="s">
        <v>106</v>
      </c>
      <c r="G161" s="22" t="s">
        <v>5</v>
      </c>
      <c r="H161" s="23"/>
      <c r="I161" s="91">
        <v>45636</v>
      </c>
      <c r="J161" s="25"/>
      <c r="K161" s="25"/>
      <c r="L161" s="25"/>
      <c r="M161" s="23"/>
      <c r="N161" s="23"/>
    </row>
    <row r="162" spans="1:14" s="24" customFormat="1" x14ac:dyDescent="0.25">
      <c r="A162" s="84" t="str">
        <f>'Scenario Test'!$A$17</f>
        <v>FX_006</v>
      </c>
      <c r="B162" s="21" t="str">
        <f>VLOOKUP(TestCase!A162,'Scenario Test'!$A$5:$B$117,2,0)</f>
        <v>FX Deposit-GL</v>
      </c>
      <c r="C162" s="20" t="s">
        <v>206</v>
      </c>
      <c r="D162" s="20"/>
      <c r="E162" s="89" t="s">
        <v>100</v>
      </c>
      <c r="F162" s="88" t="s">
        <v>106</v>
      </c>
      <c r="G162" s="22" t="s">
        <v>5</v>
      </c>
      <c r="H162" s="23"/>
      <c r="I162" s="91">
        <v>45636</v>
      </c>
      <c r="J162" s="25"/>
      <c r="K162" s="25"/>
      <c r="L162" s="25"/>
      <c r="M162" s="23"/>
      <c r="N162" s="23"/>
    </row>
    <row r="163" spans="1:14" s="24" customFormat="1" x14ac:dyDescent="0.25">
      <c r="A163" s="84" t="str">
        <f>'Scenario Test'!$A$17</f>
        <v>FX_006</v>
      </c>
      <c r="B163" s="21" t="str">
        <f>VLOOKUP(TestCase!A163,'Scenario Test'!$A$5:$B$117,2,0)</f>
        <v>FX Deposit-GL</v>
      </c>
      <c r="C163" s="20" t="s">
        <v>207</v>
      </c>
      <c r="D163" s="20"/>
      <c r="E163" s="89" t="s">
        <v>123</v>
      </c>
      <c r="F163" s="88" t="s">
        <v>106</v>
      </c>
      <c r="G163" s="22" t="s">
        <v>5</v>
      </c>
      <c r="H163" s="23"/>
      <c r="I163" s="91">
        <v>45636</v>
      </c>
      <c r="J163" s="25"/>
      <c r="K163" s="25"/>
      <c r="L163" s="25"/>
      <c r="M163" s="23"/>
      <c r="N163" s="23"/>
    </row>
    <row r="164" spans="1:14" s="24" customFormat="1" x14ac:dyDescent="0.25">
      <c r="A164" s="84" t="str">
        <f>'Scenario Test'!$A$17</f>
        <v>FX_006</v>
      </c>
      <c r="B164" s="21" t="str">
        <f>VLOOKUP(TestCase!A164,'Scenario Test'!$A$5:$B$117,2,0)</f>
        <v>FX Deposit-GL</v>
      </c>
      <c r="C164" s="20" t="s">
        <v>208</v>
      </c>
      <c r="D164" s="20"/>
      <c r="E164" s="89" t="s">
        <v>124</v>
      </c>
      <c r="F164" s="88" t="s">
        <v>106</v>
      </c>
      <c r="G164" s="22" t="s">
        <v>5</v>
      </c>
      <c r="H164" s="23"/>
      <c r="I164" s="91">
        <v>45636</v>
      </c>
      <c r="J164" s="25"/>
      <c r="K164" s="25"/>
      <c r="L164" s="25"/>
      <c r="M164" s="23"/>
      <c r="N164" s="23"/>
    </row>
    <row r="165" spans="1:14" s="24" customFormat="1" x14ac:dyDescent="0.25">
      <c r="A165" s="84" t="str">
        <f>'Scenario Test'!$A$17</f>
        <v>FX_006</v>
      </c>
      <c r="B165" s="21" t="str">
        <f>VLOOKUP(TestCase!A165,'Scenario Test'!$A$5:$B$117,2,0)</f>
        <v>FX Deposit-GL</v>
      </c>
      <c r="C165" s="20" t="s">
        <v>209</v>
      </c>
      <c r="D165" s="20"/>
      <c r="E165" s="89" t="s">
        <v>125</v>
      </c>
      <c r="F165" s="88" t="s">
        <v>106</v>
      </c>
      <c r="G165" s="22" t="s">
        <v>5</v>
      </c>
      <c r="H165" s="23"/>
      <c r="I165" s="91">
        <v>45636</v>
      </c>
      <c r="J165" s="25"/>
      <c r="K165" s="25"/>
      <c r="L165" s="25"/>
      <c r="M165" s="23"/>
      <c r="N165" s="25"/>
    </row>
    <row r="166" spans="1:14" s="24" customFormat="1" x14ac:dyDescent="0.25">
      <c r="A166" s="84" t="str">
        <f>'Scenario Test'!$A$17</f>
        <v>FX_006</v>
      </c>
      <c r="B166" s="21" t="str">
        <f>VLOOKUP(TestCase!A166,'Scenario Test'!$A$5:$B$117,2,0)</f>
        <v>FX Deposit-GL</v>
      </c>
      <c r="C166" s="20" t="s">
        <v>210</v>
      </c>
      <c r="D166" s="20"/>
      <c r="E166" s="89" t="s">
        <v>126</v>
      </c>
      <c r="F166" s="88" t="s">
        <v>106</v>
      </c>
      <c r="G166" s="22" t="s">
        <v>5</v>
      </c>
      <c r="H166" s="23"/>
      <c r="I166" s="91">
        <v>45636</v>
      </c>
      <c r="J166" s="25"/>
      <c r="K166" s="25"/>
      <c r="L166" s="25"/>
      <c r="M166" s="23"/>
      <c r="N166" s="25"/>
    </row>
    <row r="167" spans="1:14" s="24" customFormat="1" ht="158.4" x14ac:dyDescent="0.25">
      <c r="A167" s="84" t="str">
        <f>'Scenario Test'!$A$17</f>
        <v>FX_006</v>
      </c>
      <c r="B167" s="21" t="str">
        <f>VLOOKUP(TestCase!A167,'Scenario Test'!$A$5:$B$117,2,0)</f>
        <v>FX Deposit-GL</v>
      </c>
      <c r="C167" s="20" t="s">
        <v>211</v>
      </c>
      <c r="D167" s="20"/>
      <c r="E167" s="86" t="s">
        <v>223</v>
      </c>
      <c r="F167" s="88" t="s">
        <v>106</v>
      </c>
      <c r="G167" s="22" t="s">
        <v>5</v>
      </c>
      <c r="H167" s="23"/>
      <c r="I167" s="91">
        <v>45636</v>
      </c>
      <c r="J167" s="25"/>
      <c r="K167" s="25"/>
      <c r="L167" s="25"/>
      <c r="M167" s="23"/>
      <c r="N167" s="23"/>
    </row>
    <row r="168" spans="1:14" s="24" customFormat="1" ht="158.4" x14ac:dyDescent="0.25">
      <c r="A168" s="84" t="str">
        <f>'Scenario Test'!$A$17</f>
        <v>FX_006</v>
      </c>
      <c r="B168" s="21" t="str">
        <f>VLOOKUP(TestCase!A168,'Scenario Test'!$A$5:$B$117,2,0)</f>
        <v>FX Deposit-GL</v>
      </c>
      <c r="C168" s="20" t="s">
        <v>212</v>
      </c>
      <c r="D168" s="20"/>
      <c r="E168" s="86" t="s">
        <v>221</v>
      </c>
      <c r="F168" s="88" t="s">
        <v>106</v>
      </c>
      <c r="G168" s="22" t="s">
        <v>5</v>
      </c>
      <c r="H168" s="23"/>
      <c r="I168" s="91">
        <v>45636</v>
      </c>
      <c r="J168" s="25"/>
      <c r="K168" s="25"/>
      <c r="L168" s="25"/>
      <c r="M168" s="23"/>
      <c r="N168" s="23"/>
    </row>
    <row r="169" spans="1:14" s="24" customFormat="1" ht="158.4" x14ac:dyDescent="0.25">
      <c r="A169" s="84" t="str">
        <f>'Scenario Test'!$A$17</f>
        <v>FX_006</v>
      </c>
      <c r="B169" s="21" t="str">
        <f>VLOOKUP(TestCase!A169,'Scenario Test'!$A$5:$B$117,2,0)</f>
        <v>FX Deposit-GL</v>
      </c>
      <c r="C169" s="20" t="s">
        <v>213</v>
      </c>
      <c r="D169" s="20"/>
      <c r="E169" s="86" t="s">
        <v>222</v>
      </c>
      <c r="F169" s="88" t="s">
        <v>106</v>
      </c>
      <c r="G169" s="22" t="s">
        <v>5</v>
      </c>
      <c r="H169" s="23"/>
      <c r="I169" s="91">
        <v>45636</v>
      </c>
      <c r="J169" s="25"/>
      <c r="K169" s="25"/>
      <c r="L169" s="25"/>
      <c r="M169" s="23"/>
      <c r="N169" s="23"/>
    </row>
    <row r="170" spans="1:14" s="24" customFormat="1" ht="158.4" x14ac:dyDescent="0.25">
      <c r="A170" s="84" t="str">
        <f>'Scenario Test'!$A$17</f>
        <v>FX_006</v>
      </c>
      <c r="B170" s="21" t="str">
        <f>VLOOKUP(TestCase!A170,'Scenario Test'!$A$5:$B$117,2,0)</f>
        <v>FX Deposit-GL</v>
      </c>
      <c r="C170" s="20" t="s">
        <v>214</v>
      </c>
      <c r="D170" s="20"/>
      <c r="E170" s="86" t="s">
        <v>224</v>
      </c>
      <c r="F170" s="88" t="s">
        <v>106</v>
      </c>
      <c r="G170" s="22" t="s">
        <v>5</v>
      </c>
      <c r="H170" s="23"/>
      <c r="I170" s="91">
        <v>45636</v>
      </c>
      <c r="J170" s="25"/>
      <c r="K170" s="25"/>
      <c r="L170" s="25"/>
      <c r="M170" s="23"/>
      <c r="N170" s="23"/>
    </row>
    <row r="171" spans="1:14" s="24" customFormat="1" ht="158.4" x14ac:dyDescent="0.25">
      <c r="A171" s="84" t="str">
        <f>'Scenario Test'!$A$17</f>
        <v>FX_006</v>
      </c>
      <c r="B171" s="21" t="str">
        <f>VLOOKUP(TestCase!A171,'Scenario Test'!$A$5:$B$117,2,0)</f>
        <v>FX Deposit-GL</v>
      </c>
      <c r="C171" s="20" t="s">
        <v>215</v>
      </c>
      <c r="D171" s="20"/>
      <c r="E171" s="86" t="s">
        <v>225</v>
      </c>
      <c r="F171" s="88" t="s">
        <v>106</v>
      </c>
      <c r="G171" s="22" t="s">
        <v>5</v>
      </c>
      <c r="H171" s="23"/>
      <c r="I171" s="91">
        <v>45636</v>
      </c>
      <c r="J171" s="25"/>
      <c r="K171" s="25"/>
      <c r="L171" s="25"/>
      <c r="M171" s="23"/>
      <c r="N171" s="23"/>
    </row>
    <row r="172" spans="1:14" s="24" customFormat="1" ht="158.4" x14ac:dyDescent="0.25">
      <c r="A172" s="84" t="str">
        <f>'Scenario Test'!$A$17</f>
        <v>FX_006</v>
      </c>
      <c r="B172" s="21" t="str">
        <f>VLOOKUP(TestCase!A172,'Scenario Test'!$A$5:$B$117,2,0)</f>
        <v>FX Deposit-GL</v>
      </c>
      <c r="C172" s="20" t="s">
        <v>216</v>
      </c>
      <c r="D172" s="20"/>
      <c r="E172" s="86" t="s">
        <v>226</v>
      </c>
      <c r="F172" s="88" t="s">
        <v>106</v>
      </c>
      <c r="G172" s="22" t="s">
        <v>5</v>
      </c>
      <c r="H172" s="23" t="s">
        <v>475</v>
      </c>
      <c r="I172" s="91">
        <v>45636</v>
      </c>
      <c r="J172" s="25"/>
      <c r="K172" s="25"/>
      <c r="L172" s="25"/>
      <c r="M172" s="23"/>
      <c r="N172" s="23"/>
    </row>
    <row r="173" spans="1:14" s="24" customFormat="1" ht="158.4" x14ac:dyDescent="0.25">
      <c r="A173" s="84" t="str">
        <f>'Scenario Test'!$A$17</f>
        <v>FX_006</v>
      </c>
      <c r="B173" s="21" t="str">
        <f>VLOOKUP(TestCase!A173,'Scenario Test'!$A$5:$B$117,2,0)</f>
        <v>FX Deposit-GL</v>
      </c>
      <c r="C173" s="20" t="s">
        <v>217</v>
      </c>
      <c r="D173" s="20"/>
      <c r="E173" s="86" t="s">
        <v>227</v>
      </c>
      <c r="F173" s="88" t="s">
        <v>106</v>
      </c>
      <c r="G173" s="22" t="s">
        <v>5</v>
      </c>
      <c r="H173" s="23" t="s">
        <v>475</v>
      </c>
      <c r="I173" s="91">
        <v>45636</v>
      </c>
      <c r="J173" s="25"/>
      <c r="K173" s="25"/>
      <c r="L173" s="25"/>
      <c r="M173" s="23"/>
      <c r="N173" s="23"/>
    </row>
    <row r="174" spans="1:14" s="24" customFormat="1" ht="171.6" x14ac:dyDescent="0.25">
      <c r="A174" s="84" t="str">
        <f>'Scenario Test'!$A$17</f>
        <v>FX_006</v>
      </c>
      <c r="B174" s="21" t="str">
        <f>VLOOKUP(TestCase!A174,'Scenario Test'!$A$5:$B$117,2,0)</f>
        <v>FX Deposit-GL</v>
      </c>
      <c r="C174" s="20" t="s">
        <v>218</v>
      </c>
      <c r="D174" s="20"/>
      <c r="E174" s="86" t="s">
        <v>479</v>
      </c>
      <c r="F174" s="88" t="s">
        <v>106</v>
      </c>
      <c r="G174" s="22" t="s">
        <v>5</v>
      </c>
      <c r="H174" s="23"/>
      <c r="I174" s="91">
        <v>45636</v>
      </c>
      <c r="J174" s="25"/>
      <c r="K174" s="25"/>
      <c r="L174" s="25"/>
      <c r="M174" s="23"/>
      <c r="N174" s="23"/>
    </row>
    <row r="175" spans="1:14" s="24" customFormat="1" ht="343.2" x14ac:dyDescent="0.25">
      <c r="A175" s="84" t="str">
        <f>'Scenario Test'!$A$17</f>
        <v>FX_006</v>
      </c>
      <c r="B175" s="21" t="str">
        <f>VLOOKUP(TestCase!A175,'Scenario Test'!$A$5:$B$117,2,0)</f>
        <v>FX Deposit-GL</v>
      </c>
      <c r="C175" s="20" t="s">
        <v>204</v>
      </c>
      <c r="D175" s="20"/>
      <c r="E175" s="86" t="s">
        <v>477</v>
      </c>
      <c r="F175" s="88" t="s">
        <v>106</v>
      </c>
      <c r="G175" s="22" t="s">
        <v>5</v>
      </c>
      <c r="H175" s="23"/>
      <c r="I175" s="91">
        <v>45636</v>
      </c>
      <c r="J175" s="25"/>
      <c r="K175" s="25"/>
      <c r="L175" s="25"/>
      <c r="M175" s="23"/>
      <c r="N175" s="23"/>
    </row>
    <row r="176" spans="1:14" s="24" customFormat="1" ht="224.4" x14ac:dyDescent="0.25">
      <c r="A176" s="84" t="str">
        <f>'Scenario Test'!$A$17</f>
        <v>FX_006</v>
      </c>
      <c r="B176" s="21" t="str">
        <f>VLOOKUP(TestCase!A176,'Scenario Test'!$A$5:$B$117,2,0)</f>
        <v>FX Deposit-GL</v>
      </c>
      <c r="C176" s="20" t="s">
        <v>219</v>
      </c>
      <c r="D176" s="20"/>
      <c r="E176" s="86" t="s">
        <v>476</v>
      </c>
      <c r="F176" s="88" t="s">
        <v>106</v>
      </c>
      <c r="G176" s="22" t="s">
        <v>5</v>
      </c>
      <c r="H176" s="23"/>
      <c r="I176" s="91">
        <v>45636</v>
      </c>
      <c r="J176" s="25"/>
      <c r="K176" s="25"/>
      <c r="L176" s="25"/>
      <c r="M176" s="23"/>
      <c r="N176" s="23"/>
    </row>
    <row r="177" spans="1:14" s="24" customFormat="1" ht="224.4" x14ac:dyDescent="0.25">
      <c r="A177" s="84" t="str">
        <f>'Scenario Test'!$A$17</f>
        <v>FX_006</v>
      </c>
      <c r="B177" s="21" t="str">
        <f>VLOOKUP(TestCase!A177,'Scenario Test'!$A$5:$B$117,2,0)</f>
        <v>FX Deposit-GL</v>
      </c>
      <c r="C177" s="20" t="s">
        <v>220</v>
      </c>
      <c r="D177" s="20"/>
      <c r="E177" s="86" t="s">
        <v>228</v>
      </c>
      <c r="F177" s="88" t="s">
        <v>106</v>
      </c>
      <c r="G177" s="22" t="s">
        <v>5</v>
      </c>
      <c r="H177" s="23"/>
      <c r="I177" s="91">
        <v>45636</v>
      </c>
      <c r="J177" s="25"/>
      <c r="K177" s="25"/>
      <c r="L177" s="25"/>
      <c r="M177" s="23"/>
      <c r="N177" s="23"/>
    </row>
    <row r="178" spans="1:14" s="24" customFormat="1" ht="224.4" x14ac:dyDescent="0.25">
      <c r="A178" s="84" t="str">
        <f>'Scenario Test'!$A$17</f>
        <v>FX_006</v>
      </c>
      <c r="B178" s="21" t="str">
        <f>VLOOKUP(TestCase!A178,'Scenario Test'!$A$5:$B$117,2,0)</f>
        <v>FX Deposit-GL</v>
      </c>
      <c r="C178" s="20" t="s">
        <v>230</v>
      </c>
      <c r="D178" s="20"/>
      <c r="E178" s="86" t="s">
        <v>229</v>
      </c>
      <c r="F178" s="88" t="s">
        <v>106</v>
      </c>
      <c r="G178" s="22" t="s">
        <v>5</v>
      </c>
      <c r="H178" s="23"/>
      <c r="I178" s="91">
        <v>45636</v>
      </c>
      <c r="J178" s="25"/>
      <c r="K178" s="25"/>
      <c r="L178" s="25"/>
      <c r="M178" s="23"/>
      <c r="N178" s="23"/>
    </row>
    <row r="179" spans="1:14" s="24" customFormat="1" x14ac:dyDescent="0.25">
      <c r="A179" s="84" t="str">
        <f>'Scenario Test'!$A$17</f>
        <v>FX_006</v>
      </c>
      <c r="B179" s="21" t="str">
        <f>VLOOKUP(TestCase!A179,'Scenario Test'!$A$5:$B$117,2,0)</f>
        <v>FX Deposit-GL</v>
      </c>
      <c r="C179" s="20" t="s">
        <v>231</v>
      </c>
      <c r="D179" s="20"/>
      <c r="E179" s="87" t="s">
        <v>94</v>
      </c>
      <c r="F179" s="88" t="s">
        <v>95</v>
      </c>
      <c r="G179" s="22" t="s">
        <v>5</v>
      </c>
      <c r="H179" s="23"/>
      <c r="I179" s="91">
        <v>45636</v>
      </c>
      <c r="J179" s="25"/>
      <c r="K179" s="25"/>
      <c r="L179" s="25"/>
      <c r="M179" s="23"/>
      <c r="N179" s="25"/>
    </row>
    <row r="180" spans="1:14" x14ac:dyDescent="0.25">
      <c r="A180" s="53" t="str">
        <f>'Scenario Test'!$A$18</f>
        <v>FX_007</v>
      </c>
      <c r="B180" s="54" t="str">
        <f>VLOOKUP(TestCase!A180,'Scenario Test'!$A$5:$B$117,2,0)</f>
        <v>FX GL-Cash</v>
      </c>
      <c r="C180" s="53"/>
      <c r="D180" s="53"/>
      <c r="E180" s="53"/>
      <c r="F180" s="53"/>
      <c r="G180" s="55"/>
      <c r="H180" s="54"/>
      <c r="I180" s="55"/>
      <c r="J180" s="54"/>
      <c r="K180" s="54"/>
      <c r="L180" s="54"/>
      <c r="M180" s="54"/>
      <c r="N180" s="54"/>
    </row>
    <row r="181" spans="1:14" s="24" customFormat="1" ht="290.39999999999998" x14ac:dyDescent="0.25">
      <c r="A181" s="84" t="str">
        <f>'Scenario Test'!$A$18</f>
        <v>FX_007</v>
      </c>
      <c r="B181" s="21" t="str">
        <f>VLOOKUP(TestCase!A181,'Scenario Test'!$A$5:$B$117,2,0)</f>
        <v>FX GL-Cash</v>
      </c>
      <c r="C181" s="20" t="s">
        <v>232</v>
      </c>
      <c r="D181" s="20"/>
      <c r="E181" s="86" t="s">
        <v>505</v>
      </c>
      <c r="F181" s="88" t="s">
        <v>95</v>
      </c>
      <c r="G181" s="22" t="s">
        <v>5</v>
      </c>
      <c r="H181" s="23"/>
      <c r="I181" s="91">
        <v>45636</v>
      </c>
      <c r="J181" s="25"/>
      <c r="K181" s="25"/>
      <c r="L181" s="25"/>
      <c r="M181" s="23"/>
      <c r="N181" s="23"/>
    </row>
    <row r="182" spans="1:14" s="24" customFormat="1" ht="290.39999999999998" x14ac:dyDescent="0.25">
      <c r="A182" s="84" t="str">
        <f>'Scenario Test'!$A$18</f>
        <v>FX_007</v>
      </c>
      <c r="B182" s="21" t="str">
        <f>VLOOKUP(TestCase!A182,'Scenario Test'!$A$5:$B$117,2,0)</f>
        <v>FX GL-Cash</v>
      </c>
      <c r="C182" s="20" t="s">
        <v>233</v>
      </c>
      <c r="D182" s="20"/>
      <c r="E182" s="86" t="s">
        <v>506</v>
      </c>
      <c r="F182" s="88" t="s">
        <v>95</v>
      </c>
      <c r="G182" s="22" t="s">
        <v>5</v>
      </c>
      <c r="H182" s="23"/>
      <c r="I182" s="91">
        <v>45636</v>
      </c>
      <c r="J182" s="25"/>
      <c r="K182" s="25"/>
      <c r="L182" s="25"/>
      <c r="M182" s="23"/>
      <c r="N182" s="23"/>
    </row>
    <row r="183" spans="1:14" s="24" customFormat="1" ht="290.39999999999998" x14ac:dyDescent="0.25">
      <c r="A183" s="84" t="str">
        <f>'Scenario Test'!$A$18</f>
        <v>FX_007</v>
      </c>
      <c r="B183" s="21" t="str">
        <f>VLOOKUP(TestCase!A183,'Scenario Test'!$A$5:$B$117,2,0)</f>
        <v>FX GL-Cash</v>
      </c>
      <c r="C183" s="20" t="s">
        <v>234</v>
      </c>
      <c r="D183" s="20"/>
      <c r="E183" s="86" t="s">
        <v>507</v>
      </c>
      <c r="F183" s="88" t="s">
        <v>95</v>
      </c>
      <c r="G183" s="22" t="s">
        <v>5</v>
      </c>
      <c r="H183" s="23"/>
      <c r="I183" s="91">
        <v>45636</v>
      </c>
      <c r="J183" s="25"/>
      <c r="K183" s="25"/>
      <c r="L183" s="25"/>
      <c r="M183" s="23"/>
      <c r="N183" s="23"/>
    </row>
    <row r="184" spans="1:14" s="24" customFormat="1" ht="290.39999999999998" x14ac:dyDescent="0.25">
      <c r="A184" s="84" t="str">
        <f>'Scenario Test'!$A$18</f>
        <v>FX_007</v>
      </c>
      <c r="B184" s="21" t="str">
        <f>VLOOKUP(TestCase!A184,'Scenario Test'!$A$5:$B$117,2,0)</f>
        <v>FX GL-Cash</v>
      </c>
      <c r="C184" s="20" t="s">
        <v>235</v>
      </c>
      <c r="D184" s="20"/>
      <c r="E184" s="86" t="s">
        <v>508</v>
      </c>
      <c r="F184" s="88" t="s">
        <v>95</v>
      </c>
      <c r="G184" s="22" t="s">
        <v>5</v>
      </c>
      <c r="H184" s="23"/>
      <c r="I184" s="91">
        <v>45637</v>
      </c>
      <c r="J184" s="25"/>
      <c r="K184" s="25"/>
      <c r="L184" s="25"/>
      <c r="M184" s="23"/>
      <c r="N184" s="23"/>
    </row>
    <row r="185" spans="1:14" s="24" customFormat="1" ht="303.60000000000002" x14ac:dyDescent="0.25">
      <c r="A185" s="84" t="str">
        <f>'Scenario Test'!$A$18</f>
        <v>FX_007</v>
      </c>
      <c r="B185" s="21" t="str">
        <f>VLOOKUP(TestCase!A185,'Scenario Test'!$A$5:$B$117,2,0)</f>
        <v>FX GL-Cash</v>
      </c>
      <c r="C185" s="20" t="s">
        <v>236</v>
      </c>
      <c r="D185" s="20"/>
      <c r="E185" s="86" t="s">
        <v>509</v>
      </c>
      <c r="F185" s="88" t="s">
        <v>95</v>
      </c>
      <c r="G185" s="22" t="s">
        <v>5</v>
      </c>
      <c r="H185" s="23"/>
      <c r="I185" s="91">
        <v>45637</v>
      </c>
      <c r="J185" s="25"/>
      <c r="K185" s="25"/>
      <c r="L185" s="25"/>
      <c r="M185" s="23"/>
      <c r="N185" s="23"/>
    </row>
    <row r="186" spans="1:14" s="24" customFormat="1" x14ac:dyDescent="0.25">
      <c r="A186" s="84" t="str">
        <f>'Scenario Test'!$A$18</f>
        <v>FX_007</v>
      </c>
      <c r="B186" s="21" t="str">
        <f>VLOOKUP(TestCase!A186,'Scenario Test'!$A$5:$B$117,2,0)</f>
        <v>FX GL-Cash</v>
      </c>
      <c r="C186" s="20" t="s">
        <v>237</v>
      </c>
      <c r="D186" s="20"/>
      <c r="E186" s="89" t="s">
        <v>99</v>
      </c>
      <c r="F186" s="88" t="s">
        <v>106</v>
      </c>
      <c r="G186" s="22" t="s">
        <v>5</v>
      </c>
      <c r="H186" s="23"/>
      <c r="I186" s="91">
        <v>45637</v>
      </c>
      <c r="J186" s="25"/>
      <c r="K186" s="25"/>
      <c r="L186" s="25"/>
      <c r="M186" s="23"/>
      <c r="N186" s="25"/>
    </row>
    <row r="187" spans="1:14" s="24" customFormat="1" x14ac:dyDescent="0.25">
      <c r="A187" s="84" t="str">
        <f>'Scenario Test'!$A$18</f>
        <v>FX_007</v>
      </c>
      <c r="B187" s="21" t="str">
        <f>VLOOKUP(TestCase!A187,'Scenario Test'!$A$5:$B$117,2,0)</f>
        <v>FX GL-Cash</v>
      </c>
      <c r="C187" s="20" t="s">
        <v>238</v>
      </c>
      <c r="D187" s="20"/>
      <c r="E187" s="89" t="s">
        <v>100</v>
      </c>
      <c r="F187" s="88" t="s">
        <v>106</v>
      </c>
      <c r="G187" s="22" t="s">
        <v>5</v>
      </c>
      <c r="H187" s="23"/>
      <c r="I187" s="91">
        <v>45637</v>
      </c>
      <c r="J187" s="25"/>
      <c r="K187" s="25"/>
      <c r="L187" s="25"/>
      <c r="M187" s="23"/>
      <c r="N187" s="25"/>
    </row>
    <row r="188" spans="1:14" s="24" customFormat="1" x14ac:dyDescent="0.25">
      <c r="A188" s="84" t="str">
        <f>'Scenario Test'!$A$18</f>
        <v>FX_007</v>
      </c>
      <c r="B188" s="21" t="str">
        <f>VLOOKUP(TestCase!A188,'Scenario Test'!$A$5:$B$117,2,0)</f>
        <v>FX GL-Cash</v>
      </c>
      <c r="C188" s="20" t="s">
        <v>239</v>
      </c>
      <c r="D188" s="20"/>
      <c r="E188" s="89" t="s">
        <v>123</v>
      </c>
      <c r="F188" s="88" t="s">
        <v>106</v>
      </c>
      <c r="G188" s="22" t="s">
        <v>5</v>
      </c>
      <c r="H188" s="23"/>
      <c r="I188" s="91">
        <v>45637</v>
      </c>
      <c r="J188" s="25"/>
      <c r="K188" s="25"/>
      <c r="L188" s="25"/>
      <c r="M188" s="23"/>
      <c r="N188" s="25"/>
    </row>
    <row r="189" spans="1:14" s="24" customFormat="1" x14ac:dyDescent="0.25">
      <c r="A189" s="84" t="str">
        <f>'Scenario Test'!$A$18</f>
        <v>FX_007</v>
      </c>
      <c r="B189" s="21" t="str">
        <f>VLOOKUP(TestCase!A189,'Scenario Test'!$A$5:$B$117,2,0)</f>
        <v>FX GL-Cash</v>
      </c>
      <c r="C189" s="20" t="s">
        <v>240</v>
      </c>
      <c r="D189" s="20"/>
      <c r="E189" s="89" t="s">
        <v>124</v>
      </c>
      <c r="F189" s="88" t="s">
        <v>106</v>
      </c>
      <c r="G189" s="22" t="s">
        <v>5</v>
      </c>
      <c r="H189" s="23"/>
      <c r="I189" s="91">
        <v>45637</v>
      </c>
      <c r="J189" s="25"/>
      <c r="K189" s="25"/>
      <c r="L189" s="25"/>
      <c r="M189" s="23"/>
      <c r="N189" s="25"/>
    </row>
    <row r="190" spans="1:14" s="24" customFormat="1" ht="171.6" x14ac:dyDescent="0.25">
      <c r="A190" s="84" t="str">
        <f>'Scenario Test'!$A$18</f>
        <v>FX_007</v>
      </c>
      <c r="B190" s="21" t="str">
        <f>VLOOKUP(TestCase!A190,'Scenario Test'!$A$5:$B$117,2,0)</f>
        <v>FX GL-Cash</v>
      </c>
      <c r="C190" s="20" t="s">
        <v>241</v>
      </c>
      <c r="D190" s="20"/>
      <c r="E190" s="86" t="s">
        <v>249</v>
      </c>
      <c r="F190" s="88" t="s">
        <v>106</v>
      </c>
      <c r="G190" s="22" t="s">
        <v>5</v>
      </c>
      <c r="H190" s="23"/>
      <c r="I190" s="91">
        <v>45637</v>
      </c>
      <c r="J190" s="25"/>
      <c r="K190" s="25"/>
      <c r="L190" s="25"/>
      <c r="M190" s="23"/>
      <c r="N190" s="23"/>
    </row>
    <row r="191" spans="1:14" s="24" customFormat="1" ht="171.6" x14ac:dyDescent="0.25">
      <c r="A191" s="84" t="str">
        <f>'Scenario Test'!$A$18</f>
        <v>FX_007</v>
      </c>
      <c r="B191" s="21" t="str">
        <f>VLOOKUP(TestCase!A191,'Scenario Test'!$A$5:$B$117,2,0)</f>
        <v>FX GL-Cash</v>
      </c>
      <c r="C191" s="20" t="s">
        <v>242</v>
      </c>
      <c r="D191" s="20"/>
      <c r="E191" s="86" t="s">
        <v>250</v>
      </c>
      <c r="F191" s="88" t="s">
        <v>106</v>
      </c>
      <c r="G191" s="22" t="s">
        <v>5</v>
      </c>
      <c r="H191" s="23"/>
      <c r="I191" s="91">
        <v>45637</v>
      </c>
      <c r="J191" s="25"/>
      <c r="K191" s="25"/>
      <c r="L191" s="25"/>
      <c r="M191" s="23"/>
      <c r="N191" s="23"/>
    </row>
    <row r="192" spans="1:14" s="24" customFormat="1" ht="171.6" x14ac:dyDescent="0.25">
      <c r="A192" s="84" t="str">
        <f>'Scenario Test'!$A$18</f>
        <v>FX_007</v>
      </c>
      <c r="B192" s="21" t="str">
        <f>VLOOKUP(TestCase!A192,'Scenario Test'!$A$5:$B$117,2,0)</f>
        <v>FX GL-Cash</v>
      </c>
      <c r="C192" s="20" t="s">
        <v>243</v>
      </c>
      <c r="D192" s="20"/>
      <c r="E192" s="86" t="s">
        <v>251</v>
      </c>
      <c r="F192" s="88" t="s">
        <v>106</v>
      </c>
      <c r="G192" s="22" t="s">
        <v>5</v>
      </c>
      <c r="H192" s="23" t="s">
        <v>475</v>
      </c>
      <c r="I192" s="91">
        <v>45637</v>
      </c>
      <c r="J192" s="25"/>
      <c r="K192" s="25"/>
      <c r="L192" s="25"/>
      <c r="M192" s="23"/>
      <c r="N192" s="23"/>
    </row>
    <row r="193" spans="1:14" s="24" customFormat="1" ht="171.6" x14ac:dyDescent="0.25">
      <c r="A193" s="84" t="str">
        <f>'Scenario Test'!$A$18</f>
        <v>FX_007</v>
      </c>
      <c r="B193" s="21" t="str">
        <f>VLOOKUP(TestCase!A193,'Scenario Test'!$A$5:$B$117,2,0)</f>
        <v>FX GL-Cash</v>
      </c>
      <c r="C193" s="20" t="s">
        <v>244</v>
      </c>
      <c r="D193" s="20"/>
      <c r="E193" s="86" t="s">
        <v>252</v>
      </c>
      <c r="F193" s="88" t="s">
        <v>106</v>
      </c>
      <c r="G193" s="22" t="s">
        <v>5</v>
      </c>
      <c r="H193" s="23" t="s">
        <v>475</v>
      </c>
      <c r="I193" s="91">
        <v>45637</v>
      </c>
      <c r="J193" s="25"/>
      <c r="K193" s="25"/>
      <c r="L193" s="25"/>
      <c r="M193" s="23"/>
      <c r="N193" s="23"/>
    </row>
    <row r="194" spans="1:14" s="24" customFormat="1" ht="171.6" x14ac:dyDescent="0.25">
      <c r="A194" s="84" t="str">
        <f>'Scenario Test'!$A$18</f>
        <v>FX_007</v>
      </c>
      <c r="B194" s="21" t="str">
        <f>VLOOKUP(TestCase!A194,'Scenario Test'!$A$5:$B$117,2,0)</f>
        <v>FX GL-Cash</v>
      </c>
      <c r="C194" s="20" t="s">
        <v>245</v>
      </c>
      <c r="D194" s="20"/>
      <c r="E194" s="86" t="s">
        <v>253</v>
      </c>
      <c r="F194" s="88" t="s">
        <v>106</v>
      </c>
      <c r="G194" s="22" t="s">
        <v>5</v>
      </c>
      <c r="H194" s="23"/>
      <c r="I194" s="91">
        <v>45637</v>
      </c>
      <c r="J194" s="25"/>
      <c r="K194" s="25"/>
      <c r="L194" s="25"/>
      <c r="M194" s="23"/>
      <c r="N194" s="23"/>
    </row>
    <row r="195" spans="1:14" s="24" customFormat="1" ht="171.6" x14ac:dyDescent="0.25">
      <c r="A195" s="84" t="str">
        <f>'Scenario Test'!$A$18</f>
        <v>FX_007</v>
      </c>
      <c r="B195" s="21" t="str">
        <f>VLOOKUP(TestCase!A195,'Scenario Test'!$A$5:$B$117,2,0)</f>
        <v>FX GL-Cash</v>
      </c>
      <c r="C195" s="20" t="s">
        <v>246</v>
      </c>
      <c r="D195" s="20"/>
      <c r="E195" s="86" t="s">
        <v>254</v>
      </c>
      <c r="F195" s="88" t="s">
        <v>106</v>
      </c>
      <c r="G195" s="22" t="s">
        <v>5</v>
      </c>
      <c r="H195" s="23"/>
      <c r="I195" s="91">
        <v>45637</v>
      </c>
      <c r="J195" s="25"/>
      <c r="K195" s="25"/>
      <c r="L195" s="25"/>
      <c r="M195" s="23"/>
      <c r="N195" s="23"/>
    </row>
    <row r="196" spans="1:14" s="24" customFormat="1" ht="184.8" x14ac:dyDescent="0.25">
      <c r="A196" s="84" t="str">
        <f>'Scenario Test'!$A$18</f>
        <v>FX_007</v>
      </c>
      <c r="B196" s="21" t="str">
        <f>VLOOKUP(TestCase!A196,'Scenario Test'!$A$5:$B$117,2,0)</f>
        <v>FX GL-Cash</v>
      </c>
      <c r="C196" s="20" t="s">
        <v>247</v>
      </c>
      <c r="D196" s="20"/>
      <c r="E196" s="86" t="s">
        <v>255</v>
      </c>
      <c r="F196" s="88" t="s">
        <v>106</v>
      </c>
      <c r="G196" s="22" t="s">
        <v>5</v>
      </c>
      <c r="H196" s="23"/>
      <c r="I196" s="91">
        <v>45637</v>
      </c>
      <c r="J196" s="25"/>
      <c r="K196" s="25"/>
      <c r="L196" s="25"/>
      <c r="M196" s="23"/>
      <c r="N196" s="23"/>
    </row>
    <row r="197" spans="1:14" s="24" customFormat="1" x14ac:dyDescent="0.25">
      <c r="A197" s="84" t="str">
        <f>'Scenario Test'!$A$18</f>
        <v>FX_007</v>
      </c>
      <c r="B197" s="21" t="str">
        <f>VLOOKUP(TestCase!A197,'Scenario Test'!$A$5:$B$117,2,0)</f>
        <v>FX GL-Cash</v>
      </c>
      <c r="C197" s="20" t="s">
        <v>248</v>
      </c>
      <c r="D197" s="20"/>
      <c r="E197" s="87" t="s">
        <v>94</v>
      </c>
      <c r="F197" s="88" t="s">
        <v>95</v>
      </c>
      <c r="G197" s="22" t="s">
        <v>5</v>
      </c>
      <c r="H197" s="23"/>
      <c r="I197" s="91">
        <v>45637</v>
      </c>
      <c r="J197" s="25"/>
      <c r="K197" s="25"/>
      <c r="L197" s="25"/>
      <c r="M197" s="23"/>
      <c r="N197" s="25"/>
    </row>
    <row r="198" spans="1:14" x14ac:dyDescent="0.25">
      <c r="A198" s="53" t="str">
        <f>'Scenario Test'!$A$19</f>
        <v>FX_008</v>
      </c>
      <c r="B198" s="54" t="str">
        <f>VLOOKUP(TestCase!A198,'Scenario Test'!$A$5:$B$117,2,0)</f>
        <v>FX GL-Deposit</v>
      </c>
      <c r="C198" s="53"/>
      <c r="D198" s="53"/>
      <c r="E198" s="53"/>
      <c r="F198" s="53"/>
      <c r="G198" s="55"/>
      <c r="H198" s="54"/>
      <c r="I198" s="55"/>
      <c r="J198" s="54"/>
      <c r="K198" s="54"/>
      <c r="L198" s="54"/>
      <c r="M198" s="54"/>
      <c r="N198" s="54"/>
    </row>
    <row r="199" spans="1:14" s="24" customFormat="1" ht="303.60000000000002" x14ac:dyDescent="0.25">
      <c r="A199" s="84" t="str">
        <f>'Scenario Test'!$A$19</f>
        <v>FX_008</v>
      </c>
      <c r="B199" s="21" t="str">
        <f>VLOOKUP(TestCase!A199,'Scenario Test'!$A$5:$B$117,2,0)</f>
        <v>FX GL-Deposit</v>
      </c>
      <c r="C199" s="20" t="s">
        <v>256</v>
      </c>
      <c r="D199" s="20"/>
      <c r="E199" s="86" t="s">
        <v>510</v>
      </c>
      <c r="F199" s="88" t="s">
        <v>95</v>
      </c>
      <c r="G199" s="22" t="s">
        <v>5</v>
      </c>
      <c r="H199" s="23"/>
      <c r="I199" s="91">
        <v>45637</v>
      </c>
      <c r="J199" s="25"/>
      <c r="K199" s="25"/>
      <c r="L199" s="25"/>
      <c r="M199" s="23"/>
      <c r="N199" s="23"/>
    </row>
    <row r="200" spans="1:14" s="24" customFormat="1" ht="303.60000000000002" x14ac:dyDescent="0.25">
      <c r="A200" s="84" t="str">
        <f>'Scenario Test'!$A$19</f>
        <v>FX_008</v>
      </c>
      <c r="B200" s="21" t="str">
        <f>VLOOKUP(TestCase!A200,'Scenario Test'!$A$5:$B$117,2,0)</f>
        <v>FX GL-Deposit</v>
      </c>
      <c r="C200" s="20" t="s">
        <v>257</v>
      </c>
      <c r="D200" s="20"/>
      <c r="E200" s="86" t="s">
        <v>511</v>
      </c>
      <c r="F200" s="88" t="s">
        <v>95</v>
      </c>
      <c r="G200" s="22" t="s">
        <v>5</v>
      </c>
      <c r="H200" s="23"/>
      <c r="I200" s="91">
        <v>45637</v>
      </c>
      <c r="J200" s="25"/>
      <c r="K200" s="25"/>
      <c r="L200" s="25"/>
      <c r="M200" s="23"/>
      <c r="N200" s="23"/>
    </row>
    <row r="201" spans="1:14" s="24" customFormat="1" ht="303.60000000000002" x14ac:dyDescent="0.25">
      <c r="A201" s="84" t="str">
        <f>'Scenario Test'!$A$19</f>
        <v>FX_008</v>
      </c>
      <c r="B201" s="21" t="str">
        <f>VLOOKUP(TestCase!A201,'Scenario Test'!$A$5:$B$117,2,0)</f>
        <v>FX GL-Deposit</v>
      </c>
      <c r="C201" s="20" t="s">
        <v>258</v>
      </c>
      <c r="D201" s="20"/>
      <c r="E201" s="86" t="s">
        <v>512</v>
      </c>
      <c r="F201" s="88" t="s">
        <v>95</v>
      </c>
      <c r="G201" s="22" t="s">
        <v>5</v>
      </c>
      <c r="H201" s="23"/>
      <c r="I201" s="91">
        <v>45637</v>
      </c>
      <c r="J201" s="25"/>
      <c r="K201" s="25"/>
      <c r="L201" s="25"/>
      <c r="M201" s="23"/>
      <c r="N201" s="23"/>
    </row>
    <row r="202" spans="1:14" s="24" customFormat="1" ht="303.60000000000002" x14ac:dyDescent="0.25">
      <c r="A202" s="84" t="str">
        <f>'Scenario Test'!$A$19</f>
        <v>FX_008</v>
      </c>
      <c r="B202" s="21" t="str">
        <f>VLOOKUP(TestCase!A202,'Scenario Test'!$A$5:$B$117,2,0)</f>
        <v>FX GL-Deposit</v>
      </c>
      <c r="C202" s="20" t="s">
        <v>259</v>
      </c>
      <c r="D202" s="20"/>
      <c r="E202" s="86" t="s">
        <v>513</v>
      </c>
      <c r="F202" s="88" t="s">
        <v>95</v>
      </c>
      <c r="G202" s="22" t="s">
        <v>5</v>
      </c>
      <c r="H202" s="23"/>
      <c r="I202" s="91">
        <v>45637</v>
      </c>
      <c r="J202" s="25"/>
      <c r="K202" s="25"/>
      <c r="L202" s="25"/>
      <c r="M202" s="23"/>
      <c r="N202" s="23"/>
    </row>
    <row r="203" spans="1:14" s="24" customFormat="1" ht="316.8" x14ac:dyDescent="0.25">
      <c r="A203" s="84" t="str">
        <f>'Scenario Test'!$A$19</f>
        <v>FX_008</v>
      </c>
      <c r="B203" s="21" t="str">
        <f>VLOOKUP(TestCase!A203,'Scenario Test'!$A$5:$B$117,2,0)</f>
        <v>FX GL-Deposit</v>
      </c>
      <c r="C203" s="20" t="s">
        <v>260</v>
      </c>
      <c r="D203" s="20"/>
      <c r="E203" s="86" t="s">
        <v>514</v>
      </c>
      <c r="F203" s="88" t="s">
        <v>95</v>
      </c>
      <c r="G203" s="22" t="s">
        <v>5</v>
      </c>
      <c r="H203" s="23"/>
      <c r="I203" s="91">
        <v>45637</v>
      </c>
      <c r="J203" s="25"/>
      <c r="K203" s="25"/>
      <c r="L203" s="25"/>
      <c r="M203" s="23"/>
      <c r="N203" s="23"/>
    </row>
    <row r="204" spans="1:14" s="24" customFormat="1" x14ac:dyDescent="0.25">
      <c r="A204" s="84" t="str">
        <f>'Scenario Test'!$A$19</f>
        <v>FX_008</v>
      </c>
      <c r="B204" s="21" t="str">
        <f>VLOOKUP(TestCase!A204,'Scenario Test'!$A$5:$B$117,2,0)</f>
        <v>FX GL-Deposit</v>
      </c>
      <c r="C204" s="20" t="s">
        <v>261</v>
      </c>
      <c r="D204" s="20"/>
      <c r="E204" s="89" t="s">
        <v>99</v>
      </c>
      <c r="F204" s="88" t="s">
        <v>106</v>
      </c>
      <c r="G204" s="22" t="s">
        <v>5</v>
      </c>
      <c r="H204" s="23"/>
      <c r="I204" s="91">
        <v>45637</v>
      </c>
      <c r="J204" s="25"/>
      <c r="K204" s="25"/>
      <c r="L204" s="25"/>
      <c r="M204" s="23"/>
      <c r="N204" s="23"/>
    </row>
    <row r="205" spans="1:14" s="24" customFormat="1" x14ac:dyDescent="0.25">
      <c r="A205" s="84" t="str">
        <f>'Scenario Test'!$A$19</f>
        <v>FX_008</v>
      </c>
      <c r="B205" s="21" t="str">
        <f>VLOOKUP(TestCase!A205,'Scenario Test'!$A$5:$B$117,2,0)</f>
        <v>FX GL-Deposit</v>
      </c>
      <c r="C205" s="20" t="s">
        <v>262</v>
      </c>
      <c r="D205" s="20"/>
      <c r="E205" s="89" t="s">
        <v>100</v>
      </c>
      <c r="F205" s="88" t="s">
        <v>106</v>
      </c>
      <c r="G205" s="22" t="s">
        <v>5</v>
      </c>
      <c r="H205" s="23"/>
      <c r="I205" s="91">
        <v>45637</v>
      </c>
      <c r="J205" s="25"/>
      <c r="K205" s="25"/>
      <c r="L205" s="25"/>
      <c r="M205" s="23"/>
      <c r="N205" s="23"/>
    </row>
    <row r="206" spans="1:14" s="24" customFormat="1" x14ac:dyDescent="0.25">
      <c r="A206" s="84" t="str">
        <f>'Scenario Test'!$A$19</f>
        <v>FX_008</v>
      </c>
      <c r="B206" s="21" t="str">
        <f>VLOOKUP(TestCase!A206,'Scenario Test'!$A$5:$B$117,2,0)</f>
        <v>FX GL-Deposit</v>
      </c>
      <c r="C206" s="20" t="s">
        <v>263</v>
      </c>
      <c r="D206" s="20"/>
      <c r="E206" s="89" t="s">
        <v>123</v>
      </c>
      <c r="F206" s="88" t="s">
        <v>106</v>
      </c>
      <c r="G206" s="22" t="s">
        <v>5</v>
      </c>
      <c r="H206" s="23"/>
      <c r="I206" s="91">
        <v>45637</v>
      </c>
      <c r="J206" s="25"/>
      <c r="K206" s="25"/>
      <c r="L206" s="25"/>
      <c r="M206" s="23"/>
      <c r="N206" s="23"/>
    </row>
    <row r="207" spans="1:14" s="24" customFormat="1" x14ac:dyDescent="0.25">
      <c r="A207" s="84" t="str">
        <f>'Scenario Test'!$A$19</f>
        <v>FX_008</v>
      </c>
      <c r="B207" s="21" t="str">
        <f>VLOOKUP(TestCase!A207,'Scenario Test'!$A$5:$B$117,2,0)</f>
        <v>FX GL-Deposit</v>
      </c>
      <c r="C207" s="20" t="s">
        <v>264</v>
      </c>
      <c r="D207" s="20"/>
      <c r="E207" s="89" t="s">
        <v>124</v>
      </c>
      <c r="F207" s="88" t="s">
        <v>106</v>
      </c>
      <c r="G207" s="22" t="s">
        <v>5</v>
      </c>
      <c r="H207" s="23"/>
      <c r="I207" s="91">
        <v>45637</v>
      </c>
      <c r="J207" s="25"/>
      <c r="K207" s="25"/>
      <c r="L207" s="25"/>
      <c r="M207" s="23"/>
      <c r="N207" s="23"/>
    </row>
    <row r="208" spans="1:14" s="24" customFormat="1" x14ac:dyDescent="0.25">
      <c r="A208" s="84" t="str">
        <f>'Scenario Test'!$A$19</f>
        <v>FX_008</v>
      </c>
      <c r="B208" s="21" t="str">
        <f>VLOOKUP(TestCase!A208,'Scenario Test'!$A$5:$B$117,2,0)</f>
        <v>FX GL-Deposit</v>
      </c>
      <c r="C208" s="20" t="s">
        <v>265</v>
      </c>
      <c r="D208" s="20"/>
      <c r="E208" s="89" t="s">
        <v>125</v>
      </c>
      <c r="F208" s="88" t="s">
        <v>106</v>
      </c>
      <c r="G208" s="22" t="s">
        <v>5</v>
      </c>
      <c r="H208" s="23"/>
      <c r="I208" s="91">
        <v>45637</v>
      </c>
      <c r="J208" s="25"/>
      <c r="K208" s="25"/>
      <c r="L208" s="25"/>
      <c r="M208" s="23"/>
      <c r="N208" s="25"/>
    </row>
    <row r="209" spans="1:14" s="24" customFormat="1" x14ac:dyDescent="0.25">
      <c r="A209" s="84" t="str">
        <f>'Scenario Test'!$A$19</f>
        <v>FX_008</v>
      </c>
      <c r="B209" s="21" t="str">
        <f>VLOOKUP(TestCase!A209,'Scenario Test'!$A$5:$B$117,2,0)</f>
        <v>FX GL-Deposit</v>
      </c>
      <c r="C209" s="20" t="s">
        <v>266</v>
      </c>
      <c r="D209" s="20"/>
      <c r="E209" s="89" t="s">
        <v>126</v>
      </c>
      <c r="F209" s="88" t="s">
        <v>106</v>
      </c>
      <c r="G209" s="22" t="s">
        <v>5</v>
      </c>
      <c r="H209" s="23"/>
      <c r="I209" s="91">
        <v>45637</v>
      </c>
      <c r="J209" s="25"/>
      <c r="K209" s="25"/>
      <c r="L209" s="25"/>
      <c r="M209" s="23"/>
      <c r="N209" s="25"/>
    </row>
    <row r="210" spans="1:14" s="24" customFormat="1" ht="171.6" x14ac:dyDescent="0.25">
      <c r="A210" s="84" t="str">
        <f>'Scenario Test'!$A$19</f>
        <v>FX_008</v>
      </c>
      <c r="B210" s="21" t="str">
        <f>VLOOKUP(TestCase!A210,'Scenario Test'!$A$5:$B$117,2,0)</f>
        <v>FX GL-Deposit</v>
      </c>
      <c r="C210" s="20" t="s">
        <v>267</v>
      </c>
      <c r="D210" s="20"/>
      <c r="E210" s="86" t="s">
        <v>283</v>
      </c>
      <c r="F210" s="88" t="s">
        <v>106</v>
      </c>
      <c r="G210" s="22" t="s">
        <v>5</v>
      </c>
      <c r="H210" s="23"/>
      <c r="I210" s="91">
        <v>45637</v>
      </c>
      <c r="J210" s="25"/>
      <c r="K210" s="25"/>
      <c r="L210" s="25"/>
      <c r="M210" s="23"/>
      <c r="N210" s="23"/>
    </row>
    <row r="211" spans="1:14" s="24" customFormat="1" ht="171.6" x14ac:dyDescent="0.25">
      <c r="A211" s="84" t="str">
        <f>'Scenario Test'!$A$19</f>
        <v>FX_008</v>
      </c>
      <c r="B211" s="21" t="str">
        <f>VLOOKUP(TestCase!A211,'Scenario Test'!$A$5:$B$117,2,0)</f>
        <v>FX GL-Deposit</v>
      </c>
      <c r="C211" s="20" t="s">
        <v>268</v>
      </c>
      <c r="D211" s="20"/>
      <c r="E211" s="86" t="s">
        <v>284</v>
      </c>
      <c r="F211" s="88" t="s">
        <v>106</v>
      </c>
      <c r="G211" s="22" t="s">
        <v>5</v>
      </c>
      <c r="H211" s="23"/>
      <c r="I211" s="91">
        <v>45637</v>
      </c>
      <c r="J211" s="25"/>
      <c r="K211" s="25"/>
      <c r="L211" s="25"/>
      <c r="M211" s="23"/>
      <c r="N211" s="23"/>
    </row>
    <row r="212" spans="1:14" s="24" customFormat="1" ht="171.6" x14ac:dyDescent="0.25">
      <c r="A212" s="84" t="str">
        <f>'Scenario Test'!$A$19</f>
        <v>FX_008</v>
      </c>
      <c r="B212" s="21" t="str">
        <f>VLOOKUP(TestCase!A212,'Scenario Test'!$A$5:$B$117,2,0)</f>
        <v>FX GL-Deposit</v>
      </c>
      <c r="C212" s="20" t="s">
        <v>269</v>
      </c>
      <c r="D212" s="20"/>
      <c r="E212" s="86" t="s">
        <v>285</v>
      </c>
      <c r="F212" s="88" t="s">
        <v>106</v>
      </c>
      <c r="G212" s="22" t="s">
        <v>5</v>
      </c>
      <c r="H212" s="23" t="s">
        <v>475</v>
      </c>
      <c r="I212" s="91">
        <v>45637</v>
      </c>
      <c r="J212" s="25"/>
      <c r="K212" s="25"/>
      <c r="L212" s="25"/>
      <c r="M212" s="23"/>
      <c r="N212" s="23"/>
    </row>
    <row r="213" spans="1:14" s="24" customFormat="1" ht="171.6" x14ac:dyDescent="0.25">
      <c r="A213" s="84" t="str">
        <f>'Scenario Test'!$A$19</f>
        <v>FX_008</v>
      </c>
      <c r="B213" s="21" t="str">
        <f>VLOOKUP(TestCase!A213,'Scenario Test'!$A$5:$B$117,2,0)</f>
        <v>FX GL-Deposit</v>
      </c>
      <c r="C213" s="20" t="s">
        <v>270</v>
      </c>
      <c r="D213" s="20"/>
      <c r="E213" s="86" t="s">
        <v>286</v>
      </c>
      <c r="F213" s="88" t="s">
        <v>106</v>
      </c>
      <c r="G213" s="22" t="s">
        <v>5</v>
      </c>
      <c r="H213" s="23" t="s">
        <v>475</v>
      </c>
      <c r="I213" s="91">
        <v>45637</v>
      </c>
      <c r="J213" s="25"/>
      <c r="K213" s="25"/>
      <c r="L213" s="25"/>
      <c r="M213" s="23"/>
      <c r="N213" s="23"/>
    </row>
    <row r="214" spans="1:14" s="24" customFormat="1" ht="158.4" x14ac:dyDescent="0.25">
      <c r="A214" s="84" t="str">
        <f>'Scenario Test'!$A$19</f>
        <v>FX_008</v>
      </c>
      <c r="B214" s="21" t="str">
        <f>VLOOKUP(TestCase!A214,'Scenario Test'!$A$5:$B$117,2,0)</f>
        <v>FX GL-Deposit</v>
      </c>
      <c r="C214" s="20" t="s">
        <v>271</v>
      </c>
      <c r="D214" s="20"/>
      <c r="E214" s="86" t="s">
        <v>276</v>
      </c>
      <c r="F214" s="88" t="s">
        <v>106</v>
      </c>
      <c r="G214" s="22" t="s">
        <v>5</v>
      </c>
      <c r="H214" s="23"/>
      <c r="I214" s="91">
        <v>45637</v>
      </c>
      <c r="J214" s="25"/>
      <c r="K214" s="25"/>
      <c r="L214" s="25"/>
      <c r="M214" s="23"/>
      <c r="N214" s="23"/>
    </row>
    <row r="215" spans="1:14" s="24" customFormat="1" ht="171.6" x14ac:dyDescent="0.25">
      <c r="A215" s="84" t="str">
        <f>'Scenario Test'!$A$19</f>
        <v>FX_008</v>
      </c>
      <c r="B215" s="21" t="str">
        <f>VLOOKUP(TestCase!A215,'Scenario Test'!$A$5:$B$117,2,0)</f>
        <v>FX GL-Deposit</v>
      </c>
      <c r="C215" s="20" t="s">
        <v>272</v>
      </c>
      <c r="D215" s="20"/>
      <c r="E215" s="86" t="s">
        <v>288</v>
      </c>
      <c r="F215" s="88" t="s">
        <v>106</v>
      </c>
      <c r="G215" s="22" t="s">
        <v>5</v>
      </c>
      <c r="H215" s="23"/>
      <c r="I215" s="91">
        <v>45637</v>
      </c>
      <c r="J215" s="25"/>
      <c r="K215" s="25"/>
      <c r="L215" s="25"/>
      <c r="M215" s="23"/>
      <c r="N215" s="23"/>
    </row>
    <row r="216" spans="1:14" s="24" customFormat="1" ht="171.6" x14ac:dyDescent="0.25">
      <c r="A216" s="84" t="str">
        <f>'Scenario Test'!$A$19</f>
        <v>FX_008</v>
      </c>
      <c r="B216" s="21" t="str">
        <f>VLOOKUP(TestCase!A216,'Scenario Test'!$A$5:$B$117,2,0)</f>
        <v>FX GL-Deposit</v>
      </c>
      <c r="C216" s="20" t="s">
        <v>273</v>
      </c>
      <c r="D216" s="20"/>
      <c r="E216" s="86" t="s">
        <v>287</v>
      </c>
      <c r="F216" s="88" t="s">
        <v>106</v>
      </c>
      <c r="G216" s="22" t="s">
        <v>5</v>
      </c>
      <c r="H216" s="23"/>
      <c r="I216" s="91">
        <v>45637</v>
      </c>
      <c r="J216" s="25"/>
      <c r="K216" s="25"/>
      <c r="L216" s="25"/>
      <c r="M216" s="23"/>
      <c r="N216" s="23"/>
    </row>
    <row r="217" spans="1:14" s="24" customFormat="1" ht="184.8" x14ac:dyDescent="0.25">
      <c r="A217" s="84" t="str">
        <f>'Scenario Test'!$A$19</f>
        <v>FX_008</v>
      </c>
      <c r="B217" s="21" t="str">
        <f>VLOOKUP(TestCase!A217,'Scenario Test'!$A$5:$B$117,2,0)</f>
        <v>FX GL-Deposit</v>
      </c>
      <c r="C217" s="20" t="s">
        <v>274</v>
      </c>
      <c r="D217" s="20"/>
      <c r="E217" s="86" t="s">
        <v>289</v>
      </c>
      <c r="F217" s="88" t="s">
        <v>106</v>
      </c>
      <c r="G217" s="22" t="s">
        <v>5</v>
      </c>
      <c r="H217" s="23"/>
      <c r="I217" s="91">
        <v>45637</v>
      </c>
      <c r="J217" s="25"/>
      <c r="K217" s="25"/>
      <c r="L217" s="25"/>
      <c r="M217" s="23"/>
      <c r="N217" s="23"/>
    </row>
    <row r="218" spans="1:14" s="24" customFormat="1" x14ac:dyDescent="0.25">
      <c r="A218" s="84" t="str">
        <f>'Scenario Test'!$A$19</f>
        <v>FX_008</v>
      </c>
      <c r="B218" s="21" t="str">
        <f>VLOOKUP(TestCase!A218,'Scenario Test'!$A$5:$B$117,2,0)</f>
        <v>FX GL-Deposit</v>
      </c>
      <c r="C218" s="20" t="s">
        <v>275</v>
      </c>
      <c r="D218" s="20"/>
      <c r="E218" s="87" t="s">
        <v>94</v>
      </c>
      <c r="F218" s="88" t="s">
        <v>95</v>
      </c>
      <c r="G218" s="22" t="s">
        <v>5</v>
      </c>
      <c r="H218" s="23"/>
      <c r="I218" s="91">
        <v>45637</v>
      </c>
      <c r="J218" s="25"/>
      <c r="K218" s="25"/>
      <c r="L218" s="25"/>
      <c r="M218" s="23"/>
      <c r="N218" s="25"/>
    </row>
    <row r="219" spans="1:14" x14ac:dyDescent="0.25">
      <c r="A219" s="53" t="str">
        <f>'Scenario Test'!$A$20</f>
        <v>FX_009</v>
      </c>
      <c r="B219" s="54" t="str">
        <f>VLOOKUP(TestCase!A219,'Scenario Test'!$A$5:$B$117,2,0)</f>
        <v>FX GL-GL</v>
      </c>
      <c r="C219" s="53"/>
      <c r="D219" s="53"/>
      <c r="E219" s="53"/>
      <c r="F219" s="53"/>
      <c r="G219" s="55"/>
      <c r="H219" s="54"/>
      <c r="I219" s="55"/>
      <c r="J219" s="54"/>
      <c r="K219" s="54"/>
      <c r="L219" s="54"/>
      <c r="M219" s="54"/>
      <c r="N219" s="54"/>
    </row>
    <row r="220" spans="1:14" s="24" customFormat="1" ht="316.8" x14ac:dyDescent="0.25">
      <c r="A220" s="84" t="str">
        <f>'Scenario Test'!$A$20</f>
        <v>FX_009</v>
      </c>
      <c r="B220" s="21" t="str">
        <f>VLOOKUP(TestCase!A220,'Scenario Test'!$A$5:$B$117,2,0)</f>
        <v>FX GL-GL</v>
      </c>
      <c r="C220" s="20" t="s">
        <v>290</v>
      </c>
      <c r="D220" s="20"/>
      <c r="E220" s="86" t="s">
        <v>515</v>
      </c>
      <c r="F220" s="88" t="s">
        <v>95</v>
      </c>
      <c r="G220" s="22" t="s">
        <v>5</v>
      </c>
      <c r="H220" s="23"/>
      <c r="I220" s="91">
        <v>45637</v>
      </c>
      <c r="J220" s="25"/>
      <c r="K220" s="25"/>
      <c r="L220" s="25"/>
      <c r="M220" s="23"/>
      <c r="N220" s="23"/>
    </row>
    <row r="221" spans="1:14" s="24" customFormat="1" ht="316.8" x14ac:dyDescent="0.25">
      <c r="A221" s="84" t="str">
        <f>'Scenario Test'!$A$20</f>
        <v>FX_009</v>
      </c>
      <c r="B221" s="21" t="str">
        <f>VLOOKUP(TestCase!A221,'Scenario Test'!$A$5:$B$117,2,0)</f>
        <v>FX GL-GL</v>
      </c>
      <c r="C221" s="20" t="s">
        <v>291</v>
      </c>
      <c r="D221" s="20"/>
      <c r="E221" s="86" t="s">
        <v>516</v>
      </c>
      <c r="F221" s="88" t="s">
        <v>95</v>
      </c>
      <c r="G221" s="22" t="s">
        <v>5</v>
      </c>
      <c r="H221" s="23"/>
      <c r="I221" s="91">
        <v>45637</v>
      </c>
      <c r="J221" s="25"/>
      <c r="K221" s="25"/>
      <c r="L221" s="25"/>
      <c r="M221" s="23"/>
      <c r="N221" s="23"/>
    </row>
    <row r="222" spans="1:14" s="24" customFormat="1" ht="316.8" x14ac:dyDescent="0.25">
      <c r="A222" s="84" t="str">
        <f>'Scenario Test'!$A$20</f>
        <v>FX_009</v>
      </c>
      <c r="B222" s="21" t="str">
        <f>VLOOKUP(TestCase!A222,'Scenario Test'!$A$5:$B$117,2,0)</f>
        <v>FX GL-GL</v>
      </c>
      <c r="C222" s="20" t="s">
        <v>292</v>
      </c>
      <c r="D222" s="20"/>
      <c r="E222" s="86" t="s">
        <v>517</v>
      </c>
      <c r="F222" s="88" t="s">
        <v>95</v>
      </c>
      <c r="G222" s="22" t="s">
        <v>5</v>
      </c>
      <c r="H222" s="23"/>
      <c r="I222" s="91">
        <v>45637</v>
      </c>
      <c r="J222" s="25"/>
      <c r="K222" s="25"/>
      <c r="L222" s="25"/>
      <c r="M222" s="23"/>
      <c r="N222" s="23"/>
    </row>
    <row r="223" spans="1:14" s="24" customFormat="1" ht="316.8" x14ac:dyDescent="0.25">
      <c r="A223" s="84" t="str">
        <f>'Scenario Test'!$A$20</f>
        <v>FX_009</v>
      </c>
      <c r="B223" s="21" t="str">
        <f>VLOOKUP(TestCase!A223,'Scenario Test'!$A$5:$B$117,2,0)</f>
        <v>FX GL-GL</v>
      </c>
      <c r="C223" s="20" t="s">
        <v>293</v>
      </c>
      <c r="D223" s="20"/>
      <c r="E223" s="86" t="s">
        <v>518</v>
      </c>
      <c r="F223" s="88" t="s">
        <v>95</v>
      </c>
      <c r="G223" s="22" t="s">
        <v>5</v>
      </c>
      <c r="H223" s="23"/>
      <c r="I223" s="91">
        <v>45637</v>
      </c>
      <c r="J223" s="25"/>
      <c r="K223" s="25"/>
      <c r="L223" s="25"/>
      <c r="M223" s="23"/>
      <c r="N223" s="23"/>
    </row>
    <row r="224" spans="1:14" s="24" customFormat="1" ht="330" x14ac:dyDescent="0.25">
      <c r="A224" s="84" t="str">
        <f>'Scenario Test'!$A$20</f>
        <v>FX_009</v>
      </c>
      <c r="B224" s="21" t="str">
        <f>VLOOKUP(TestCase!A224,'Scenario Test'!$A$5:$B$117,2,0)</f>
        <v>FX GL-GL</v>
      </c>
      <c r="C224" s="20" t="s">
        <v>294</v>
      </c>
      <c r="D224" s="20"/>
      <c r="E224" s="86" t="s">
        <v>519</v>
      </c>
      <c r="F224" s="88" t="s">
        <v>95</v>
      </c>
      <c r="G224" s="22" t="s">
        <v>5</v>
      </c>
      <c r="H224" s="23"/>
      <c r="I224" s="91">
        <v>45637</v>
      </c>
      <c r="J224" s="25"/>
      <c r="K224" s="25"/>
      <c r="L224" s="25"/>
      <c r="M224" s="23"/>
      <c r="N224" s="23"/>
    </row>
    <row r="225" spans="1:14" s="24" customFormat="1" x14ac:dyDescent="0.25">
      <c r="A225" s="84" t="str">
        <f>'Scenario Test'!$A$20</f>
        <v>FX_009</v>
      </c>
      <c r="B225" s="21" t="str">
        <f>VLOOKUP(TestCase!A225,'Scenario Test'!$A$5:$B$117,2,0)</f>
        <v>FX GL-GL</v>
      </c>
      <c r="C225" s="20" t="s">
        <v>295</v>
      </c>
      <c r="D225" s="20"/>
      <c r="E225" s="89" t="s">
        <v>99</v>
      </c>
      <c r="F225" s="88" t="s">
        <v>106</v>
      </c>
      <c r="G225" s="22" t="s">
        <v>5</v>
      </c>
      <c r="H225" s="23"/>
      <c r="I225" s="91">
        <v>45637</v>
      </c>
      <c r="J225" s="25"/>
      <c r="K225" s="25"/>
      <c r="L225" s="25"/>
      <c r="M225" s="23"/>
      <c r="N225" s="23"/>
    </row>
    <row r="226" spans="1:14" s="24" customFormat="1" x14ac:dyDescent="0.25">
      <c r="A226" s="84" t="str">
        <f>'Scenario Test'!$A$20</f>
        <v>FX_009</v>
      </c>
      <c r="B226" s="21" t="str">
        <f>VLOOKUP(TestCase!A226,'Scenario Test'!$A$5:$B$117,2,0)</f>
        <v>FX GL-GL</v>
      </c>
      <c r="C226" s="20" t="s">
        <v>296</v>
      </c>
      <c r="D226" s="20"/>
      <c r="E226" s="89" t="s">
        <v>100</v>
      </c>
      <c r="F226" s="88" t="s">
        <v>106</v>
      </c>
      <c r="G226" s="22" t="s">
        <v>5</v>
      </c>
      <c r="H226" s="23"/>
      <c r="I226" s="91">
        <v>45637</v>
      </c>
      <c r="J226" s="25"/>
      <c r="K226" s="25"/>
      <c r="L226" s="25"/>
      <c r="M226" s="23"/>
      <c r="N226" s="23"/>
    </row>
    <row r="227" spans="1:14" s="24" customFormat="1" x14ac:dyDescent="0.25">
      <c r="A227" s="84" t="str">
        <f>'Scenario Test'!$A$20</f>
        <v>FX_009</v>
      </c>
      <c r="B227" s="21" t="str">
        <f>VLOOKUP(TestCase!A227,'Scenario Test'!$A$5:$B$117,2,0)</f>
        <v>FX GL-GL</v>
      </c>
      <c r="C227" s="20" t="s">
        <v>297</v>
      </c>
      <c r="D227" s="20"/>
      <c r="E227" s="89" t="s">
        <v>123</v>
      </c>
      <c r="F227" s="88" t="s">
        <v>106</v>
      </c>
      <c r="G227" s="22" t="s">
        <v>5</v>
      </c>
      <c r="H227" s="23"/>
      <c r="I227" s="91">
        <v>45637</v>
      </c>
      <c r="J227" s="25"/>
      <c r="K227" s="25"/>
      <c r="L227" s="25"/>
      <c r="M227" s="23"/>
      <c r="N227" s="23"/>
    </row>
    <row r="228" spans="1:14" s="24" customFormat="1" x14ac:dyDescent="0.25">
      <c r="A228" s="84" t="str">
        <f>'Scenario Test'!$A$20</f>
        <v>FX_009</v>
      </c>
      <c r="B228" s="21" t="str">
        <f>VLOOKUP(TestCase!A228,'Scenario Test'!$A$5:$B$117,2,0)</f>
        <v>FX GL-GL</v>
      </c>
      <c r="C228" s="20" t="s">
        <v>298</v>
      </c>
      <c r="D228" s="20"/>
      <c r="E228" s="89" t="s">
        <v>124</v>
      </c>
      <c r="F228" s="88" t="s">
        <v>106</v>
      </c>
      <c r="G228" s="22" t="s">
        <v>5</v>
      </c>
      <c r="H228" s="23"/>
      <c r="I228" s="91">
        <v>45637</v>
      </c>
      <c r="J228" s="25"/>
      <c r="K228" s="25"/>
      <c r="L228" s="25"/>
      <c r="M228" s="23"/>
      <c r="N228" s="23"/>
    </row>
    <row r="229" spans="1:14" s="24" customFormat="1" x14ac:dyDescent="0.25">
      <c r="A229" s="84" t="str">
        <f>'Scenario Test'!$A$20</f>
        <v>FX_009</v>
      </c>
      <c r="B229" s="21" t="str">
        <f>VLOOKUP(TestCase!A229,'Scenario Test'!$A$5:$B$117,2,0)</f>
        <v>FX GL-GL</v>
      </c>
      <c r="C229" s="20" t="s">
        <v>299</v>
      </c>
      <c r="D229" s="20"/>
      <c r="E229" s="89" t="s">
        <v>125</v>
      </c>
      <c r="F229" s="88" t="s">
        <v>106</v>
      </c>
      <c r="G229" s="22" t="s">
        <v>5</v>
      </c>
      <c r="H229" s="23"/>
      <c r="I229" s="91">
        <v>45637</v>
      </c>
      <c r="J229" s="25"/>
      <c r="K229" s="25"/>
      <c r="L229" s="25"/>
      <c r="M229" s="23"/>
      <c r="N229" s="25"/>
    </row>
    <row r="230" spans="1:14" s="24" customFormat="1" x14ac:dyDescent="0.25">
      <c r="A230" s="84" t="str">
        <f>'Scenario Test'!$A$20</f>
        <v>FX_009</v>
      </c>
      <c r="B230" s="21" t="str">
        <f>VLOOKUP(TestCase!A230,'Scenario Test'!$A$5:$B$117,2,0)</f>
        <v>FX GL-GL</v>
      </c>
      <c r="C230" s="20" t="s">
        <v>300</v>
      </c>
      <c r="D230" s="20"/>
      <c r="E230" s="89" t="s">
        <v>126</v>
      </c>
      <c r="F230" s="88" t="s">
        <v>106</v>
      </c>
      <c r="G230" s="22" t="s">
        <v>5</v>
      </c>
      <c r="H230" s="23"/>
      <c r="I230" s="91">
        <v>45637</v>
      </c>
      <c r="J230" s="25"/>
      <c r="K230" s="25"/>
      <c r="L230" s="25"/>
      <c r="M230" s="23"/>
      <c r="N230" s="25"/>
    </row>
    <row r="231" spans="1:14" s="24" customFormat="1" ht="184.8" x14ac:dyDescent="0.25">
      <c r="A231" s="84" t="str">
        <f>'Scenario Test'!$A$20</f>
        <v>FX_009</v>
      </c>
      <c r="B231" s="21" t="str">
        <f>VLOOKUP(TestCase!A231,'Scenario Test'!$A$5:$B$117,2,0)</f>
        <v>FX GL-GL</v>
      </c>
      <c r="C231" s="20" t="s">
        <v>301</v>
      </c>
      <c r="D231" s="20"/>
      <c r="E231" s="86" t="s">
        <v>311</v>
      </c>
      <c r="F231" s="88" t="s">
        <v>106</v>
      </c>
      <c r="G231" s="22" t="s">
        <v>5</v>
      </c>
      <c r="H231" s="23"/>
      <c r="I231" s="91">
        <v>45637</v>
      </c>
      <c r="J231" s="25"/>
      <c r="K231" s="25"/>
      <c r="L231" s="25"/>
      <c r="M231" s="23"/>
      <c r="N231" s="23"/>
    </row>
    <row r="232" spans="1:14" s="24" customFormat="1" ht="184.8" x14ac:dyDescent="0.25">
      <c r="A232" s="84" t="str">
        <f>'Scenario Test'!$A$20</f>
        <v>FX_009</v>
      </c>
      <c r="B232" s="21" t="str">
        <f>VLOOKUP(TestCase!A232,'Scenario Test'!$A$5:$B$117,2,0)</f>
        <v>FX GL-GL</v>
      </c>
      <c r="C232" s="20" t="s">
        <v>302</v>
      </c>
      <c r="D232" s="20"/>
      <c r="E232" s="86" t="s">
        <v>312</v>
      </c>
      <c r="F232" s="88" t="s">
        <v>106</v>
      </c>
      <c r="G232" s="22" t="s">
        <v>5</v>
      </c>
      <c r="H232" s="23"/>
      <c r="I232" s="91">
        <v>45637</v>
      </c>
      <c r="J232" s="25"/>
      <c r="K232" s="25"/>
      <c r="L232" s="25"/>
      <c r="M232" s="23"/>
      <c r="N232" s="23"/>
    </row>
    <row r="233" spans="1:14" s="24" customFormat="1" ht="184.8" x14ac:dyDescent="0.25">
      <c r="A233" s="84" t="str">
        <f>'Scenario Test'!$A$20</f>
        <v>FX_009</v>
      </c>
      <c r="B233" s="21" t="str">
        <f>VLOOKUP(TestCase!A233,'Scenario Test'!$A$5:$B$117,2,0)</f>
        <v>FX GL-GL</v>
      </c>
      <c r="C233" s="20" t="s">
        <v>303</v>
      </c>
      <c r="D233" s="20"/>
      <c r="E233" s="86" t="s">
        <v>313</v>
      </c>
      <c r="F233" s="88" t="s">
        <v>106</v>
      </c>
      <c r="G233" s="22" t="s">
        <v>5</v>
      </c>
      <c r="H233" s="23" t="s">
        <v>475</v>
      </c>
      <c r="I233" s="91">
        <v>45637</v>
      </c>
      <c r="J233" s="25"/>
      <c r="K233" s="25"/>
      <c r="L233" s="25"/>
      <c r="M233" s="23"/>
      <c r="N233" s="23"/>
    </row>
    <row r="234" spans="1:14" s="24" customFormat="1" ht="184.8" x14ac:dyDescent="0.25">
      <c r="A234" s="84" t="str">
        <f>'Scenario Test'!$A$20</f>
        <v>FX_009</v>
      </c>
      <c r="B234" s="21" t="str">
        <f>VLOOKUP(TestCase!A234,'Scenario Test'!$A$5:$B$117,2,0)</f>
        <v>FX GL-GL</v>
      </c>
      <c r="C234" s="20" t="s">
        <v>304</v>
      </c>
      <c r="D234" s="20"/>
      <c r="E234" s="86" t="s">
        <v>314</v>
      </c>
      <c r="F234" s="88" t="s">
        <v>106</v>
      </c>
      <c r="G234" s="22" t="s">
        <v>5</v>
      </c>
      <c r="H234" s="23" t="s">
        <v>475</v>
      </c>
      <c r="I234" s="91">
        <v>45637</v>
      </c>
      <c r="J234" s="25"/>
      <c r="K234" s="25"/>
      <c r="L234" s="25"/>
      <c r="M234" s="23"/>
      <c r="N234" s="23"/>
    </row>
    <row r="235" spans="1:14" s="24" customFormat="1" ht="184.8" x14ac:dyDescent="0.25">
      <c r="A235" s="84" t="str">
        <f>'Scenario Test'!$A$20</f>
        <v>FX_009</v>
      </c>
      <c r="B235" s="21" t="str">
        <f>VLOOKUP(TestCase!A235,'Scenario Test'!$A$5:$B$117,2,0)</f>
        <v>FX GL-GL</v>
      </c>
      <c r="C235" s="20" t="s">
        <v>305</v>
      </c>
      <c r="D235" s="20"/>
      <c r="E235" s="86" t="s">
        <v>315</v>
      </c>
      <c r="F235" s="88" t="s">
        <v>106</v>
      </c>
      <c r="G235" s="22" t="s">
        <v>5</v>
      </c>
      <c r="H235" s="23"/>
      <c r="I235" s="91">
        <v>45637</v>
      </c>
      <c r="J235" s="25"/>
      <c r="K235" s="25"/>
      <c r="L235" s="25"/>
      <c r="M235" s="23"/>
      <c r="N235" s="23"/>
    </row>
    <row r="236" spans="1:14" s="24" customFormat="1" ht="184.8" x14ac:dyDescent="0.25">
      <c r="A236" s="84" t="str">
        <f>'Scenario Test'!$A$20</f>
        <v>FX_009</v>
      </c>
      <c r="B236" s="21" t="str">
        <f>VLOOKUP(TestCase!A236,'Scenario Test'!$A$5:$B$117,2,0)</f>
        <v>FX GL-GL</v>
      </c>
      <c r="C236" s="20" t="s">
        <v>306</v>
      </c>
      <c r="D236" s="20"/>
      <c r="E236" s="86" t="s">
        <v>316</v>
      </c>
      <c r="F236" s="88" t="s">
        <v>106</v>
      </c>
      <c r="G236" s="22" t="s">
        <v>5</v>
      </c>
      <c r="H236" s="23"/>
      <c r="I236" s="91">
        <v>45637</v>
      </c>
      <c r="J236" s="25"/>
      <c r="K236" s="25"/>
      <c r="L236" s="25"/>
      <c r="M236" s="23"/>
      <c r="N236" s="23"/>
    </row>
    <row r="237" spans="1:14" s="24" customFormat="1" ht="184.8" x14ac:dyDescent="0.25">
      <c r="A237" s="84" t="str">
        <f>'Scenario Test'!$A$20</f>
        <v>FX_009</v>
      </c>
      <c r="B237" s="21" t="str">
        <f>VLOOKUP(TestCase!A237,'Scenario Test'!$A$5:$B$117,2,0)</f>
        <v>FX GL-GL</v>
      </c>
      <c r="C237" s="20" t="s">
        <v>307</v>
      </c>
      <c r="D237" s="20"/>
      <c r="E237" s="86" t="s">
        <v>317</v>
      </c>
      <c r="F237" s="88" t="s">
        <v>106</v>
      </c>
      <c r="G237" s="22" t="s">
        <v>5</v>
      </c>
      <c r="H237" s="23" t="s">
        <v>475</v>
      </c>
      <c r="I237" s="91">
        <v>45637</v>
      </c>
      <c r="J237" s="25"/>
      <c r="K237" s="25"/>
      <c r="L237" s="25"/>
      <c r="M237" s="23"/>
      <c r="N237" s="23"/>
    </row>
    <row r="238" spans="1:14" s="24" customFormat="1" ht="184.8" x14ac:dyDescent="0.25">
      <c r="A238" s="84" t="str">
        <f>'Scenario Test'!$A$20</f>
        <v>FX_009</v>
      </c>
      <c r="B238" s="21" t="str">
        <f>VLOOKUP(TestCase!A238,'Scenario Test'!$A$5:$B$117,2,0)</f>
        <v>FX GL-GL</v>
      </c>
      <c r="C238" s="20" t="s">
        <v>308</v>
      </c>
      <c r="D238" s="20"/>
      <c r="E238" s="86" t="s">
        <v>318</v>
      </c>
      <c r="F238" s="88" t="s">
        <v>106</v>
      </c>
      <c r="G238" s="22" t="s">
        <v>5</v>
      </c>
      <c r="H238" s="23" t="s">
        <v>475</v>
      </c>
      <c r="I238" s="91">
        <v>45637</v>
      </c>
      <c r="J238" s="25"/>
      <c r="K238" s="25"/>
      <c r="L238" s="25"/>
      <c r="M238" s="23"/>
      <c r="N238" s="23"/>
    </row>
    <row r="239" spans="1:14" s="24" customFormat="1" ht="198" x14ac:dyDescent="0.25">
      <c r="A239" s="84" t="str">
        <f>'Scenario Test'!$A$20</f>
        <v>FX_009</v>
      </c>
      <c r="B239" s="21" t="str">
        <f>VLOOKUP(TestCase!A239,'Scenario Test'!$A$5:$B$117,2,0)</f>
        <v>FX GL-GL</v>
      </c>
      <c r="C239" s="20" t="s">
        <v>309</v>
      </c>
      <c r="D239" s="20"/>
      <c r="E239" s="86" t="s">
        <v>319</v>
      </c>
      <c r="F239" s="88" t="s">
        <v>106</v>
      </c>
      <c r="G239" s="22" t="s">
        <v>5</v>
      </c>
      <c r="H239" s="23"/>
      <c r="I239" s="91">
        <v>45637</v>
      </c>
      <c r="J239" s="25"/>
      <c r="K239" s="25"/>
      <c r="L239" s="25"/>
      <c r="M239" s="23"/>
      <c r="N239" s="23"/>
    </row>
    <row r="240" spans="1:14" s="24" customFormat="1" x14ac:dyDescent="0.25">
      <c r="A240" s="84" t="str">
        <f>'Scenario Test'!$A$20</f>
        <v>FX_009</v>
      </c>
      <c r="B240" s="21" t="str">
        <f>VLOOKUP(TestCase!A240,'Scenario Test'!$A$5:$B$117,2,0)</f>
        <v>FX GL-GL</v>
      </c>
      <c r="C240" s="20" t="s">
        <v>310</v>
      </c>
      <c r="D240" s="20"/>
      <c r="E240" s="87" t="s">
        <v>94</v>
      </c>
      <c r="F240" s="88" t="s">
        <v>95</v>
      </c>
      <c r="G240" s="22" t="s">
        <v>5</v>
      </c>
      <c r="H240" s="23"/>
      <c r="I240" s="91">
        <v>45637</v>
      </c>
      <c r="J240" s="25"/>
      <c r="K240" s="25"/>
      <c r="L240" s="25"/>
      <c r="M240" s="23"/>
      <c r="N240" s="25"/>
    </row>
  </sheetData>
  <autoFilter ref="A5:N5" xr:uid="{00000000-0009-0000-0000-000003000000}"/>
  <dataConsolidate/>
  <phoneticPr fontId="22" type="noConversion"/>
  <dataValidations count="1">
    <dataValidation type="list" allowBlank="1" showInputMessage="1" showErrorMessage="1" sqref="G155:G179 G66:G76 G78:G91 G131:G153 G110:G129 G199:G218 G93:G108 G7:G12 G181:G197 G60:G64 G39:G58 G220:G240 G14:G37" xr:uid="{00000000-0002-0000-0300-000000000000}">
      <formula1>"Pass,Fail,-, ,+,Block, Pending, Not Completed"</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104F7-2E96-4688-8BF4-C3F1C62C6145}">
  <dimension ref="A1:J30"/>
  <sheetViews>
    <sheetView zoomScale="70" zoomScaleNormal="70" workbookViewId="0">
      <pane xSplit="2" topLeftCell="C1" activePane="topRight" state="frozen"/>
      <selection pane="topRight" activeCell="C33" sqref="C33"/>
    </sheetView>
  </sheetViews>
  <sheetFormatPr defaultRowHeight="13.8" x14ac:dyDescent="0.25"/>
  <cols>
    <col min="1" max="1" width="35.09765625" customWidth="1"/>
    <col min="2" max="2" width="76.69921875" customWidth="1"/>
    <col min="3" max="3" width="21.796875" customWidth="1"/>
    <col min="4" max="4" width="61.8984375" customWidth="1"/>
    <col min="5" max="5" width="21.796875" customWidth="1"/>
    <col min="6" max="6" width="20.796875" customWidth="1"/>
    <col min="7" max="7" width="21.69921875" customWidth="1"/>
    <col min="8" max="8" width="62.8984375" customWidth="1"/>
    <col min="9" max="9" width="21.69921875" customWidth="1"/>
    <col min="10" max="10" width="58.796875" customWidth="1"/>
  </cols>
  <sheetData>
    <row r="1" spans="1:10" ht="17.399999999999999" x14ac:dyDescent="0.25">
      <c r="A1" s="149" t="s">
        <v>436</v>
      </c>
      <c r="B1" s="151" t="s">
        <v>437</v>
      </c>
      <c r="C1" s="151" t="s">
        <v>438</v>
      </c>
      <c r="D1" s="151"/>
      <c r="E1" s="151"/>
      <c r="F1" s="151"/>
      <c r="G1" s="151"/>
      <c r="H1" s="151"/>
      <c r="I1" s="151"/>
      <c r="J1" s="153"/>
    </row>
    <row r="2" spans="1:10" ht="17.399999999999999" x14ac:dyDescent="0.25">
      <c r="A2" s="150"/>
      <c r="B2" s="152"/>
      <c r="C2" s="154" t="s">
        <v>439</v>
      </c>
      <c r="D2" s="154"/>
      <c r="E2" s="154" t="s">
        <v>440</v>
      </c>
      <c r="F2" s="154"/>
      <c r="G2" s="154" t="s">
        <v>441</v>
      </c>
      <c r="H2" s="154"/>
      <c r="I2" s="154" t="s">
        <v>442</v>
      </c>
      <c r="J2" s="155"/>
    </row>
    <row r="3" spans="1:10" ht="17.399999999999999" x14ac:dyDescent="0.25">
      <c r="A3" s="150"/>
      <c r="B3" s="152"/>
      <c r="C3" s="101" t="s">
        <v>443</v>
      </c>
      <c r="D3" s="101" t="s">
        <v>436</v>
      </c>
      <c r="E3" s="101" t="s">
        <v>443</v>
      </c>
      <c r="F3" s="101" t="s">
        <v>436</v>
      </c>
      <c r="G3" s="101" t="s">
        <v>443</v>
      </c>
      <c r="H3" s="101" t="s">
        <v>436</v>
      </c>
      <c r="I3" s="101" t="s">
        <v>443</v>
      </c>
      <c r="J3" s="102" t="s">
        <v>436</v>
      </c>
    </row>
    <row r="4" spans="1:10" ht="193.2" x14ac:dyDescent="0.25">
      <c r="A4" s="162" t="s">
        <v>444</v>
      </c>
      <c r="B4" s="164" t="s">
        <v>445</v>
      </c>
      <c r="C4" s="103" t="s">
        <v>446</v>
      </c>
      <c r="D4" s="103" t="s">
        <v>447</v>
      </c>
      <c r="E4" s="103" t="s">
        <v>448</v>
      </c>
      <c r="F4" s="103" t="s">
        <v>447</v>
      </c>
      <c r="G4" s="104" t="s">
        <v>449</v>
      </c>
      <c r="H4" s="105" t="s">
        <v>450</v>
      </c>
      <c r="I4" s="106" t="s">
        <v>451</v>
      </c>
      <c r="J4" s="107" t="s">
        <v>452</v>
      </c>
    </row>
    <row r="5" spans="1:10" ht="55.2" x14ac:dyDescent="0.25">
      <c r="A5" s="162"/>
      <c r="B5" s="164"/>
      <c r="C5" s="108" t="s">
        <v>453</v>
      </c>
      <c r="D5" s="108" t="s">
        <v>454</v>
      </c>
      <c r="E5" s="109" t="s">
        <v>455</v>
      </c>
      <c r="F5" s="103" t="s">
        <v>447</v>
      </c>
      <c r="G5" s="110" t="s">
        <v>456</v>
      </c>
      <c r="H5" s="105" t="s">
        <v>457</v>
      </c>
      <c r="I5" s="111" t="s">
        <v>458</v>
      </c>
      <c r="J5" s="112" t="s">
        <v>447</v>
      </c>
    </row>
    <row r="6" spans="1:10" ht="13.8" customHeight="1" x14ac:dyDescent="0.25">
      <c r="A6" s="162"/>
      <c r="B6" s="164"/>
      <c r="C6" s="109" t="s">
        <v>459</v>
      </c>
      <c r="D6" s="103" t="s">
        <v>447</v>
      </c>
      <c r="E6" s="108" t="s">
        <v>460</v>
      </c>
      <c r="F6" s="103" t="s">
        <v>447</v>
      </c>
      <c r="G6" s="113" t="s">
        <v>461</v>
      </c>
      <c r="H6" s="111" t="s">
        <v>447</v>
      </c>
      <c r="I6" s="111" t="s">
        <v>462</v>
      </c>
      <c r="J6" s="112" t="s">
        <v>447</v>
      </c>
    </row>
    <row r="7" spans="1:10" ht="13.8" customHeight="1" x14ac:dyDescent="0.25">
      <c r="A7" s="162"/>
      <c r="B7" s="164"/>
      <c r="C7" s="108" t="s">
        <v>455</v>
      </c>
      <c r="D7" s="103" t="s">
        <v>447</v>
      </c>
      <c r="E7" s="108"/>
      <c r="F7" s="108"/>
      <c r="G7" s="111" t="s">
        <v>446</v>
      </c>
      <c r="H7" s="111" t="s">
        <v>447</v>
      </c>
      <c r="I7" s="111" t="s">
        <v>463</v>
      </c>
      <c r="J7" s="112" t="s">
        <v>447</v>
      </c>
    </row>
    <row r="8" spans="1:10" ht="13.8" customHeight="1" x14ac:dyDescent="0.25">
      <c r="A8" s="162"/>
      <c r="B8" s="164"/>
      <c r="C8" s="108" t="s">
        <v>460</v>
      </c>
      <c r="D8" s="103" t="s">
        <v>447</v>
      </c>
      <c r="E8" s="108"/>
      <c r="F8" s="108"/>
      <c r="G8" s="113" t="s">
        <v>455</v>
      </c>
      <c r="H8" s="111" t="s">
        <v>447</v>
      </c>
      <c r="I8" s="111" t="s">
        <v>446</v>
      </c>
      <c r="J8" s="112" t="s">
        <v>447</v>
      </c>
    </row>
    <row r="9" spans="1:10" ht="13.8" customHeight="1" x14ac:dyDescent="0.25">
      <c r="A9" s="162"/>
      <c r="B9" s="164"/>
      <c r="C9" s="108"/>
      <c r="D9" s="108"/>
      <c r="E9" s="108"/>
      <c r="F9" s="108"/>
      <c r="G9" s="113" t="s">
        <v>460</v>
      </c>
      <c r="H9" s="111" t="s">
        <v>447</v>
      </c>
      <c r="I9" s="114" t="s">
        <v>455</v>
      </c>
      <c r="J9" s="112" t="s">
        <v>447</v>
      </c>
    </row>
    <row r="10" spans="1:10" ht="14.4" thickBot="1" x14ac:dyDescent="0.3">
      <c r="A10" s="163"/>
      <c r="B10" s="165"/>
      <c r="C10" s="115"/>
      <c r="D10" s="115"/>
      <c r="E10" s="115"/>
      <c r="F10" s="115"/>
      <c r="G10" s="116"/>
      <c r="H10" s="117"/>
      <c r="I10" s="116" t="s">
        <v>460</v>
      </c>
      <c r="J10" s="118" t="s">
        <v>447</v>
      </c>
    </row>
    <row r="11" spans="1:10" ht="193.2" x14ac:dyDescent="0.25">
      <c r="A11" s="166" t="s">
        <v>464</v>
      </c>
      <c r="B11" s="167" t="s">
        <v>465</v>
      </c>
      <c r="C11" s="106" t="s">
        <v>446</v>
      </c>
      <c r="D11" s="106" t="s">
        <v>447</v>
      </c>
      <c r="E11" s="106" t="s">
        <v>448</v>
      </c>
      <c r="F11" s="106" t="s">
        <v>447</v>
      </c>
      <c r="G11" s="106" t="s">
        <v>449</v>
      </c>
      <c r="H11" s="105" t="s">
        <v>466</v>
      </c>
      <c r="I11" s="119" t="s">
        <v>451</v>
      </c>
      <c r="J11" s="120" t="s">
        <v>467</v>
      </c>
    </row>
    <row r="12" spans="1:10" ht="55.2" x14ac:dyDescent="0.25">
      <c r="A12" s="162"/>
      <c r="B12" s="168"/>
      <c r="C12" s="111" t="s">
        <v>459</v>
      </c>
      <c r="D12" s="119" t="s">
        <v>447</v>
      </c>
      <c r="E12" s="111" t="s">
        <v>455</v>
      </c>
      <c r="F12" s="119" t="s">
        <v>447</v>
      </c>
      <c r="G12" s="111" t="s">
        <v>456</v>
      </c>
      <c r="H12" s="105" t="s">
        <v>457</v>
      </c>
      <c r="I12" s="111" t="s">
        <v>458</v>
      </c>
      <c r="J12" s="112" t="s">
        <v>447</v>
      </c>
    </row>
    <row r="13" spans="1:10" ht="13.8" customHeight="1" x14ac:dyDescent="0.25">
      <c r="A13" s="162"/>
      <c r="B13" s="168"/>
      <c r="C13" s="114" t="s">
        <v>455</v>
      </c>
      <c r="D13" s="119" t="s">
        <v>447</v>
      </c>
      <c r="E13" s="114" t="s">
        <v>460</v>
      </c>
      <c r="F13" s="119" t="s">
        <v>447</v>
      </c>
      <c r="G13" s="114" t="s">
        <v>461</v>
      </c>
      <c r="H13" s="111" t="s">
        <v>447</v>
      </c>
      <c r="I13" s="111" t="s">
        <v>462</v>
      </c>
      <c r="J13" s="112" t="s">
        <v>447</v>
      </c>
    </row>
    <row r="14" spans="1:10" ht="13.8" customHeight="1" x14ac:dyDescent="0.25">
      <c r="A14" s="162"/>
      <c r="B14" s="168"/>
      <c r="C14" s="114" t="s">
        <v>460</v>
      </c>
      <c r="D14" s="119" t="s">
        <v>447</v>
      </c>
      <c r="E14" s="114"/>
      <c r="F14" s="114"/>
      <c r="G14" s="111" t="s">
        <v>446</v>
      </c>
      <c r="H14" s="111" t="s">
        <v>447</v>
      </c>
      <c r="I14" s="111" t="s">
        <v>463</v>
      </c>
      <c r="J14" s="112" t="s">
        <v>447</v>
      </c>
    </row>
    <row r="15" spans="1:10" ht="13.8" customHeight="1" x14ac:dyDescent="0.25">
      <c r="A15" s="162"/>
      <c r="B15" s="168"/>
      <c r="C15" s="114"/>
      <c r="D15" s="114"/>
      <c r="E15" s="114"/>
      <c r="F15" s="114"/>
      <c r="G15" s="114" t="s">
        <v>455</v>
      </c>
      <c r="H15" s="111" t="s">
        <v>447</v>
      </c>
      <c r="I15" s="111" t="s">
        <v>446</v>
      </c>
      <c r="J15" s="112" t="s">
        <v>447</v>
      </c>
    </row>
    <row r="16" spans="1:10" x14ac:dyDescent="0.25">
      <c r="A16" s="162"/>
      <c r="B16" s="168"/>
      <c r="C16" s="114"/>
      <c r="D16" s="114"/>
      <c r="E16" s="114"/>
      <c r="F16" s="114"/>
      <c r="G16" s="114" t="s">
        <v>460</v>
      </c>
      <c r="H16" s="111" t="s">
        <v>447</v>
      </c>
      <c r="I16" s="114" t="s">
        <v>455</v>
      </c>
      <c r="J16" s="112" t="s">
        <v>447</v>
      </c>
    </row>
    <row r="17" spans="1:10" ht="14.4" thickBot="1" x14ac:dyDescent="0.3">
      <c r="A17" s="163"/>
      <c r="B17" s="165"/>
      <c r="C17" s="116"/>
      <c r="D17" s="116"/>
      <c r="E17" s="116"/>
      <c r="F17" s="116"/>
      <c r="G17" s="116"/>
      <c r="H17" s="116"/>
      <c r="I17" s="116" t="s">
        <v>460</v>
      </c>
      <c r="J17" s="118" t="s">
        <v>447</v>
      </c>
    </row>
    <row r="18" spans="1:10" ht="276" x14ac:dyDescent="0.25">
      <c r="A18" s="166" t="s">
        <v>468</v>
      </c>
      <c r="B18" s="169" t="s">
        <v>469</v>
      </c>
      <c r="C18" s="103" t="s">
        <v>446</v>
      </c>
      <c r="D18" s="103" t="s">
        <v>447</v>
      </c>
      <c r="E18" s="122" t="s">
        <v>448</v>
      </c>
      <c r="F18" s="123" t="s">
        <v>447</v>
      </c>
      <c r="G18" s="123" t="s">
        <v>449</v>
      </c>
      <c r="H18" s="124" t="s">
        <v>450</v>
      </c>
      <c r="I18" s="123" t="s">
        <v>451</v>
      </c>
      <c r="J18" s="125" t="s">
        <v>470</v>
      </c>
    </row>
    <row r="19" spans="1:10" x14ac:dyDescent="0.25">
      <c r="A19" s="162"/>
      <c r="B19" s="164"/>
      <c r="C19" s="108" t="s">
        <v>453</v>
      </c>
      <c r="D19" s="108" t="s">
        <v>454</v>
      </c>
      <c r="E19" s="110" t="s">
        <v>455</v>
      </c>
      <c r="F19" s="119" t="s">
        <v>447</v>
      </c>
      <c r="G19" s="111" t="s">
        <v>456</v>
      </c>
      <c r="H19" s="111" t="s">
        <v>447</v>
      </c>
      <c r="I19" s="111" t="s">
        <v>471</v>
      </c>
      <c r="J19" s="126" t="s">
        <v>472</v>
      </c>
    </row>
    <row r="20" spans="1:10" x14ac:dyDescent="0.25">
      <c r="A20" s="162"/>
      <c r="B20" s="164"/>
      <c r="C20" s="109" t="s">
        <v>459</v>
      </c>
      <c r="D20" s="103" t="s">
        <v>447</v>
      </c>
      <c r="E20" s="113" t="s">
        <v>460</v>
      </c>
      <c r="F20" s="119" t="s">
        <v>447</v>
      </c>
      <c r="G20" s="114" t="s">
        <v>461</v>
      </c>
      <c r="H20" s="111" t="s">
        <v>447</v>
      </c>
      <c r="I20" s="114" t="s">
        <v>473</v>
      </c>
      <c r="J20" s="112" t="s">
        <v>447</v>
      </c>
    </row>
    <row r="21" spans="1:10" x14ac:dyDescent="0.25">
      <c r="A21" s="162"/>
      <c r="B21" s="164"/>
      <c r="C21" s="108" t="s">
        <v>455</v>
      </c>
      <c r="D21" s="103" t="s">
        <v>447</v>
      </c>
      <c r="E21" s="113"/>
      <c r="F21" s="114"/>
      <c r="G21" s="111" t="s">
        <v>446</v>
      </c>
      <c r="H21" s="111" t="s">
        <v>447</v>
      </c>
      <c r="I21" s="111" t="s">
        <v>458</v>
      </c>
      <c r="J21" s="112" t="s">
        <v>447</v>
      </c>
    </row>
    <row r="22" spans="1:10" x14ac:dyDescent="0.25">
      <c r="A22" s="162"/>
      <c r="B22" s="164"/>
      <c r="C22" s="108" t="s">
        <v>460</v>
      </c>
      <c r="D22" s="103" t="s">
        <v>447</v>
      </c>
      <c r="E22" s="113"/>
      <c r="F22" s="114"/>
      <c r="G22" s="114" t="s">
        <v>455</v>
      </c>
      <c r="H22" s="111" t="s">
        <v>447</v>
      </c>
      <c r="I22" s="111" t="s">
        <v>462</v>
      </c>
      <c r="J22" s="112" t="s">
        <v>447</v>
      </c>
    </row>
    <row r="23" spans="1:10" x14ac:dyDescent="0.25">
      <c r="A23" s="162"/>
      <c r="B23" s="168"/>
      <c r="C23" s="127"/>
      <c r="D23" s="127"/>
      <c r="E23" s="114"/>
      <c r="F23" s="114"/>
      <c r="G23" s="114" t="s">
        <v>460</v>
      </c>
      <c r="H23" s="111" t="s">
        <v>447</v>
      </c>
      <c r="I23" s="111" t="s">
        <v>463</v>
      </c>
      <c r="J23" s="112" t="s">
        <v>447</v>
      </c>
    </row>
    <row r="24" spans="1:10" x14ac:dyDescent="0.25">
      <c r="A24" s="162"/>
      <c r="B24" s="168"/>
      <c r="C24" s="114"/>
      <c r="D24" s="114"/>
      <c r="E24" s="114"/>
      <c r="F24" s="114"/>
      <c r="G24" s="114"/>
      <c r="H24" s="114"/>
      <c r="I24" s="128" t="s">
        <v>474</v>
      </c>
      <c r="J24" s="112" t="s">
        <v>447</v>
      </c>
    </row>
    <row r="25" spans="1:10" x14ac:dyDescent="0.25">
      <c r="A25" s="162"/>
      <c r="B25" s="168"/>
      <c r="C25" s="114"/>
      <c r="D25" s="114"/>
      <c r="E25" s="114"/>
      <c r="F25" s="114"/>
      <c r="G25" s="114"/>
      <c r="H25" s="114"/>
      <c r="I25" s="111" t="s">
        <v>446</v>
      </c>
      <c r="J25" s="112" t="s">
        <v>447</v>
      </c>
    </row>
    <row r="26" spans="1:10" x14ac:dyDescent="0.25">
      <c r="A26" s="162"/>
      <c r="B26" s="168"/>
      <c r="C26" s="114"/>
      <c r="D26" s="114"/>
      <c r="E26" s="114"/>
      <c r="F26" s="114"/>
      <c r="G26" s="114"/>
      <c r="H26" s="114"/>
      <c r="I26" s="114" t="s">
        <v>455</v>
      </c>
      <c r="J26" s="112" t="s">
        <v>447</v>
      </c>
    </row>
    <row r="27" spans="1:10" ht="14.4" thickBot="1" x14ac:dyDescent="0.3">
      <c r="A27" s="162"/>
      <c r="B27" s="168"/>
      <c r="C27" s="121"/>
      <c r="D27" s="121"/>
      <c r="E27" s="121"/>
      <c r="F27" s="121"/>
      <c r="G27" s="121"/>
      <c r="H27" s="121"/>
      <c r="I27" s="121" t="s">
        <v>460</v>
      </c>
      <c r="J27" s="129" t="s">
        <v>447</v>
      </c>
    </row>
    <row r="28" spans="1:10" ht="55.2" x14ac:dyDescent="0.25">
      <c r="A28" s="159" t="s">
        <v>480</v>
      </c>
      <c r="B28" s="156"/>
      <c r="C28" s="130"/>
      <c r="D28" s="130"/>
      <c r="E28" s="130"/>
      <c r="F28" s="130"/>
      <c r="G28" s="131" t="s">
        <v>481</v>
      </c>
      <c r="H28" s="132" t="s">
        <v>482</v>
      </c>
      <c r="I28" s="130"/>
      <c r="J28" s="133"/>
    </row>
    <row r="29" spans="1:10" x14ac:dyDescent="0.25">
      <c r="A29" s="160"/>
      <c r="B29" s="157"/>
      <c r="C29" s="108"/>
      <c r="D29" s="108"/>
      <c r="E29" s="108"/>
      <c r="F29" s="108"/>
      <c r="G29" s="108" t="s">
        <v>483</v>
      </c>
      <c r="H29" s="108" t="s">
        <v>447</v>
      </c>
      <c r="I29" s="108"/>
      <c r="J29" s="134"/>
    </row>
    <row r="30" spans="1:10" ht="14.4" thickBot="1" x14ac:dyDescent="0.3">
      <c r="A30" s="161"/>
      <c r="B30" s="158"/>
      <c r="C30" s="135"/>
      <c r="D30" s="135"/>
      <c r="E30" s="135"/>
      <c r="F30" s="135"/>
      <c r="G30" s="135" t="s">
        <v>484</v>
      </c>
      <c r="H30" s="135" t="s">
        <v>447</v>
      </c>
      <c r="I30" s="135"/>
      <c r="J30" s="136"/>
    </row>
  </sheetData>
  <mergeCells count="15">
    <mergeCell ref="B28:B30"/>
    <mergeCell ref="A28:A30"/>
    <mergeCell ref="A4:A10"/>
    <mergeCell ref="B4:B10"/>
    <mergeCell ref="A11:A17"/>
    <mergeCell ref="B11:B17"/>
    <mergeCell ref="A18:A27"/>
    <mergeCell ref="B18:B27"/>
    <mergeCell ref="A1:A3"/>
    <mergeCell ref="B1:B3"/>
    <mergeCell ref="C1:J1"/>
    <mergeCell ref="C2:D2"/>
    <mergeCell ref="E2:F2"/>
    <mergeCell ref="G2:H2"/>
    <mergeCell ref="I2:J2"/>
  </mergeCells>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Version</vt:lpstr>
      <vt:lpstr>Summary</vt:lpstr>
      <vt:lpstr>Scenario Test</vt:lpstr>
      <vt:lpstr>TestCase</vt:lpstr>
      <vt:lpstr>UpdateData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NhiDY</dc:creator>
  <cp:lastModifiedBy>LaptopNCT</cp:lastModifiedBy>
  <dcterms:created xsi:type="dcterms:W3CDTF">2017-08-07T02:35:23Z</dcterms:created>
  <dcterms:modified xsi:type="dcterms:W3CDTF">2025-03-24T09:02:30Z</dcterms:modified>
</cp:coreProperties>
</file>