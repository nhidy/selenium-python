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D:\JITS\NEPTUNE\testcases-zip\CBS-SHWE\"/>
    </mc:Choice>
  </mc:AlternateContent>
  <xr:revisionPtr revIDLastSave="0" documentId="13_ncr:1_{B5838678-11B5-4F4B-B2E0-493BDF576F5F}" xr6:coauthVersionLast="45" xr6:coauthVersionMax="45" xr10:uidLastSave="{00000000-0000-0000-0000-000000000000}"/>
  <bookViews>
    <workbookView xWindow="22932" yWindow="-84" windowWidth="23256" windowHeight="12720" activeTab="4" xr2:uid="{00000000-000D-0000-FFFF-FFFF00000000}"/>
  </bookViews>
  <sheets>
    <sheet name="Version" sheetId="3" r:id="rId1"/>
    <sheet name="Summary" sheetId="5" r:id="rId2"/>
    <sheet name="Scenario Test" sheetId="4" r:id="rId3"/>
    <sheet name="TestCase" sheetId="6" r:id="rId4"/>
    <sheet name="UpdateData" sheetId="7" r:id="rId5"/>
  </sheets>
  <externalReferences>
    <externalReference r:id="rId6"/>
  </externalReferences>
  <definedNames>
    <definedName name="_xlnm._FilterDatabase" localSheetId="3" hidden="1">TestCase!$A$5:$O$371</definedName>
    <definedName name="Pass">'[1]Test Case_ILC'!$H$13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84" i="6" l="1"/>
  <c r="A85" i="6"/>
  <c r="A86" i="6"/>
  <c r="A87" i="6"/>
  <c r="A88" i="6"/>
  <c r="A69" i="6" l="1"/>
  <c r="B69" i="6" s="1"/>
  <c r="A70" i="6"/>
  <c r="B70" i="6" s="1"/>
  <c r="A71" i="6"/>
  <c r="B71" i="6" s="1"/>
  <c r="A72" i="6"/>
  <c r="B72" i="6" s="1"/>
  <c r="A73" i="6"/>
  <c r="B73" i="6" s="1"/>
  <c r="A89" i="6"/>
  <c r="B89" i="6" s="1"/>
  <c r="A90" i="6"/>
  <c r="B90" i="6" s="1"/>
  <c r="A74" i="6"/>
  <c r="B74" i="6" s="1"/>
  <c r="A75" i="6"/>
  <c r="B75" i="6" s="1"/>
  <c r="A76" i="6"/>
  <c r="B76" i="6" s="1"/>
  <c r="A77" i="6"/>
  <c r="B77" i="6" s="1"/>
  <c r="A78" i="6"/>
  <c r="B78" i="6" s="1"/>
  <c r="A79" i="6"/>
  <c r="B79" i="6" s="1"/>
  <c r="A80" i="6"/>
  <c r="B80" i="6" s="1"/>
  <c r="A81" i="6"/>
  <c r="B81" i="6" s="1"/>
  <c r="A82" i="6"/>
  <c r="B82" i="6" s="1"/>
  <c r="A83" i="6"/>
  <c r="B83" i="6" s="1"/>
  <c r="A68" i="6"/>
  <c r="B68" i="6" s="1"/>
  <c r="A67" i="6"/>
  <c r="A91" i="6"/>
  <c r="B91" i="6" s="1"/>
  <c r="A92" i="6"/>
  <c r="B92" i="6" s="1"/>
  <c r="A93" i="6"/>
  <c r="B93" i="6" s="1"/>
  <c r="A94" i="6"/>
  <c r="B94" i="6" s="1"/>
  <c r="B88" i="6"/>
  <c r="B87" i="6" l="1"/>
  <c r="B86" i="6"/>
  <c r="B85" i="6"/>
  <c r="B84" i="6"/>
  <c r="A347" i="6" l="1"/>
  <c r="A348" i="6"/>
  <c r="B348" i="6" s="1"/>
  <c r="A349" i="6"/>
  <c r="A350" i="6"/>
  <c r="B350" i="6" s="1"/>
  <c r="A351" i="6"/>
  <c r="A352" i="6"/>
  <c r="B352" i="6" s="1"/>
  <c r="A353" i="6"/>
  <c r="A354" i="6"/>
  <c r="B354" i="6" s="1"/>
  <c r="A355" i="6"/>
  <c r="A356" i="6"/>
  <c r="A357" i="6"/>
  <c r="B357" i="6" s="1"/>
  <c r="A358" i="6"/>
  <c r="B358" i="6" s="1"/>
  <c r="A359" i="6"/>
  <c r="A360" i="6"/>
  <c r="B360" i="6" s="1"/>
  <c r="A361" i="6"/>
  <c r="B361" i="6" s="1"/>
  <c r="A362" i="6"/>
  <c r="B362" i="6" s="1"/>
  <c r="A363" i="6"/>
  <c r="A364" i="6"/>
  <c r="A365" i="6"/>
  <c r="B365" i="6" s="1"/>
  <c r="A366" i="6"/>
  <c r="B366" i="6" s="1"/>
  <c r="A367" i="6"/>
  <c r="A368" i="6"/>
  <c r="A369" i="6"/>
  <c r="B369" i="6" s="1"/>
  <c r="A370" i="6"/>
  <c r="B370" i="6" s="1"/>
  <c r="A371" i="6"/>
  <c r="A346" i="6"/>
  <c r="B346" i="6" s="1"/>
  <c r="A320" i="6"/>
  <c r="B320" i="6" s="1"/>
  <c r="A321" i="6"/>
  <c r="B321" i="6" s="1"/>
  <c r="A322" i="6"/>
  <c r="A323" i="6"/>
  <c r="A324" i="6"/>
  <c r="B324" i="6" s="1"/>
  <c r="A325" i="6"/>
  <c r="B325" i="6" s="1"/>
  <c r="A326" i="6"/>
  <c r="A327" i="6"/>
  <c r="B327" i="6" s="1"/>
  <c r="A328" i="6"/>
  <c r="A329" i="6"/>
  <c r="B329" i="6" s="1"/>
  <c r="A330" i="6"/>
  <c r="A331" i="6"/>
  <c r="B331" i="6" s="1"/>
  <c r="A332" i="6"/>
  <c r="B332" i="6" s="1"/>
  <c r="A333" i="6"/>
  <c r="B333" i="6" s="1"/>
  <c r="A334" i="6"/>
  <c r="A335" i="6"/>
  <c r="A336" i="6"/>
  <c r="B336" i="6" s="1"/>
  <c r="A337" i="6"/>
  <c r="B337" i="6" s="1"/>
  <c r="A338" i="6"/>
  <c r="A339" i="6"/>
  <c r="A340" i="6"/>
  <c r="B340" i="6" s="1"/>
  <c r="A341" i="6"/>
  <c r="B341" i="6" s="1"/>
  <c r="A342" i="6"/>
  <c r="A343" i="6"/>
  <c r="A344" i="6"/>
  <c r="B344" i="6" s="1"/>
  <c r="A345" i="6"/>
  <c r="B345" i="6" s="1"/>
  <c r="B347" i="6"/>
  <c r="B351" i="6"/>
  <c r="B359" i="6"/>
  <c r="B363" i="6"/>
  <c r="B367" i="6"/>
  <c r="A319" i="6"/>
  <c r="A318" i="6"/>
  <c r="B318" i="6" s="1"/>
  <c r="B343" i="6"/>
  <c r="B342" i="6"/>
  <c r="B339" i="6"/>
  <c r="B338" i="6"/>
  <c r="B335" i="6"/>
  <c r="B334" i="6"/>
  <c r="B330" i="6"/>
  <c r="B328" i="6"/>
  <c r="B326" i="6"/>
  <c r="B323" i="6"/>
  <c r="B322" i="6"/>
  <c r="B319" i="6"/>
  <c r="B353" i="6"/>
  <c r="B355" i="6"/>
  <c r="B364" i="6"/>
  <c r="B368" i="6"/>
  <c r="B371"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292" i="6"/>
  <c r="A291" i="6"/>
  <c r="A256" i="6"/>
  <c r="B256" i="6" s="1"/>
  <c r="A257" i="6"/>
  <c r="B257" i="6" s="1"/>
  <c r="A258" i="6"/>
  <c r="B258" i="6" s="1"/>
  <c r="A259" i="6"/>
  <c r="B259" i="6" s="1"/>
  <c r="A260" i="6"/>
  <c r="B260" i="6" s="1"/>
  <c r="A261" i="6"/>
  <c r="B261" i="6" s="1"/>
  <c r="A262" i="6"/>
  <c r="B262" i="6" s="1"/>
  <c r="A263" i="6"/>
  <c r="B263" i="6" s="1"/>
  <c r="A264" i="6"/>
  <c r="B264" i="6" s="1"/>
  <c r="A265" i="6"/>
  <c r="B265" i="6" s="1"/>
  <c r="A266" i="6"/>
  <c r="B266" i="6" s="1"/>
  <c r="A267" i="6"/>
  <c r="B267" i="6" s="1"/>
  <c r="A268" i="6"/>
  <c r="B268" i="6" s="1"/>
  <c r="A269" i="6"/>
  <c r="B269" i="6" s="1"/>
  <c r="A270" i="6"/>
  <c r="B270" i="6" s="1"/>
  <c r="A271" i="6"/>
  <c r="B271" i="6" s="1"/>
  <c r="A272" i="6"/>
  <c r="B272" i="6" s="1"/>
  <c r="A273" i="6"/>
  <c r="B273" i="6" s="1"/>
  <c r="A274" i="6"/>
  <c r="B274" i="6" s="1"/>
  <c r="A275" i="6"/>
  <c r="B275" i="6" s="1"/>
  <c r="A276" i="6"/>
  <c r="B276" i="6" s="1"/>
  <c r="A277" i="6"/>
  <c r="B277" i="6" s="1"/>
  <c r="A278" i="6"/>
  <c r="B278" i="6" s="1"/>
  <c r="A279" i="6"/>
  <c r="B279" i="6" s="1"/>
  <c r="A280" i="6"/>
  <c r="B280" i="6" s="1"/>
  <c r="A281" i="6"/>
  <c r="A282" i="6"/>
  <c r="B282" i="6" s="1"/>
  <c r="A283" i="6"/>
  <c r="B283" i="6" s="1"/>
  <c r="A284" i="6"/>
  <c r="B284" i="6" s="1"/>
  <c r="A285" i="6"/>
  <c r="B285" i="6" s="1"/>
  <c r="A286" i="6"/>
  <c r="B286" i="6" s="1"/>
  <c r="A287" i="6"/>
  <c r="B287" i="6" s="1"/>
  <c r="A288" i="6"/>
  <c r="B288" i="6" s="1"/>
  <c r="A289" i="6"/>
  <c r="B289" i="6" s="1"/>
  <c r="A290" i="6"/>
  <c r="B290" i="6" s="1"/>
  <c r="A255" i="6"/>
  <c r="B255" i="6" s="1"/>
  <c r="A254" i="6"/>
  <c r="B254" i="6" s="1"/>
  <c r="B281" i="6"/>
  <c r="D266" i="6"/>
  <c r="D264" i="6"/>
  <c r="D262" i="6"/>
  <c r="D257" i="6"/>
  <c r="A241" i="6"/>
  <c r="B241" i="6" s="1"/>
  <c r="A242" i="6"/>
  <c r="B242" i="6" s="1"/>
  <c r="B356" i="6"/>
  <c r="B349" i="6"/>
  <c r="A253" i="6"/>
  <c r="B253" i="6" s="1"/>
  <c r="A216" i="6"/>
  <c r="B216" i="6" s="1"/>
  <c r="A252" i="6"/>
  <c r="B252" i="6" s="1"/>
  <c r="A249" i="6"/>
  <c r="B249" i="6" s="1"/>
  <c r="A248" i="6"/>
  <c r="B248" i="6" s="1"/>
  <c r="A250" i="6"/>
  <c r="B250" i="6" s="1"/>
  <c r="A132" i="6" l="1"/>
  <c r="B132" i="6" s="1"/>
  <c r="A133" i="6"/>
  <c r="B133" i="6" s="1"/>
  <c r="A131" i="6"/>
  <c r="B131" i="6" s="1"/>
  <c r="A215" i="6" l="1"/>
  <c r="A217" i="6"/>
  <c r="A218" i="6"/>
  <c r="A214" i="6"/>
  <c r="A213" i="6"/>
  <c r="A219" i="6" l="1"/>
  <c r="A220" i="6"/>
  <c r="B220" i="6" s="1"/>
  <c r="A221" i="6"/>
  <c r="B221" i="6" s="1"/>
  <c r="A222" i="6"/>
  <c r="B222" i="6" s="1"/>
  <c r="A223" i="6"/>
  <c r="A224" i="6"/>
  <c r="B224" i="6" s="1"/>
  <c r="A225" i="6"/>
  <c r="B225" i="6" s="1"/>
  <c r="A226" i="6"/>
  <c r="B226" i="6" s="1"/>
  <c r="A227" i="6"/>
  <c r="A228" i="6"/>
  <c r="B228" i="6" s="1"/>
  <c r="A229" i="6"/>
  <c r="B229" i="6" s="1"/>
  <c r="A230" i="6"/>
  <c r="B230" i="6" s="1"/>
  <c r="A231" i="6"/>
  <c r="B231" i="6" s="1"/>
  <c r="A232" i="6"/>
  <c r="B232" i="6" s="1"/>
  <c r="A233" i="6"/>
  <c r="B233" i="6" s="1"/>
  <c r="A234" i="6"/>
  <c r="B234" i="6" s="1"/>
  <c r="A235" i="6"/>
  <c r="A236" i="6"/>
  <c r="B236" i="6" s="1"/>
  <c r="A237" i="6"/>
  <c r="B237" i="6" s="1"/>
  <c r="A238" i="6"/>
  <c r="A239" i="6"/>
  <c r="B239" i="6" s="1"/>
  <c r="A240" i="6"/>
  <c r="B240" i="6" s="1"/>
  <c r="A243" i="6"/>
  <c r="A244" i="6"/>
  <c r="B244" i="6" s="1"/>
  <c r="A245" i="6"/>
  <c r="B245" i="6" s="1"/>
  <c r="A246" i="6"/>
  <c r="B246" i="6" s="1"/>
  <c r="A247" i="6"/>
  <c r="B247" i="6" s="1"/>
  <c r="A251" i="6"/>
  <c r="B251" i="6" s="1"/>
  <c r="B218" i="6"/>
  <c r="B217" i="6"/>
  <c r="B243" i="6"/>
  <c r="B238" i="6"/>
  <c r="B235" i="6"/>
  <c r="D229" i="6"/>
  <c r="D227" i="6"/>
  <c r="B227" i="6"/>
  <c r="D225" i="6"/>
  <c r="B223" i="6"/>
  <c r="D220" i="6"/>
  <c r="B219"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15" i="6"/>
  <c r="B214" i="6"/>
  <c r="B213" i="6"/>
  <c r="A212" i="6"/>
  <c r="B212" i="6" s="1"/>
  <c r="A211" i="6"/>
  <c r="B211" i="6" s="1"/>
  <c r="A210" i="6"/>
  <c r="B210" i="6" s="1"/>
  <c r="A209" i="6"/>
  <c r="B209" i="6" s="1"/>
  <c r="A208" i="6"/>
  <c r="B208" i="6" s="1"/>
  <c r="A207" i="6"/>
  <c r="B207" i="6" s="1"/>
  <c r="A206" i="6"/>
  <c r="B206" i="6" s="1"/>
  <c r="A205" i="6"/>
  <c r="B205" i="6" s="1"/>
  <c r="A204" i="6"/>
  <c r="B204" i="6" s="1"/>
  <c r="A203" i="6"/>
  <c r="B203" i="6" s="1"/>
  <c r="A202" i="6"/>
  <c r="B202" i="6" s="1"/>
  <c r="A201" i="6"/>
  <c r="B201" i="6" s="1"/>
  <c r="A200" i="6"/>
  <c r="B200" i="6" s="1"/>
  <c r="A199" i="6"/>
  <c r="B199" i="6" s="1"/>
  <c r="A198" i="6"/>
  <c r="B198" i="6" s="1"/>
  <c r="A197" i="6"/>
  <c r="B197" i="6" s="1"/>
  <c r="D196" i="6"/>
  <c r="A196" i="6"/>
  <c r="B196" i="6" s="1"/>
  <c r="A195" i="6"/>
  <c r="B195" i="6" s="1"/>
  <c r="D194" i="6"/>
  <c r="A194" i="6"/>
  <c r="B194" i="6" s="1"/>
  <c r="A193" i="6"/>
  <c r="B193" i="6" s="1"/>
  <c r="D192" i="6"/>
  <c r="A192" i="6"/>
  <c r="B192" i="6" s="1"/>
  <c r="A191" i="6"/>
  <c r="B191" i="6" s="1"/>
  <c r="A190" i="6"/>
  <c r="B190" i="6" s="1"/>
  <c r="A189" i="6"/>
  <c r="B189" i="6" s="1"/>
  <c r="A188" i="6"/>
  <c r="B188" i="6" s="1"/>
  <c r="D187" i="6"/>
  <c r="A187" i="6"/>
  <c r="B187" i="6" s="1"/>
  <c r="A186" i="6"/>
  <c r="B186" i="6" s="1"/>
  <c r="A185" i="6"/>
  <c r="B185" i="6" s="1"/>
  <c r="A184" i="6"/>
  <c r="B184" i="6" s="1"/>
  <c r="A183" i="6"/>
  <c r="B183" i="6" s="1"/>
  <c r="A182" i="6"/>
  <c r="B182" i="6" s="1"/>
  <c r="A181" i="6"/>
  <c r="B181" i="6" s="1"/>
  <c r="A180" i="6"/>
  <c r="B180" i="6" s="1"/>
  <c r="A179" i="6"/>
  <c r="B179" i="6" s="1"/>
  <c r="A178" i="6"/>
  <c r="B178" i="6" s="1"/>
  <c r="A177" i="6"/>
  <c r="B177" i="6" s="1"/>
  <c r="A176" i="6"/>
  <c r="B176" i="6" s="1"/>
  <c r="A175" i="6"/>
  <c r="B175" i="6" s="1"/>
  <c r="A174" i="6"/>
  <c r="B174" i="6" s="1"/>
  <c r="A173" i="6"/>
  <c r="B173" i="6" s="1"/>
  <c r="A172" i="6"/>
  <c r="B172" i="6" s="1"/>
  <c r="A171" i="6"/>
  <c r="B171" i="6" s="1"/>
  <c r="A170" i="6"/>
  <c r="B170" i="6" s="1"/>
  <c r="A169" i="6"/>
  <c r="B169" i="6" s="1"/>
  <c r="A168" i="6"/>
  <c r="B168" i="6" s="1"/>
  <c r="A167" i="6"/>
  <c r="B167" i="6" s="1"/>
  <c r="A166" i="6"/>
  <c r="B166" i="6" s="1"/>
  <c r="A165" i="6"/>
  <c r="B165" i="6" s="1"/>
  <c r="A164" i="6"/>
  <c r="B164" i="6" s="1"/>
  <c r="A163" i="6"/>
  <c r="B163" i="6" s="1"/>
  <c r="D162" i="6"/>
  <c r="A162" i="6"/>
  <c r="B162" i="6" s="1"/>
  <c r="A161" i="6"/>
  <c r="B161" i="6" s="1"/>
  <c r="D160" i="6"/>
  <c r="A160" i="6"/>
  <c r="B160" i="6" s="1"/>
  <c r="A159" i="6"/>
  <c r="B159" i="6" s="1"/>
  <c r="A158" i="6"/>
  <c r="B158" i="6" s="1"/>
  <c r="A157" i="6"/>
  <c r="B157" i="6" s="1"/>
  <c r="A156" i="6"/>
  <c r="B156" i="6" s="1"/>
  <c r="A155" i="6"/>
  <c r="B155" i="6" s="1"/>
  <c r="A154" i="6"/>
  <c r="B154" i="6" s="1"/>
  <c r="A153" i="6"/>
  <c r="B153" i="6" s="1"/>
  <c r="A152" i="6"/>
  <c r="B152" i="6" s="1"/>
  <c r="A151" i="6"/>
  <c r="B151" i="6" s="1"/>
  <c r="A150" i="6"/>
  <c r="B150" i="6" s="1"/>
  <c r="A149" i="6"/>
  <c r="B149" i="6" s="1"/>
  <c r="A148" i="6"/>
  <c r="B148" i="6" s="1"/>
  <c r="A147" i="6"/>
  <c r="B147" i="6" s="1"/>
  <c r="A146" i="6"/>
  <c r="B146" i="6" s="1"/>
  <c r="A145" i="6"/>
  <c r="B145" i="6" s="1"/>
  <c r="A144" i="6"/>
  <c r="B144" i="6" s="1"/>
  <c r="A143" i="6"/>
  <c r="B143" i="6" s="1"/>
  <c r="A142" i="6"/>
  <c r="B142" i="6" s="1"/>
  <c r="A141" i="6"/>
  <c r="B141" i="6" s="1"/>
  <c r="A140" i="6"/>
  <c r="B140" i="6" s="1"/>
  <c r="A139" i="6"/>
  <c r="B139" i="6" s="1"/>
  <c r="A138" i="6"/>
  <c r="B138" i="6" s="1"/>
  <c r="A137" i="6"/>
  <c r="B137" i="6" s="1"/>
  <c r="A136" i="6"/>
  <c r="B136" i="6" s="1"/>
  <c r="A135" i="6"/>
  <c r="B135" i="6" s="1"/>
  <c r="A134" i="6"/>
  <c r="B134" i="6" s="1"/>
  <c r="A130" i="6"/>
  <c r="B130" i="6" s="1"/>
  <c r="A129" i="6"/>
  <c r="B129" i="6" s="1"/>
  <c r="A128" i="6"/>
  <c r="B128" i="6" s="1"/>
  <c r="A127" i="6"/>
  <c r="B127" i="6" s="1"/>
  <c r="A126" i="6"/>
  <c r="B126" i="6" s="1"/>
  <c r="A125" i="6"/>
  <c r="B125" i="6" s="1"/>
  <c r="A124" i="6"/>
  <c r="B124" i="6" s="1"/>
  <c r="A123" i="6"/>
  <c r="B123" i="6" s="1"/>
  <c r="A122" i="6"/>
  <c r="B122" i="6" s="1"/>
  <c r="A121" i="6"/>
  <c r="B121" i="6" s="1"/>
  <c r="A120" i="6"/>
  <c r="B120" i="6" s="1"/>
  <c r="A119" i="6"/>
  <c r="B119" i="6" s="1"/>
  <c r="A118" i="6"/>
  <c r="B118" i="6" s="1"/>
  <c r="A117" i="6"/>
  <c r="B117" i="6" s="1"/>
  <c r="D116" i="6"/>
  <c r="A116" i="6"/>
  <c r="B116" i="6" s="1"/>
  <c r="A115" i="6"/>
  <c r="B115" i="6" s="1"/>
  <c r="D114" i="6"/>
  <c r="A114" i="6"/>
  <c r="B114" i="6" s="1"/>
  <c r="A113" i="6"/>
  <c r="B113" i="6" s="1"/>
  <c r="A112" i="6"/>
  <c r="B112" i="6" s="1"/>
  <c r="A111" i="6"/>
  <c r="B111" i="6" s="1"/>
  <c r="A110" i="6"/>
  <c r="B110" i="6" s="1"/>
  <c r="A109" i="6"/>
  <c r="B109" i="6" s="1"/>
  <c r="A108" i="6"/>
  <c r="B108" i="6" s="1"/>
  <c r="A107" i="6"/>
  <c r="B107" i="6" s="1"/>
  <c r="A106" i="6"/>
  <c r="B106" i="6" s="1"/>
  <c r="A105" i="6"/>
  <c r="B105" i="6" s="1"/>
  <c r="A104" i="6"/>
  <c r="B104" i="6" s="1"/>
  <c r="A103" i="6"/>
  <c r="B103" i="6" s="1"/>
  <c r="A102" i="6"/>
  <c r="B102" i="6" s="1"/>
  <c r="A101" i="6"/>
  <c r="B101" i="6" s="1"/>
  <c r="A100" i="6"/>
  <c r="B100" i="6" s="1"/>
  <c r="A99" i="6"/>
  <c r="B99" i="6" s="1"/>
  <c r="D98" i="6"/>
  <c r="A98" i="6"/>
  <c r="B98" i="6" s="1"/>
  <c r="A97" i="6"/>
  <c r="B97" i="6" s="1"/>
  <c r="A96" i="6"/>
  <c r="B96" i="6" s="1"/>
  <c r="A95" i="6"/>
  <c r="B95" i="6" s="1"/>
  <c r="B67" i="6"/>
  <c r="A66" i="6"/>
  <c r="B66" i="6" s="1"/>
  <c r="A65" i="6"/>
  <c r="B65" i="6" s="1"/>
  <c r="A64" i="6"/>
  <c r="B64" i="6" s="1"/>
  <c r="A63" i="6"/>
  <c r="B63" i="6" s="1"/>
  <c r="A62" i="6"/>
  <c r="B62" i="6" s="1"/>
  <c r="A61" i="6"/>
  <c r="B61" i="6" s="1"/>
  <c r="A60" i="6"/>
  <c r="B60" i="6" s="1"/>
  <c r="A59" i="6"/>
  <c r="B59" i="6" s="1"/>
  <c r="A58" i="6"/>
  <c r="B58" i="6" s="1"/>
  <c r="A57" i="6"/>
  <c r="B57" i="6" s="1"/>
  <c r="D56" i="6"/>
  <c r="A56" i="6"/>
  <c r="B56" i="6" s="1"/>
  <c r="A55" i="6"/>
  <c r="B55" i="6" s="1"/>
  <c r="D54" i="6"/>
  <c r="A54" i="6"/>
  <c r="B54" i="6" s="1"/>
  <c r="A53" i="6"/>
  <c r="B53" i="6" s="1"/>
  <c r="A52" i="6"/>
  <c r="B52" i="6" s="1"/>
  <c r="A51" i="6"/>
  <c r="B51" i="6" s="1"/>
  <c r="A50" i="6"/>
  <c r="B50" i="6" s="1"/>
  <c r="A49" i="6"/>
  <c r="B49" i="6" s="1"/>
  <c r="A48" i="6"/>
  <c r="B48" i="6" s="1"/>
  <c r="A47" i="6"/>
  <c r="B47" i="6" s="1"/>
  <c r="A46" i="6"/>
  <c r="B46" i="6" s="1"/>
  <c r="A45" i="6"/>
  <c r="B45" i="6" s="1"/>
  <c r="A44" i="6"/>
  <c r="B44" i="6" s="1"/>
  <c r="A43" i="6"/>
  <c r="B43" i="6" s="1"/>
  <c r="A42" i="6"/>
  <c r="B42" i="6" s="1"/>
  <c r="A41" i="6"/>
  <c r="B41" i="6" s="1"/>
  <c r="A40" i="6"/>
  <c r="B40" i="6" s="1"/>
  <c r="A39" i="6"/>
  <c r="B39" i="6" s="1"/>
  <c r="A38" i="6"/>
  <c r="B38" i="6" s="1"/>
  <c r="A37" i="6"/>
  <c r="B37" i="6" s="1"/>
  <c r="A36" i="6"/>
  <c r="B36" i="6" s="1"/>
  <c r="A35" i="6"/>
  <c r="B35" i="6" s="1"/>
  <c r="A34" i="6"/>
  <c r="B34" i="6" s="1"/>
  <c r="A33" i="6"/>
  <c r="B33" i="6" s="1"/>
  <c r="A32" i="6"/>
  <c r="B32" i="6" s="1"/>
  <c r="A31" i="6"/>
  <c r="B31" i="6" s="1"/>
  <c r="A30" i="6"/>
  <c r="B30" i="6" s="1"/>
  <c r="A29" i="6"/>
  <c r="B29" i="6" s="1"/>
  <c r="A28" i="6"/>
  <c r="B28" i="6" s="1"/>
  <c r="A27" i="6"/>
  <c r="B27" i="6" s="1"/>
  <c r="A26" i="6"/>
  <c r="B26" i="6" s="1"/>
  <c r="A25" i="6"/>
  <c r="B25" i="6" s="1"/>
  <c r="A24" i="6"/>
  <c r="B24" i="6" s="1"/>
  <c r="A23" i="6"/>
  <c r="B23" i="6" s="1"/>
  <c r="A22" i="6"/>
  <c r="B22" i="6" s="1"/>
  <c r="A21" i="6"/>
  <c r="B21" i="6" s="1"/>
  <c r="A20" i="6"/>
  <c r="B20" i="6" s="1"/>
  <c r="A19" i="6"/>
  <c r="B19" i="6" s="1"/>
  <c r="A18" i="6"/>
  <c r="B18" i="6" s="1"/>
  <c r="A17" i="6"/>
  <c r="B17" i="6" s="1"/>
  <c r="A16" i="6"/>
  <c r="B16" i="6" s="1"/>
  <c r="A15" i="6"/>
  <c r="B15" i="6" s="1"/>
  <c r="A14" i="6"/>
  <c r="B14" i="6" s="1"/>
  <c r="A13" i="6"/>
  <c r="B13" i="6" s="1"/>
  <c r="A12" i="6"/>
  <c r="B12" i="6" s="1"/>
  <c r="A11" i="6"/>
  <c r="B11" i="6" s="1"/>
  <c r="A10" i="6"/>
  <c r="B10" i="6" s="1"/>
  <c r="A9" i="6"/>
  <c r="B9" i="6" s="1"/>
  <c r="A8" i="6"/>
  <c r="B8" i="6" s="1"/>
  <c r="A7" i="6"/>
  <c r="B7" i="6" s="1"/>
  <c r="A6" i="6"/>
  <c r="C8" i="4" l="1"/>
  <c r="G8" i="4"/>
  <c r="D9" i="4"/>
  <c r="H9" i="4"/>
  <c r="E10" i="4"/>
  <c r="I10" i="4"/>
  <c r="F11" i="4"/>
  <c r="C12" i="4"/>
  <c r="G12" i="4"/>
  <c r="D13" i="4"/>
  <c r="H13" i="4"/>
  <c r="E14" i="4"/>
  <c r="I14" i="4"/>
  <c r="F15" i="4"/>
  <c r="C16" i="4"/>
  <c r="G16" i="4"/>
  <c r="D17" i="4"/>
  <c r="H17" i="4"/>
  <c r="E18" i="4"/>
  <c r="I18" i="4"/>
  <c r="F19" i="4"/>
  <c r="C20" i="4"/>
  <c r="G20" i="4"/>
  <c r="D21" i="4"/>
  <c r="H21" i="4"/>
  <c r="E22" i="4"/>
  <c r="I22" i="4"/>
  <c r="F23" i="4"/>
  <c r="C24" i="4"/>
  <c r="G24" i="4"/>
  <c r="D25" i="4"/>
  <c r="H25" i="4"/>
  <c r="E26" i="4"/>
  <c r="I26" i="4"/>
  <c r="F27" i="4"/>
  <c r="C28" i="4"/>
  <c r="G28" i="4"/>
  <c r="D29" i="4"/>
  <c r="H29" i="4"/>
  <c r="E30" i="4"/>
  <c r="I30" i="4"/>
  <c r="F31" i="4"/>
  <c r="C32" i="4"/>
  <c r="G32" i="4"/>
  <c r="E7" i="4"/>
  <c r="I7" i="4"/>
  <c r="I8" i="4"/>
  <c r="C10" i="4"/>
  <c r="D11" i="4"/>
  <c r="H11" i="4"/>
  <c r="I12" i="4"/>
  <c r="C14" i="4"/>
  <c r="D15" i="4"/>
  <c r="E16" i="4"/>
  <c r="F17" i="4"/>
  <c r="G18" i="4"/>
  <c r="H19" i="4"/>
  <c r="I20" i="4"/>
  <c r="G22" i="4"/>
  <c r="H23" i="4"/>
  <c r="E24" i="4"/>
  <c r="F25" i="4"/>
  <c r="H27" i="4"/>
  <c r="G30" i="4"/>
  <c r="H31" i="4"/>
  <c r="I32" i="4"/>
  <c r="F8" i="4"/>
  <c r="D10" i="4"/>
  <c r="E11" i="4"/>
  <c r="F12" i="4"/>
  <c r="G13" i="4"/>
  <c r="H14" i="4"/>
  <c r="E15" i="4"/>
  <c r="F16" i="4"/>
  <c r="G17" i="4"/>
  <c r="H18" i="4"/>
  <c r="I19" i="4"/>
  <c r="F20" i="4"/>
  <c r="G21" i="4"/>
  <c r="H22" i="4"/>
  <c r="I23" i="4"/>
  <c r="C25" i="4"/>
  <c r="D8" i="4"/>
  <c r="H8" i="4"/>
  <c r="E9" i="4"/>
  <c r="I9" i="4"/>
  <c r="F10" i="4"/>
  <c r="C11" i="4"/>
  <c r="G11" i="4"/>
  <c r="D12" i="4"/>
  <c r="H12" i="4"/>
  <c r="E13" i="4"/>
  <c r="I13" i="4"/>
  <c r="F14" i="4"/>
  <c r="C15" i="4"/>
  <c r="G15" i="4"/>
  <c r="D16" i="4"/>
  <c r="H16" i="4"/>
  <c r="E17" i="4"/>
  <c r="I17" i="4"/>
  <c r="F18" i="4"/>
  <c r="C19" i="4"/>
  <c r="G19" i="4"/>
  <c r="D20" i="4"/>
  <c r="H20" i="4"/>
  <c r="E21" i="4"/>
  <c r="I21" i="4"/>
  <c r="F22" i="4"/>
  <c r="C23" i="4"/>
  <c r="G23" i="4"/>
  <c r="D24" i="4"/>
  <c r="H24" i="4"/>
  <c r="E25" i="4"/>
  <c r="I25" i="4"/>
  <c r="F26" i="4"/>
  <c r="C27" i="4"/>
  <c r="G27" i="4"/>
  <c r="D28" i="4"/>
  <c r="H28" i="4"/>
  <c r="E29" i="4"/>
  <c r="I29" i="4"/>
  <c r="F30" i="4"/>
  <c r="C31" i="4"/>
  <c r="G31" i="4"/>
  <c r="D32" i="4"/>
  <c r="H32" i="4"/>
  <c r="F7" i="4"/>
  <c r="C7" i="4"/>
  <c r="E8" i="4"/>
  <c r="F9" i="4"/>
  <c r="G10" i="4"/>
  <c r="E12" i="4"/>
  <c r="F13" i="4"/>
  <c r="G14" i="4"/>
  <c r="H15" i="4"/>
  <c r="I16" i="4"/>
  <c r="C18" i="4"/>
  <c r="D19" i="4"/>
  <c r="E20" i="4"/>
  <c r="F21" i="4"/>
  <c r="C22" i="4"/>
  <c r="D23" i="4"/>
  <c r="I24" i="4"/>
  <c r="C26" i="4"/>
  <c r="G26" i="4"/>
  <c r="D27" i="4"/>
  <c r="E28" i="4"/>
  <c r="I28" i="4"/>
  <c r="F29" i="4"/>
  <c r="C30" i="4"/>
  <c r="D31" i="4"/>
  <c r="E32" i="4"/>
  <c r="G7" i="4"/>
  <c r="C9" i="4"/>
  <c r="G9" i="4"/>
  <c r="H10" i="4"/>
  <c r="I11" i="4"/>
  <c r="C13" i="4"/>
  <c r="D14" i="4"/>
  <c r="I15" i="4"/>
  <c r="C17" i="4"/>
  <c r="D18" i="4"/>
  <c r="E19" i="4"/>
  <c r="C21" i="4"/>
  <c r="D22" i="4"/>
  <c r="E23" i="4"/>
  <c r="F24" i="4"/>
  <c r="G25" i="4"/>
  <c r="I27" i="4"/>
  <c r="D30" i="4"/>
  <c r="F32" i="4"/>
  <c r="D7" i="4"/>
  <c r="H26" i="4"/>
  <c r="D26" i="4"/>
  <c r="F28" i="4"/>
  <c r="H30" i="4"/>
  <c r="C29" i="4"/>
  <c r="E31" i="4"/>
  <c r="H7" i="4"/>
  <c r="E27" i="4"/>
  <c r="G29" i="4"/>
  <c r="I31" i="4"/>
  <c r="B6" i="6"/>
  <c r="J12" i="4"/>
  <c r="P12" i="4" s="1"/>
  <c r="J26" i="4" l="1"/>
  <c r="L26" i="4" s="1"/>
  <c r="J14" i="4"/>
  <c r="P14" i="4" s="1"/>
  <c r="J7" i="4"/>
  <c r="J30" i="4"/>
  <c r="M30" i="4" s="1"/>
  <c r="J31" i="4"/>
  <c r="O31" i="4" s="1"/>
  <c r="J29" i="4"/>
  <c r="L29" i="4" s="1"/>
  <c r="J9" i="4"/>
  <c r="O9" i="4" s="1"/>
  <c r="J8" i="4"/>
  <c r="L8" i="4" s="1"/>
  <c r="J20" i="4"/>
  <c r="M20" i="4" s="1"/>
  <c r="J21" i="4"/>
  <c r="O21" i="4" s="1"/>
  <c r="J24" i="4"/>
  <c r="L24" i="4" s="1"/>
  <c r="J25" i="4"/>
  <c r="L25" i="4" s="1"/>
  <c r="J22" i="4"/>
  <c r="M22" i="4" s="1"/>
  <c r="J23" i="4"/>
  <c r="M23" i="4" s="1"/>
  <c r="J28" i="4"/>
  <c r="M28" i="4" s="1"/>
  <c r="J32" i="4"/>
  <c r="L32" i="4" s="1"/>
  <c r="J27" i="4"/>
  <c r="M27" i="4" s="1"/>
  <c r="J19" i="4"/>
  <c r="P19" i="4" s="1"/>
  <c r="J18" i="4"/>
  <c r="L18" i="4" s="1"/>
  <c r="J15" i="4"/>
  <c r="P15" i="4" s="1"/>
  <c r="J17" i="4"/>
  <c r="L17" i="4" s="1"/>
  <c r="J16" i="4"/>
  <c r="O16" i="4" s="1"/>
  <c r="O12" i="4"/>
  <c r="N12" i="4"/>
  <c r="M12" i="4"/>
  <c r="K12" i="4"/>
  <c r="L12" i="4"/>
  <c r="H33" i="4"/>
  <c r="M14" i="4" l="1"/>
  <c r="L14" i="4"/>
  <c r="N14" i="4"/>
  <c r="O14" i="4"/>
  <c r="K14" i="4"/>
  <c r="N31" i="4"/>
  <c r="O30" i="4"/>
  <c r="P30" i="4"/>
  <c r="N30" i="4"/>
  <c r="K30" i="4"/>
  <c r="P31" i="4"/>
  <c r="L30" i="4"/>
  <c r="L31" i="4"/>
  <c r="M31" i="4"/>
  <c r="K31" i="4"/>
  <c r="N29" i="4"/>
  <c r="K29" i="4"/>
  <c r="M29" i="4"/>
  <c r="O29" i="4"/>
  <c r="P29" i="4"/>
  <c r="N9" i="4"/>
  <c r="M9" i="4"/>
  <c r="P9" i="4"/>
  <c r="L9" i="4"/>
  <c r="N8" i="4"/>
  <c r="K9" i="4"/>
  <c r="P8" i="4"/>
  <c r="K8" i="4"/>
  <c r="M8" i="4"/>
  <c r="O8" i="4"/>
  <c r="N22" i="4"/>
  <c r="L19" i="4"/>
  <c r="L22" i="4"/>
  <c r="M19" i="4"/>
  <c r="N24" i="4"/>
  <c r="N19" i="4"/>
  <c r="P24" i="4"/>
  <c r="N20" i="4"/>
  <c r="M24" i="4"/>
  <c r="L20" i="4"/>
  <c r="N21" i="4"/>
  <c r="L21" i="4"/>
  <c r="P20" i="4"/>
  <c r="O24" i="4"/>
  <c r="K28" i="4"/>
  <c r="K24" i="4"/>
  <c r="P26" i="4"/>
  <c r="N23" i="4"/>
  <c r="P23" i="4"/>
  <c r="O27" i="4"/>
  <c r="P22" i="4"/>
  <c r="O32" i="4"/>
  <c r="M26" i="4"/>
  <c r="M21" i="4"/>
  <c r="O22" i="4"/>
  <c r="K20" i="4"/>
  <c r="L27" i="4"/>
  <c r="L23" i="4"/>
  <c r="N28" i="4"/>
  <c r="N27" i="4"/>
  <c r="K27" i="4"/>
  <c r="P27" i="4"/>
  <c r="K32" i="4"/>
  <c r="P25" i="4"/>
  <c r="K26" i="4"/>
  <c r="K23" i="4"/>
  <c r="K22" i="4"/>
  <c r="K25" i="4"/>
  <c r="P21" i="4"/>
  <c r="O28" i="4"/>
  <c r="O23" i="4"/>
  <c r="K21" i="4"/>
  <c r="O20" i="4"/>
  <c r="P32" i="4"/>
  <c r="L28" i="4"/>
  <c r="N26" i="4"/>
  <c r="N25" i="4"/>
  <c r="M32" i="4"/>
  <c r="N32" i="4"/>
  <c r="M25" i="4"/>
  <c r="O26" i="4"/>
  <c r="O25" i="4"/>
  <c r="P28" i="4"/>
  <c r="O19" i="4"/>
  <c r="K19" i="4"/>
  <c r="P18" i="4"/>
  <c r="K15" i="4"/>
  <c r="L16" i="4"/>
  <c r="M16" i="4"/>
  <c r="M15" i="4"/>
  <c r="M18" i="4"/>
  <c r="O18" i="4"/>
  <c r="N16" i="4"/>
  <c r="K18" i="4"/>
  <c r="P16" i="4"/>
  <c r="N18" i="4"/>
  <c r="M17" i="4"/>
  <c r="F33" i="4"/>
  <c r="G33" i="4"/>
  <c r="C39" i="5" s="1"/>
  <c r="P17" i="4"/>
  <c r="N15" i="4"/>
  <c r="O15" i="4"/>
  <c r="L15" i="4"/>
  <c r="K17" i="4"/>
  <c r="O17" i="4"/>
  <c r="N17" i="4"/>
  <c r="K16" i="4"/>
  <c r="C38" i="5" l="1"/>
  <c r="E33" i="4" l="1"/>
  <c r="J13" i="4"/>
  <c r="L13" i="4" s="1"/>
  <c r="C40" i="5"/>
  <c r="K7" i="4" l="1"/>
  <c r="N13" i="4"/>
  <c r="O13" i="4"/>
  <c r="P13" i="4"/>
  <c r="K13" i="4"/>
  <c r="M13" i="4"/>
  <c r="P7" i="4"/>
  <c r="O7" i="4"/>
  <c r="N7" i="4"/>
  <c r="L7" i="4"/>
  <c r="M7" i="4"/>
  <c r="C41" i="5" l="1"/>
  <c r="D33" i="4" l="1"/>
  <c r="C37" i="5" s="1"/>
  <c r="C33" i="4"/>
  <c r="C36" i="5" s="1"/>
  <c r="I33" i="4"/>
  <c r="J11" i="4"/>
  <c r="L11" i="4" s="1"/>
  <c r="J10" i="4"/>
  <c r="J33" i="4" l="1"/>
  <c r="K11" i="4"/>
  <c r="N11" i="4"/>
  <c r="P11" i="4"/>
  <c r="O11" i="4"/>
  <c r="M11" i="4"/>
  <c r="N10" i="4"/>
  <c r="P10" i="4"/>
  <c r="O10" i="4"/>
  <c r="M10" i="4"/>
  <c r="K10" i="4"/>
  <c r="L10" i="4"/>
  <c r="N33" i="4" l="1"/>
  <c r="C30" i="5" s="1"/>
  <c r="M33" i="4"/>
  <c r="C33" i="5" s="1"/>
  <c r="O33" i="4"/>
  <c r="C31" i="5" s="1"/>
  <c r="L33" i="4"/>
  <c r="P33" i="4"/>
  <c r="C32" i="5" s="1"/>
  <c r="C5" i="5"/>
  <c r="K33" i="4" l="1"/>
  <c r="C28" i="5" s="1"/>
  <c r="C29" i="5"/>
</calcChain>
</file>

<file path=xl/sharedStrings.xml><?xml version="1.0" encoding="utf-8"?>
<sst xmlns="http://schemas.openxmlformats.org/spreadsheetml/2006/main" count="2085" uniqueCount="826">
  <si>
    <t>Condition</t>
  </si>
  <si>
    <t>Expected Result</t>
  </si>
  <si>
    <t>Result</t>
  </si>
  <si>
    <t>Comments</t>
  </si>
  <si>
    <t>+</t>
  </si>
  <si>
    <t>Version history</t>
  </si>
  <si>
    <t>Scenario ID</t>
  </si>
  <si>
    <t>Remark</t>
  </si>
  <si>
    <t>Scenario name</t>
  </si>
  <si>
    <t>Pass</t>
  </si>
  <si>
    <t>Fail</t>
  </si>
  <si>
    <t>Total</t>
  </si>
  <si>
    <t>TEST CASES</t>
  </si>
  <si>
    <t>SUMMARY</t>
  </si>
  <si>
    <t>Create date</t>
  </si>
  <si>
    <t>Block</t>
  </si>
  <si>
    <t>Bàn giao test case</t>
  </si>
  <si>
    <t>Ngày</t>
  </si>
  <si>
    <t>Giờ</t>
  </si>
  <si>
    <t>15h00</t>
  </si>
  <si>
    <t>Actual execution</t>
  </si>
  <si>
    <t>Not yet execution</t>
  </si>
  <si>
    <t>-</t>
  </si>
  <si>
    <t>Test
condition ID</t>
  </si>
  <si>
    <t>Execute test case lần 1 theo ngày</t>
  </si>
  <si>
    <t>Execute test case lần 2 theo ngày</t>
  </si>
  <si>
    <t xml:space="preserve">                                Date
Status</t>
  </si>
  <si>
    <t>Percent pass</t>
  </si>
  <si>
    <t>Percent fail</t>
  </si>
  <si>
    <t>Percent block</t>
  </si>
  <si>
    <t>Percent execute test case</t>
  </si>
  <si>
    <t>Execute test case</t>
  </si>
  <si>
    <t>Tổng số case</t>
  </si>
  <si>
    <t>Environment:</t>
  </si>
  <si>
    <t>Test 
case ID</t>
  </si>
  <si>
    <t>Maker</t>
  </si>
  <si>
    <t>Revision Date</t>
  </si>
  <si>
    <t>Checker</t>
  </si>
  <si>
    <t>Approval Date</t>
  </si>
  <si>
    <t>Document Changes</t>
  </si>
  <si>
    <t xml:space="preserve">Version </t>
  </si>
  <si>
    <t>Update date</t>
  </si>
  <si>
    <t>Pending</t>
  </si>
  <si>
    <t>Not Completed</t>
  </si>
  <si>
    <r>
      <rPr>
        <b/>
        <i/>
        <sz val="10"/>
        <color theme="1"/>
        <rFont val="Arial"/>
        <family val="2"/>
      </rPr>
      <t>Remark</t>
    </r>
    <r>
      <rPr>
        <sz val="10"/>
        <color theme="1"/>
        <rFont val="Arial"/>
        <family val="2"/>
      </rPr>
      <t>: Status of Test Scenario on section “Overall Status”:</t>
    </r>
  </si>
  <si>
    <r>
      <t xml:space="preserve">- </t>
    </r>
    <r>
      <rPr>
        <b/>
        <sz val="10"/>
        <color theme="1"/>
        <rFont val="Arial"/>
        <family val="2"/>
      </rPr>
      <t>Passed</t>
    </r>
    <r>
      <rPr>
        <sz val="10"/>
        <color theme="1"/>
        <rFont val="Arial"/>
        <family val="2"/>
      </rPr>
      <t xml:space="preserve"> = Test Scenario has been tested as planned and application works as expected result.</t>
    </r>
  </si>
  <si>
    <r>
      <t xml:space="preserve">- </t>
    </r>
    <r>
      <rPr>
        <b/>
        <sz val="10"/>
        <color theme="1"/>
        <rFont val="Arial"/>
        <family val="2"/>
      </rPr>
      <t>Failed</t>
    </r>
    <r>
      <rPr>
        <sz val="10"/>
        <color theme="1"/>
        <rFont val="Arial"/>
        <family val="2"/>
      </rPr>
      <t xml:space="preserve"> = Test Scenario has been tested as planned but application does not work as expected.</t>
    </r>
  </si>
  <si>
    <r>
      <t xml:space="preserve">- </t>
    </r>
    <r>
      <rPr>
        <b/>
        <sz val="10"/>
        <color theme="1"/>
        <rFont val="Arial"/>
        <family val="2"/>
      </rPr>
      <t>Blocked</t>
    </r>
    <r>
      <rPr>
        <sz val="10"/>
        <color theme="1"/>
        <rFont val="Arial"/>
        <family val="2"/>
      </rPr>
      <t xml:space="preserve"> = Test Scenario could not be tested as planned because there is an outstanding defect in related function area.</t>
    </r>
  </si>
  <si>
    <r>
      <t xml:space="preserve">- </t>
    </r>
    <r>
      <rPr>
        <b/>
        <sz val="10"/>
        <color theme="1"/>
        <rFont val="Tahoma"/>
        <family val="2"/>
      </rPr>
      <t>Not Completed</t>
    </r>
    <r>
      <rPr>
        <sz val="10"/>
        <color theme="1"/>
        <rFont val="Tahoma"/>
        <family val="2"/>
      </rPr>
      <t xml:space="preserve"> = Test Scenario has been tested as planned but not yet finished due to awaiting test result (ex: require EOD batch).</t>
    </r>
  </si>
  <si>
    <r>
      <t>-</t>
    </r>
    <r>
      <rPr>
        <b/>
        <sz val="10"/>
        <color theme="1"/>
        <rFont val="Arial"/>
        <family val="2"/>
      </rPr>
      <t xml:space="preserve"> No Run (+) </t>
    </r>
    <r>
      <rPr>
        <sz val="10"/>
        <color theme="1"/>
        <rFont val="Arial"/>
        <family val="2"/>
      </rPr>
      <t>= Test Scenario has not been tested as planned.</t>
    </r>
  </si>
  <si>
    <r>
      <t xml:space="preserve">- </t>
    </r>
    <r>
      <rPr>
        <b/>
        <sz val="10"/>
        <color theme="1"/>
        <rFont val="Arial"/>
        <family val="2"/>
      </rPr>
      <t>Pending</t>
    </r>
    <r>
      <rPr>
        <sz val="10"/>
        <color theme="1"/>
        <rFont val="Arial"/>
        <family val="2"/>
      </rPr>
      <t xml:space="preserve"> = Test Scenario will be tested after confirming about the business.</t>
    </r>
  </si>
  <si>
    <r>
      <t xml:space="preserve">- </t>
    </r>
    <r>
      <rPr>
        <b/>
        <sz val="10"/>
        <color theme="1"/>
        <rFont val="Arial"/>
        <family val="2"/>
      </rPr>
      <t xml:space="preserve">Cancel (-) </t>
    </r>
    <r>
      <rPr>
        <sz val="10"/>
        <color theme="1"/>
        <rFont val="Arial"/>
        <family val="2"/>
      </rPr>
      <t>= Test Scenario could not be tested because of wrong condition, not suitable with the environment.</t>
    </r>
  </si>
  <si>
    <t>Percent not run</t>
  </si>
  <si>
    <t>Percent pending</t>
  </si>
  <si>
    <t>Percent 
not run</t>
  </si>
  <si>
    <t>Percent not completed</t>
  </si>
  <si>
    <t xml:space="preserve">Percent block </t>
  </si>
  <si>
    <t>Not run</t>
  </si>
  <si>
    <t>Executor</t>
  </si>
  <si>
    <t>Block account</t>
  </si>
  <si>
    <t>Release block account</t>
  </si>
  <si>
    <t>OPN_001_001</t>
  </si>
  <si>
    <t>OPN_001_002</t>
  </si>
  <si>
    <t>OPN_001_003</t>
  </si>
  <si>
    <t>CBS-SHWE_TC_C#toStore_DPT</t>
  </si>
  <si>
    <t>Version: 1.0</t>
  </si>
  <si>
    <t>VyHNT</t>
  </si>
  <si>
    <t>Create document</t>
  </si>
  <si>
    <t>Open new deposit account</t>
  </si>
  <si>
    <t>Deposit transaction</t>
  </si>
  <si>
    <t>DPT_OPN</t>
  </si>
  <si>
    <t>DPT_CDP</t>
  </si>
  <si>
    <t>Cash deposit</t>
  </si>
  <si>
    <t>DPT_MDP</t>
  </si>
  <si>
    <t>Miscellaneous deposit</t>
  </si>
  <si>
    <t>DPT_CWR</t>
  </si>
  <si>
    <t>Cash withdrawal</t>
  </si>
  <si>
    <t>DPT_MWR</t>
  </si>
  <si>
    <t>Miscellaneous withdrawal</t>
  </si>
  <si>
    <t>DPT_TRF</t>
  </si>
  <si>
    <t>Transfer from deposit account to deposit account</t>
  </si>
  <si>
    <t>DPT_IFC</t>
  </si>
  <si>
    <t>Adjust deposit interest</t>
  </si>
  <si>
    <t>DPT_CIP</t>
  </si>
  <si>
    <t>Interest payment by cash</t>
  </si>
  <si>
    <t>DPT_DIP</t>
  </si>
  <si>
    <t>Interest payment to deposit account</t>
  </si>
  <si>
    <t>DPT_MIP</t>
  </si>
  <si>
    <t>Miscellaneous interest payment</t>
  </si>
  <si>
    <t>DPT_FEE</t>
  </si>
  <si>
    <t>Fee collection by transfer</t>
  </si>
  <si>
    <t>DPT_FOC</t>
  </si>
  <si>
    <t>Fee collection by cash for DD</t>
  </si>
  <si>
    <t>DPT_BLK</t>
  </si>
  <si>
    <t>DPT_RLS</t>
  </si>
  <si>
    <t>DPT_EMK</t>
  </si>
  <si>
    <t>Hold balance</t>
  </si>
  <si>
    <t>DPT_ERL</t>
  </si>
  <si>
    <t>Release hold balance</t>
  </si>
  <si>
    <t>DPT_CAS</t>
  </si>
  <si>
    <t>Change account status</t>
  </si>
  <si>
    <t>DPT_CLS_001</t>
  </si>
  <si>
    <t>Close deposit account</t>
  </si>
  <si>
    <t>DPT_DLS_001</t>
  </si>
  <si>
    <t>Close deposit account by deposit</t>
  </si>
  <si>
    <t>DPT_MLS_001</t>
  </si>
  <si>
    <t>Close deposit account by miscellaneous</t>
  </si>
  <si>
    <t>DPT_HIS</t>
  </si>
  <si>
    <t>Transaction history inquiry</t>
  </si>
  <si>
    <t>OPN_001_004</t>
  </si>
  <si>
    <t>OPN_001_005</t>
  </si>
  <si>
    <t>OPN_001_006</t>
  </si>
  <si>
    <t>OPN_001_007</t>
  </si>
  <si>
    <t>OPN_001_008</t>
  </si>
  <si>
    <t>OPN_001_009</t>
  </si>
  <si>
    <t>OPN_001_010</t>
  </si>
  <si>
    <t>OPN_001_011</t>
  </si>
  <si>
    <t>OPN_001_012</t>
  </si>
  <si>
    <t>OPN_001_013</t>
  </si>
  <si>
    <t>OPN_001_014</t>
  </si>
  <si>
    <t>Reverse transaction</t>
  </si>
  <si>
    <r>
      <rPr>
        <b/>
        <sz val="10"/>
        <rFont val="Arial"/>
        <family val="2"/>
      </rPr>
      <t>Customer</t>
    </r>
    <r>
      <rPr>
        <sz val="10"/>
        <rFont val="Arial"/>
        <family val="2"/>
      </rPr>
      <t xml:space="preserve"> 
  - Customer type: </t>
    </r>
    <r>
      <rPr>
        <sz val="10"/>
        <color rgb="FF00B0F0"/>
        <rFont val="Arial"/>
        <family val="2"/>
      </rPr>
      <t>Single customer</t>
    </r>
    <r>
      <rPr>
        <sz val="10"/>
        <rFont val="Arial"/>
        <family val="2"/>
      </rPr>
      <t xml:space="preserve">
  - Customer status: Normal
</t>
    </r>
    <r>
      <rPr>
        <b/>
        <sz val="10"/>
        <rFont val="Arial"/>
        <family val="2"/>
      </rPr>
      <t xml:space="preserve">Catalogue
</t>
    </r>
    <r>
      <rPr>
        <sz val="10"/>
        <rFont val="Arial"/>
        <family val="2"/>
      </rPr>
      <t xml:space="preserve">  - Deposit type: </t>
    </r>
    <r>
      <rPr>
        <sz val="10"/>
        <color rgb="FF00B0F0"/>
        <rFont val="Arial"/>
        <family val="2"/>
      </rPr>
      <t>Current</t>
    </r>
    <r>
      <rPr>
        <sz val="10"/>
        <rFont val="Arial"/>
        <family val="2"/>
      </rPr>
      <t xml:space="preserve">
  - Catalogue status: Normal
</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</si>
  <si>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r>
      <rPr>
        <b/>
        <sz val="10"/>
        <rFont val="Arial"/>
        <family val="2"/>
      </rPr>
      <t>Customer</t>
    </r>
    <r>
      <rPr>
        <sz val="10"/>
        <rFont val="Arial"/>
        <family val="2"/>
      </rPr>
      <t xml:space="preserve"> 
  - Customer type: </t>
    </r>
    <r>
      <rPr>
        <sz val="10"/>
        <color rgb="FF00B0F0"/>
        <rFont val="Arial"/>
        <family val="2"/>
      </rPr>
      <t>Single customer</t>
    </r>
    <r>
      <rPr>
        <sz val="10"/>
        <rFont val="Arial"/>
        <family val="2"/>
      </rPr>
      <t xml:space="preserve">
  - Customer status: Normal
</t>
    </r>
    <r>
      <rPr>
        <b/>
        <sz val="10"/>
        <rFont val="Arial"/>
        <family val="2"/>
      </rPr>
      <t>Catalogue</t>
    </r>
    <r>
      <rPr>
        <sz val="10"/>
        <rFont val="Arial"/>
        <family val="2"/>
      </rPr>
      <t xml:space="preserve">
  - Deposit type: </t>
    </r>
    <r>
      <rPr>
        <sz val="10"/>
        <color rgb="FF00B0F0"/>
        <rFont val="Arial"/>
        <family val="2"/>
      </rPr>
      <t>Saving</t>
    </r>
    <r>
      <rPr>
        <sz val="10"/>
        <rFont val="Arial"/>
        <family val="2"/>
      </rPr>
      <t xml:space="preserve">
  - Catalogue status: Normal</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</si>
  <si>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t>- Check table data 
  + o9deposit: DepositAccount, DepositAccountExtension, DepositAccountGLs, DepositAccountIFCGLs, IFCBalance, DepositHistory, DepositStatement, AccountLinkage, Transaction, TransactionDetail
  + o9admin: TransactionJournalDone, Transaction, TransactionDetail</t>
  </si>
  <si>
    <r>
      <rPr>
        <b/>
        <sz val="10"/>
        <rFont val="Arial"/>
        <family val="2"/>
      </rPr>
      <t>Customer</t>
    </r>
    <r>
      <rPr>
        <sz val="10"/>
        <rFont val="Arial"/>
        <family val="2"/>
      </rPr>
      <t xml:space="preserve"> 
  - Customer type: </t>
    </r>
    <r>
      <rPr>
        <sz val="10"/>
        <color rgb="FF00B0F0"/>
        <rFont val="Arial"/>
        <family val="2"/>
      </rPr>
      <t>Single customer</t>
    </r>
    <r>
      <rPr>
        <sz val="10"/>
        <rFont val="Arial"/>
        <family val="2"/>
      </rPr>
      <t xml:space="preserve">
  - Customer status: Normal
</t>
    </r>
    <r>
      <rPr>
        <b/>
        <sz val="10"/>
        <rFont val="Arial"/>
        <family val="2"/>
      </rPr>
      <t xml:space="preserve">Catalogue
</t>
    </r>
    <r>
      <rPr>
        <sz val="10"/>
        <rFont val="Arial"/>
        <family val="2"/>
      </rPr>
      <t xml:space="preserve">  - Deposit type: </t>
    </r>
    <r>
      <rPr>
        <sz val="10"/>
        <color rgb="FF00B0F0"/>
        <rFont val="Arial"/>
        <family val="2"/>
      </rPr>
      <t>Current (currency is not MMK)</t>
    </r>
    <r>
      <rPr>
        <sz val="10"/>
        <rFont val="Arial"/>
        <family val="2"/>
      </rPr>
      <t xml:space="preserve">
  - Catalogue status: Normal
  - Catalogue code: </t>
    </r>
    <r>
      <rPr>
        <sz val="10"/>
        <color rgb="FF00B0F0"/>
        <rFont val="Arial"/>
        <family val="2"/>
      </rPr>
      <t>CAUSD0000/ CASGD0000/ CAEUR0000</t>
    </r>
    <r>
      <rPr>
        <sz val="10"/>
        <rFont val="Arial"/>
        <family val="2"/>
      </rPr>
      <t xml:space="preserve">
</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</si>
  <si>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t>-Transaction successfully 
- Check table data 
  + o9deposit: DepositAccount, DepositAccountExtension, DepositAccountGLs, DepositAccountIFCGLs, IFCBalance, DepositHistory, DepositStatement, AccountLinkage, Transaction, TransactionDetail
  + o9admin: TransactionJournalDone, Transaction, TransactionDetail</t>
  </si>
  <si>
    <t>Transaction fail</t>
  </si>
  <si>
    <t>OPN_001_015</t>
  </si>
  <si>
    <t>OPN_001_016</t>
  </si>
  <si>
    <t>OPN_001_017</t>
  </si>
  <si>
    <t>OPN_001_018</t>
  </si>
  <si>
    <t>DPT_APR</t>
  </si>
  <si>
    <t>Approve deposit account</t>
  </si>
  <si>
    <t>DPT_REJ</t>
  </si>
  <si>
    <t>Reject deposit account</t>
  </si>
  <si>
    <t>APR_001_001</t>
  </si>
  <si>
    <r>
      <rPr>
        <b/>
        <sz val="10"/>
        <rFont val="Arial"/>
        <family val="2"/>
      </rPr>
      <t>Customer</t>
    </r>
    <r>
      <rPr>
        <sz val="10"/>
        <rFont val="Arial"/>
        <family val="2"/>
      </rPr>
      <t xml:space="preserve"> 
  - Customer type: </t>
    </r>
    <r>
      <rPr>
        <sz val="10"/>
        <color rgb="FF00B0F0"/>
        <rFont val="Arial"/>
        <family val="2"/>
      </rPr>
      <t>Customer linkage</t>
    </r>
    <r>
      <rPr>
        <sz val="10"/>
        <rFont val="Arial"/>
        <family val="2"/>
      </rPr>
      <t xml:space="preserve">
  - Customer status: Normal
  - </t>
    </r>
    <r>
      <rPr>
        <sz val="10"/>
        <color rgb="FF00B0F0"/>
        <rFont val="Arial"/>
        <family val="2"/>
      </rPr>
      <t>Relation customers is empty</t>
    </r>
    <r>
      <rPr>
        <sz val="10"/>
        <rFont val="Arial"/>
        <family val="2"/>
      </rPr>
      <t xml:space="preserve">
</t>
    </r>
    <r>
      <rPr>
        <b/>
        <sz val="10"/>
        <rFont val="Arial"/>
        <family val="2"/>
      </rPr>
      <t>Catalogue</t>
    </r>
    <r>
      <rPr>
        <sz val="10"/>
        <rFont val="Arial"/>
        <family val="2"/>
      </rPr>
      <t xml:space="preserve">
  - Deposit type: </t>
    </r>
    <r>
      <rPr>
        <sz val="10"/>
        <color rgb="FF00B0F0"/>
        <rFont val="Arial"/>
        <family val="2"/>
      </rPr>
      <t>Saving</t>
    </r>
    <r>
      <rPr>
        <sz val="10"/>
        <rFont val="Arial"/>
        <family val="2"/>
      </rPr>
      <t xml:space="preserve">
  - Catalogue status: Normal</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</si>
  <si>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r>
      <rPr>
        <b/>
        <sz val="10"/>
        <rFont val="Arial"/>
        <family val="2"/>
      </rPr>
      <t>Customer</t>
    </r>
    <r>
      <rPr>
        <sz val="10"/>
        <rFont val="Arial"/>
        <family val="2"/>
      </rPr>
      <t xml:space="preserve"> 
  - Customer type: </t>
    </r>
    <r>
      <rPr>
        <sz val="10"/>
        <color rgb="FF00B0F0"/>
        <rFont val="Arial"/>
        <family val="2"/>
      </rPr>
      <t>Customer group</t>
    </r>
    <r>
      <rPr>
        <sz val="10"/>
        <rFont val="Arial"/>
        <family val="2"/>
      </rPr>
      <t xml:space="preserve">
  - Customer status: Normal
  - </t>
    </r>
    <r>
      <rPr>
        <sz val="10"/>
        <color rgb="FF00B0F0"/>
        <rFont val="Arial"/>
        <family val="2"/>
      </rPr>
      <t>Relation customer is empty</t>
    </r>
    <r>
      <rPr>
        <sz val="10"/>
        <rFont val="Arial"/>
        <family val="2"/>
      </rPr>
      <t xml:space="preserve">
</t>
    </r>
    <r>
      <rPr>
        <b/>
        <sz val="10"/>
        <rFont val="Arial"/>
        <family val="2"/>
      </rPr>
      <t xml:space="preserve">Catalogue
</t>
    </r>
    <r>
      <rPr>
        <sz val="10"/>
        <rFont val="Arial"/>
        <family val="2"/>
      </rPr>
      <t xml:space="preserve">  - Deposit type: </t>
    </r>
    <r>
      <rPr>
        <sz val="10"/>
        <color rgb="FF00B0F0"/>
        <rFont val="Arial"/>
        <family val="2"/>
      </rPr>
      <t>Current (currency is not MMK)</t>
    </r>
    <r>
      <rPr>
        <sz val="10"/>
        <rFont val="Arial"/>
        <family val="2"/>
      </rPr>
      <t xml:space="preserve">
  - Catalogue status: Normal
  - Catalogue code: </t>
    </r>
    <r>
      <rPr>
        <sz val="10"/>
        <color rgb="FF00B0F0"/>
        <rFont val="Arial"/>
        <family val="2"/>
      </rPr>
      <t>CAUSD0001/ CASGD0001/ CAEUR0001</t>
    </r>
    <r>
      <rPr>
        <sz val="10"/>
        <rFont val="Arial"/>
        <family val="2"/>
      </rPr>
      <t xml:space="preserve">
</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</si>
  <si>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r>
      <rPr>
        <b/>
        <sz val="10"/>
        <rFont val="Arial"/>
        <family val="2"/>
      </rPr>
      <t>Customer</t>
    </r>
    <r>
      <rPr>
        <sz val="10"/>
        <rFont val="Arial"/>
        <family val="2"/>
      </rPr>
      <t xml:space="preserve"> 
  - Customer type: </t>
    </r>
    <r>
      <rPr>
        <sz val="10"/>
        <color rgb="FF00B0F0"/>
        <rFont val="Arial"/>
        <family val="2"/>
      </rPr>
      <t>Customer group</t>
    </r>
    <r>
      <rPr>
        <sz val="10"/>
        <rFont val="Arial"/>
        <family val="2"/>
      </rPr>
      <t xml:space="preserve">
  - Customer status: Normal
  - </t>
    </r>
    <r>
      <rPr>
        <sz val="10"/>
        <color rgb="FF00B0F0"/>
        <rFont val="Arial"/>
        <family val="2"/>
      </rPr>
      <t>Relation customer is not empty</t>
    </r>
    <r>
      <rPr>
        <sz val="10"/>
        <rFont val="Arial"/>
        <family val="2"/>
      </rPr>
      <t xml:space="preserve">
</t>
    </r>
    <r>
      <rPr>
        <b/>
        <sz val="10"/>
        <rFont val="Arial"/>
        <family val="2"/>
      </rPr>
      <t xml:space="preserve">Catalogue
</t>
    </r>
    <r>
      <rPr>
        <sz val="10"/>
        <rFont val="Arial"/>
        <family val="2"/>
      </rPr>
      <t xml:space="preserve">  - Deposit type: </t>
    </r>
    <r>
      <rPr>
        <sz val="10"/>
        <color rgb="FF00B0F0"/>
        <rFont val="Arial"/>
        <family val="2"/>
      </rPr>
      <t>Current (currency is not MMK)</t>
    </r>
    <r>
      <rPr>
        <sz val="10"/>
        <rFont val="Arial"/>
        <family val="2"/>
      </rPr>
      <t xml:space="preserve">
  - Catalogue status: Normal
  - Catalogue code: </t>
    </r>
    <r>
      <rPr>
        <sz val="10"/>
        <color rgb="FF00B0F0"/>
        <rFont val="Arial"/>
        <family val="2"/>
      </rPr>
      <t>CAUSD0001/ CASGD0001/ CAEUR0001</t>
    </r>
    <r>
      <rPr>
        <sz val="10"/>
        <rFont val="Arial"/>
        <family val="2"/>
      </rPr>
      <t xml:space="preserve">
</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</si>
  <si>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r>
      <rPr>
        <b/>
        <sz val="10"/>
        <rFont val="Arial"/>
        <family val="2"/>
      </rPr>
      <t>Customer</t>
    </r>
    <r>
      <rPr>
        <sz val="10"/>
        <rFont val="Arial"/>
        <family val="2"/>
      </rPr>
      <t xml:space="preserve"> 
  - Customer type: </t>
    </r>
    <r>
      <rPr>
        <sz val="10"/>
        <color rgb="FF00B0F0"/>
        <rFont val="Arial"/>
        <family val="2"/>
      </rPr>
      <t>Customer group</t>
    </r>
    <r>
      <rPr>
        <sz val="10"/>
        <rFont val="Arial"/>
        <family val="2"/>
      </rPr>
      <t xml:space="preserve">
  - Customer status: Normal
  - </t>
    </r>
    <r>
      <rPr>
        <sz val="10"/>
        <color rgb="FF00B0F0"/>
        <rFont val="Arial"/>
        <family val="2"/>
      </rPr>
      <t>Relation customers is empty</t>
    </r>
    <r>
      <rPr>
        <sz val="10"/>
        <rFont val="Arial"/>
        <family val="2"/>
      </rPr>
      <t xml:space="preserve">
</t>
    </r>
    <r>
      <rPr>
        <b/>
        <sz val="10"/>
        <rFont val="Arial"/>
        <family val="2"/>
      </rPr>
      <t>Catalogue</t>
    </r>
    <r>
      <rPr>
        <sz val="10"/>
        <rFont val="Arial"/>
        <family val="2"/>
      </rPr>
      <t xml:space="preserve">
  - Deposit type: </t>
    </r>
    <r>
      <rPr>
        <sz val="10"/>
        <color rgb="FF00B0F0"/>
        <rFont val="Arial"/>
        <family val="2"/>
      </rPr>
      <t>Saving</t>
    </r>
    <r>
      <rPr>
        <sz val="10"/>
        <rFont val="Arial"/>
        <family val="2"/>
      </rPr>
      <t xml:space="preserve">
  - Catalogue status: Normal</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</si>
  <si>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r>
      <rPr>
        <b/>
        <sz val="10"/>
        <rFont val="Arial"/>
        <family val="2"/>
      </rPr>
      <t>Customer</t>
    </r>
    <r>
      <rPr>
        <sz val="10"/>
        <rFont val="Arial"/>
        <family val="2"/>
      </rPr>
      <t xml:space="preserve"> 
  - Customer type: </t>
    </r>
    <r>
      <rPr>
        <sz val="10"/>
        <color rgb="FF00B0F0"/>
        <rFont val="Arial"/>
        <family val="2"/>
      </rPr>
      <t>Customer linkage</t>
    </r>
    <r>
      <rPr>
        <sz val="10"/>
        <rFont val="Arial"/>
        <family val="2"/>
      </rPr>
      <t xml:space="preserve">
  - Customer status: Normal
  - </t>
    </r>
    <r>
      <rPr>
        <sz val="10"/>
        <color rgb="FF00B0F0"/>
        <rFont val="Arial"/>
        <family val="2"/>
      </rPr>
      <t>Relation customers is not empty</t>
    </r>
    <r>
      <rPr>
        <sz val="10"/>
        <rFont val="Arial"/>
        <family val="2"/>
      </rPr>
      <t xml:space="preserve">
</t>
    </r>
    <r>
      <rPr>
        <b/>
        <sz val="10"/>
        <rFont val="Arial"/>
        <family val="2"/>
      </rPr>
      <t>Catalogue</t>
    </r>
    <r>
      <rPr>
        <sz val="10"/>
        <rFont val="Arial"/>
        <family val="2"/>
      </rPr>
      <t xml:space="preserve">
  - Deposit type: </t>
    </r>
    <r>
      <rPr>
        <sz val="10"/>
        <color rgb="FF00B0F0"/>
        <rFont val="Arial"/>
        <family val="2"/>
      </rPr>
      <t>Saving</t>
    </r>
    <r>
      <rPr>
        <sz val="10"/>
        <rFont val="Arial"/>
        <family val="2"/>
      </rPr>
      <t xml:space="preserve">
  - Catalogue status: Normal</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</si>
  <si>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r>
      <rPr>
        <b/>
        <sz val="10"/>
        <rFont val="Arial"/>
        <family val="2"/>
      </rPr>
      <t>Customer</t>
    </r>
    <r>
      <rPr>
        <sz val="10"/>
        <rFont val="Arial"/>
        <family val="2"/>
      </rPr>
      <t xml:space="preserve"> 
  - Customer type: </t>
    </r>
    <r>
      <rPr>
        <sz val="10"/>
        <color rgb="FF00B0F0"/>
        <rFont val="Arial"/>
        <family val="2"/>
      </rPr>
      <t>Customer group</t>
    </r>
    <r>
      <rPr>
        <sz val="10"/>
        <rFont val="Arial"/>
        <family val="2"/>
      </rPr>
      <t xml:space="preserve">
  - Customer status: Normal
  - </t>
    </r>
    <r>
      <rPr>
        <sz val="10"/>
        <color rgb="FF00B0F0"/>
        <rFont val="Arial"/>
        <family val="2"/>
      </rPr>
      <t>Relation customers is not empty</t>
    </r>
    <r>
      <rPr>
        <sz val="10"/>
        <rFont val="Arial"/>
        <family val="2"/>
      </rPr>
      <t xml:space="preserve">
</t>
    </r>
    <r>
      <rPr>
        <b/>
        <sz val="10"/>
        <rFont val="Arial"/>
        <family val="2"/>
      </rPr>
      <t>Catalogue</t>
    </r>
    <r>
      <rPr>
        <sz val="10"/>
        <rFont val="Arial"/>
        <family val="2"/>
      </rPr>
      <t xml:space="preserve">
  - Deposit type: </t>
    </r>
    <r>
      <rPr>
        <sz val="10"/>
        <color rgb="FF00B0F0"/>
        <rFont val="Arial"/>
        <family val="2"/>
      </rPr>
      <t>Saving</t>
    </r>
    <r>
      <rPr>
        <sz val="10"/>
        <rFont val="Arial"/>
        <family val="2"/>
      </rPr>
      <t xml:space="preserve">
  - Catalogue status: Normal</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</si>
  <si>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t>OPN_001_019</t>
  </si>
  <si>
    <t>OPN_001_020</t>
  </si>
  <si>
    <t>OPN_001_021</t>
  </si>
  <si>
    <t>OPN_001_022</t>
  </si>
  <si>
    <t>APR_001_002</t>
  </si>
  <si>
    <t>APR_001_003</t>
  </si>
  <si>
    <t>REJ_001_001</t>
  </si>
  <si>
    <t>REJ_001_002</t>
  </si>
  <si>
    <t>REJ_001_003</t>
  </si>
  <si>
    <t>-Transaction successfully 
- Check table data 
  + o9deposit: DepositAccount, DepositAccountExtension, DepositAccountGLs, DepositAccountIFCGLs, IFCBalance, IFCBalanceDetail, DepositHistory, DepositStatement, AccountLinkage, Transaction, TransactionDetail
  + o9admin: TransactionJournalDone, Transaction, TransactionDetail</t>
  </si>
  <si>
    <t>OPN_001_023</t>
  </si>
  <si>
    <t>-Transaction successfully 
- Check table data 
  + o9deposit: DepositAccount, DepositHistory, DepositStatement, Transaction, TransactionDetail
  + o9admin: TransactionJournalDone, Transaction, TransactionDetail</t>
  </si>
  <si>
    <t>- Deposit status: Pending to approve
- Branch account same branch with teller
1. Open "Approve deposit account" screen
2. Input Account number
3. Click Accept</t>
  </si>
  <si>
    <t>APR_001_004</t>
  </si>
  <si>
    <t>System shows popup approve</t>
  </si>
  <si>
    <t>Accept for Dormant account</t>
  </si>
  <si>
    <t>- Add fee for transaction
- Fee belongs to transaction and same currency</t>
  </si>
  <si>
    <t>APR_001_005</t>
  </si>
  <si>
    <t>REJ_001_004</t>
  </si>
  <si>
    <t>CWR_001_001</t>
  </si>
  <si>
    <t>CDP_001_001</t>
  </si>
  <si>
    <t>CDP_001_002</t>
  </si>
  <si>
    <t>CDP_001_003</t>
  </si>
  <si>
    <t>CDP_001_004</t>
  </si>
  <si>
    <t>CDP_001_005</t>
  </si>
  <si>
    <t>CDP_001_006</t>
  </si>
  <si>
    <t>CDP_001_007</t>
  </si>
  <si>
    <t>CDP_001_008</t>
  </si>
  <si>
    <t>CDP_001_009</t>
  </si>
  <si>
    <t>CDP_001_010</t>
  </si>
  <si>
    <t>CDP_001_011</t>
  </si>
  <si>
    <t>CDP_001_012</t>
  </si>
  <si>
    <t>CDP_001_013</t>
  </si>
  <si>
    <t>CDP_001_014</t>
  </si>
  <si>
    <t>CDP_001_015</t>
  </si>
  <si>
    <t>CDP_001_016</t>
  </si>
  <si>
    <t>CDP_001_017</t>
  </si>
  <si>
    <t>CDP_001_018</t>
  </si>
  <si>
    <t>CDP_001_019</t>
  </si>
  <si>
    <t>CDP_001_020</t>
  </si>
  <si>
    <t>CWR_001_002</t>
  </si>
  <si>
    <t>CWR_001_003</t>
  </si>
  <si>
    <t>CWR_001_004</t>
  </si>
  <si>
    <t>CWR_001_005</t>
  </si>
  <si>
    <t>CWR_001_006</t>
  </si>
  <si>
    <t>CWR_001_007</t>
  </si>
  <si>
    <t>CWR_001_008</t>
  </si>
  <si>
    <t>CWR_001_009</t>
  </si>
  <si>
    <t>CWR_001_010</t>
  </si>
  <si>
    <t>CWR_001_011</t>
  </si>
  <si>
    <t>CWR_001_012</t>
  </si>
  <si>
    <t>CWR_001_013</t>
  </si>
  <si>
    <t>CWR_001_014</t>
  </si>
  <si>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 xml:space="preserve">Normal
</t>
    </r>
    <r>
      <rPr>
        <sz val="10"/>
        <rFont val="Arial"/>
        <family val="2"/>
      </rPr>
      <t xml:space="preserve">  - Deposit amount &gt; 0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</si>
  <si>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r>
      <rPr>
        <b/>
        <sz val="10"/>
        <rFont val="Arial"/>
        <family val="2"/>
      </rPr>
      <t xml:space="preserve">Deposit account: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- 0 &lt; Withdrawal amount &lt;= Available balance
  - Deposit has passbook
</t>
    </r>
    <r>
      <rPr>
        <b/>
        <sz val="10"/>
        <rFont val="Arial"/>
        <family val="2"/>
      </rPr>
      <t xml:space="preserve">Teller does this transaction:
</t>
    </r>
    <r>
      <rPr>
        <sz val="10"/>
        <rFont val="Arial"/>
        <family val="2"/>
      </rPr>
      <t xml:space="preserve">  - User has right to do transaction related to cash
  - User has enough cash to withdraw  
</t>
    </r>
    <r>
      <rPr>
        <sz val="10"/>
        <color theme="1"/>
        <rFont val="Arial"/>
        <family val="2"/>
      </rPr>
      <t xml:space="preserve">
1. Open "Cash withdrawal" screen
2. Input Account number
3. Input Withdrawal amount
4. Click accept</t>
    </r>
  </si>
  <si>
    <r>
      <rPr>
        <b/>
        <sz val="10"/>
        <rFont val="Arial"/>
        <family val="2"/>
      </rPr>
      <t xml:space="preserve">Deposit account: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- 0 &lt; Withdrawal amount &lt;= Available balance
  - Deposit has passbook
</t>
    </r>
    <r>
      <rPr>
        <b/>
        <sz val="10"/>
        <rFont val="Arial"/>
        <family val="2"/>
      </rPr>
      <t xml:space="preserve">Teller does this transaction:
</t>
    </r>
    <r>
      <rPr>
        <sz val="10"/>
        <rFont val="Arial"/>
        <family val="2"/>
      </rPr>
      <t xml:space="preserve">  - User has right to do transaction related to cash
  - User has enough cash to withdraw  
</t>
    </r>
    <r>
      <rPr>
        <sz val="10"/>
        <color theme="1"/>
        <rFont val="Arial"/>
        <family val="2"/>
      </rPr>
      <t xml:space="preserve">
1. Open "Cash withdrawal" screen
2. Input Account number
3. Input Withdrawal amount
4. Click accept</t>
    </r>
  </si>
  <si>
    <t>Creator (Editor)</t>
  </si>
  <si>
    <t>1st test</t>
  </si>
  <si>
    <t>2nd test</t>
  </si>
  <si>
    <t>3rd test</t>
  </si>
  <si>
    <r>
      <t xml:space="preserve">Deposit status: </t>
    </r>
    <r>
      <rPr>
        <sz val="10"/>
        <rFont val="Arial"/>
        <family val="2"/>
      </rPr>
      <t>Pending to approve</t>
    </r>
    <r>
      <rPr>
        <sz val="10"/>
        <color theme="1"/>
        <rFont val="Arial"/>
        <family val="2"/>
      </rPr>
      <t xml:space="preserve">
1. Open "Reject deposit account" screen
2. Input Account number
3. Click Accept</t>
    </r>
  </si>
  <si>
    <r>
      <rPr>
        <b/>
        <sz val="10"/>
        <rFont val="Arial"/>
        <family val="2"/>
      </rPr>
      <t>Customer</t>
    </r>
    <r>
      <rPr>
        <sz val="10"/>
        <rFont val="Arial"/>
        <family val="2"/>
      </rPr>
      <t xml:space="preserve"> 
  - Customer type: </t>
    </r>
    <r>
      <rPr>
        <sz val="10"/>
        <color rgb="FF00B0F0"/>
        <rFont val="Arial"/>
        <family val="2"/>
      </rPr>
      <t>Customer linkage</t>
    </r>
    <r>
      <rPr>
        <sz val="10"/>
        <rFont val="Arial"/>
        <family val="2"/>
      </rPr>
      <t xml:space="preserve">
  - Customer status: Normal
  - </t>
    </r>
    <r>
      <rPr>
        <sz val="10"/>
        <color rgb="FF00B0F0"/>
        <rFont val="Arial"/>
        <family val="2"/>
      </rPr>
      <t>Relation customer is empty</t>
    </r>
    <r>
      <rPr>
        <sz val="10"/>
        <rFont val="Arial"/>
        <family val="2"/>
      </rPr>
      <t xml:space="preserve">
</t>
    </r>
    <r>
      <rPr>
        <b/>
        <sz val="10"/>
        <rFont val="Arial"/>
        <family val="2"/>
      </rPr>
      <t xml:space="preserve">Catalogue
</t>
    </r>
    <r>
      <rPr>
        <sz val="10"/>
        <rFont val="Arial"/>
        <family val="2"/>
      </rPr>
      <t xml:space="preserve">  - Deposit type: </t>
    </r>
    <r>
      <rPr>
        <sz val="10"/>
        <color rgb="FF00B0F0"/>
        <rFont val="Arial"/>
        <family val="2"/>
      </rPr>
      <t>Current (currency is not MMK)</t>
    </r>
    <r>
      <rPr>
        <sz val="10"/>
        <rFont val="Arial"/>
        <family val="2"/>
      </rPr>
      <t xml:space="preserve">
  - Catalogue status: Normal
  - Catalogue code: </t>
    </r>
    <r>
      <rPr>
        <sz val="10"/>
        <color rgb="FF00B0F0"/>
        <rFont val="Arial"/>
        <family val="2"/>
      </rPr>
      <t>CAUSD0000/ CASGD0000/ CAEUR0000</t>
    </r>
    <r>
      <rPr>
        <sz val="10"/>
        <rFont val="Arial"/>
        <family val="2"/>
      </rPr>
      <t xml:space="preserve">
</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</si>
  <si>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r>
      <rPr>
        <b/>
        <sz val="10"/>
        <rFont val="Arial"/>
        <family val="2"/>
      </rPr>
      <t>Customer</t>
    </r>
    <r>
      <rPr>
        <sz val="10"/>
        <rFont val="Arial"/>
        <family val="2"/>
      </rPr>
      <t xml:space="preserve"> 
  - Customer type: </t>
    </r>
    <r>
      <rPr>
        <sz val="10"/>
        <color rgb="FF00B0F0"/>
        <rFont val="Arial"/>
        <family val="2"/>
      </rPr>
      <t>Customer linkage</t>
    </r>
    <r>
      <rPr>
        <sz val="10"/>
        <rFont val="Arial"/>
        <family val="2"/>
      </rPr>
      <t xml:space="preserve">
  - Customer status: Normal
  - </t>
    </r>
    <r>
      <rPr>
        <sz val="10"/>
        <color rgb="FF00B0F0"/>
        <rFont val="Arial"/>
        <family val="2"/>
      </rPr>
      <t>Relation customer is not empty</t>
    </r>
    <r>
      <rPr>
        <sz val="10"/>
        <rFont val="Arial"/>
        <family val="2"/>
      </rPr>
      <t xml:space="preserve">
</t>
    </r>
    <r>
      <rPr>
        <b/>
        <sz val="10"/>
        <rFont val="Arial"/>
        <family val="2"/>
      </rPr>
      <t xml:space="preserve">Catalogue
</t>
    </r>
    <r>
      <rPr>
        <sz val="10"/>
        <rFont val="Arial"/>
        <family val="2"/>
      </rPr>
      <t xml:space="preserve">  - Deposit type: </t>
    </r>
    <r>
      <rPr>
        <sz val="10"/>
        <color rgb="FF00B0F0"/>
        <rFont val="Arial"/>
        <family val="2"/>
      </rPr>
      <t>Current (currency is not MMK)</t>
    </r>
    <r>
      <rPr>
        <sz val="10"/>
        <rFont val="Arial"/>
        <family val="2"/>
      </rPr>
      <t xml:space="preserve">
  - Catalogue status: Normal
  - Catalogue code: </t>
    </r>
    <r>
      <rPr>
        <sz val="10"/>
        <color rgb="FF00B0F0"/>
        <rFont val="Arial"/>
        <family val="2"/>
      </rPr>
      <t>CAUSD0000/ CASGD0000/ CAEUR0000</t>
    </r>
    <r>
      <rPr>
        <sz val="10"/>
        <rFont val="Arial"/>
        <family val="2"/>
      </rPr>
      <t xml:space="preserve">
</t>
    </r>
    <r>
      <rPr>
        <b/>
        <sz val="10"/>
        <rFont val="Arial"/>
        <family val="2"/>
      </rPr>
      <t xml:space="preserve">
</t>
    </r>
    <r>
      <rPr>
        <sz val="10"/>
        <rFont val="Arial"/>
        <family val="2"/>
      </rPr>
      <t>1. Open "Open new deposit account" screen
2. Choose Customer type
3. Input Customer code
4. Input Catalogue code
5. Input Reason of Account Opening
6. Click Accpet</t>
    </r>
  </si>
  <si>
    <t>OPN_001_024</t>
  </si>
  <si>
    <t>OPN_001_025</t>
  </si>
  <si>
    <t>OPN_001_026</t>
  </si>
  <si>
    <t>CDP_001_021</t>
  </si>
  <si>
    <t>MDP_001_001</t>
  </si>
  <si>
    <t>MDP_001_002</t>
  </si>
  <si>
    <t>MDP_001_003</t>
  </si>
  <si>
    <t>MDP_001_004</t>
  </si>
  <si>
    <t>MDP_001_005</t>
  </si>
  <si>
    <t>MDP_001_006</t>
  </si>
  <si>
    <t>MDP_001_007</t>
  </si>
  <si>
    <t>MDP_001_008</t>
  </si>
  <si>
    <t>MDP_001_009</t>
  </si>
  <si>
    <t>MDP_001_010</t>
  </si>
  <si>
    <t>MDP_001_011</t>
  </si>
  <si>
    <t>MDP_001_012</t>
  </si>
  <si>
    <t>MDP_001_013</t>
  </si>
  <si>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 xml:space="preserve">Dormant
</t>
    </r>
    <r>
      <rPr>
        <sz val="10"/>
        <rFont val="Arial"/>
        <family val="2"/>
      </rPr>
      <t xml:space="preserve">  - Deposit amount &gt; 0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</si>
  <si>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 xml:space="preserve">Dormant
</t>
    </r>
    <r>
      <rPr>
        <sz val="10"/>
        <rFont val="Arial"/>
        <family val="2"/>
      </rPr>
      <t xml:space="preserve">  - Deposit amount &gt; 0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</si>
  <si>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 xml:space="preserve">Normal
  - </t>
    </r>
    <r>
      <rPr>
        <sz val="10"/>
        <rFont val="Arial"/>
        <family val="2"/>
      </rPr>
      <t xml:space="preserve">Deposit amount &gt; 0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</si>
  <si>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Deposit amount &gt;= Initial deposit amount</t>
    </r>
    <r>
      <rPr>
        <sz val="10"/>
        <rFont val="Arial"/>
        <family val="2"/>
      </rPr>
      <t xml:space="preserve">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</si>
  <si>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Deposit amount &gt;= Initial deposit amount</t>
    </r>
    <r>
      <rPr>
        <sz val="10"/>
        <rFont val="Arial"/>
        <family val="2"/>
      </rPr>
      <t xml:space="preserve">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</si>
  <si>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t>MDP_001_014</t>
  </si>
  <si>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&lt;&gt; Prepaid fixed deposit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Deposit amount &gt;= Initial deposit amount</t>
    </r>
    <r>
      <rPr>
        <sz val="10"/>
        <rFont val="Arial"/>
        <family val="2"/>
      </rPr>
      <t xml:space="preserve">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</si>
  <si>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 xml:space="preserve">Deposit amount &gt;= Initial deposit amount
</t>
    </r>
    <r>
      <rPr>
        <b/>
        <sz val="10"/>
        <rFont val="Arial"/>
        <family val="2"/>
      </rPr>
      <t xml:space="preserve">Linkage account
 </t>
    </r>
    <r>
      <rPr>
        <sz val="10"/>
        <rFont val="Arial"/>
        <family val="2"/>
      </rPr>
      <t xml:space="preserve"> - </t>
    </r>
    <r>
      <rPr>
        <sz val="10"/>
        <color rgb="FF00B0F0"/>
        <rFont val="Arial"/>
        <family val="2"/>
      </rPr>
      <t>Deposit status: Normal</t>
    </r>
    <r>
      <rPr>
        <sz val="10"/>
        <rFont val="Arial"/>
        <family val="2"/>
      </rPr>
      <t xml:space="preserve">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</si>
  <si>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t>MDP_001_015</t>
  </si>
  <si>
    <t>MDP_001_016</t>
  </si>
  <si>
    <t>MDP_001_017</t>
  </si>
  <si>
    <t>MDP_001_018</t>
  </si>
  <si>
    <t>MDP_001_019</t>
  </si>
  <si>
    <t>MDP_001_020</t>
  </si>
  <si>
    <t>MDP_001_021</t>
  </si>
  <si>
    <t>MWR_001_001</t>
  </si>
  <si>
    <t>MWR_001_002</t>
  </si>
  <si>
    <t>MWR_001_003</t>
  </si>
  <si>
    <t>MWR_001_004</t>
  </si>
  <si>
    <t>MWR_001_005</t>
  </si>
  <si>
    <t>MWR_001_006</t>
  </si>
  <si>
    <t>Transaction successfully</t>
  </si>
  <si>
    <t>MWR_001_007</t>
  </si>
  <si>
    <t>MWR_001_008</t>
  </si>
  <si>
    <t>MWR_001_009</t>
  </si>
  <si>
    <t>MWR_001_010</t>
  </si>
  <si>
    <t>MWR_001_011</t>
  </si>
  <si>
    <t>MWR_001_012</t>
  </si>
  <si>
    <t>MWR_001_013</t>
  </si>
  <si>
    <t>MWR_001_014</t>
  </si>
  <si>
    <t>MWR_001_015</t>
  </si>
  <si>
    <t>MWR_001_016</t>
  </si>
  <si>
    <t>MWR_001_017</t>
  </si>
  <si>
    <t>MWR_001_018</t>
  </si>
  <si>
    <t>MWR_001_019</t>
  </si>
  <si>
    <t>MWR_001_020</t>
  </si>
  <si>
    <t>MWR_001_021</t>
  </si>
  <si>
    <t>TRF_001_001</t>
  </si>
  <si>
    <t>TRF_001_002</t>
  </si>
  <si>
    <t>TRF_001_003</t>
  </si>
  <si>
    <t>TRF_001_004</t>
  </si>
  <si>
    <t>TRF_001_005</t>
  </si>
  <si>
    <t>TRF_001_006</t>
  </si>
  <si>
    <t>TRF_001_007</t>
  </si>
  <si>
    <t>TRF_001_008</t>
  </si>
  <si>
    <t>TRF_001_009</t>
  </si>
  <si>
    <t>TRF_001_011</t>
  </si>
  <si>
    <t>TRF_001_013</t>
  </si>
  <si>
    <t>MWR_001_022</t>
  </si>
  <si>
    <t>MWR_001_023</t>
  </si>
  <si>
    <t>TRF_001_014</t>
  </si>
  <si>
    <t>TRF_001_015</t>
  </si>
  <si>
    <t>TRF_001_016</t>
  </si>
  <si>
    <t>CDP_001_022</t>
  </si>
  <si>
    <t>TRF_001_017</t>
  </si>
  <si>
    <t>TRF_001_018</t>
  </si>
  <si>
    <t>TRF_001_019</t>
  </si>
  <si>
    <t>TRF_001_021</t>
  </si>
  <si>
    <r>
      <rPr>
        <b/>
        <sz val="10"/>
        <rFont val="Arial"/>
        <family val="2"/>
      </rPr>
      <t>Debit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
  -</t>
    </r>
    <r>
      <rPr>
        <sz val="10"/>
        <rFont val="Arial"/>
        <family val="2"/>
      </rPr>
      <t xml:space="preserve"> 0 &lt;</t>
    </r>
    <r>
      <rPr>
        <sz val="10"/>
        <color rgb="FF00B0F0"/>
        <rFont val="Arial"/>
        <family val="2"/>
      </rPr>
      <t xml:space="preserve"> </t>
    </r>
    <r>
      <rPr>
        <sz val="10"/>
        <rFont val="Arial"/>
        <family val="2"/>
      </rPr>
      <t xml:space="preserve">Transfer amount &lt;= Available balance
  - Has no linkage account for fund transfer
</t>
    </r>
    <r>
      <rPr>
        <b/>
        <sz val="10"/>
        <rFont val="Arial"/>
        <family val="2"/>
      </rPr>
      <t>Credit account</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Transfer amount &gt;= Initial deposit amount</t>
    </r>
    <r>
      <rPr>
        <sz val="10"/>
        <rFont val="Arial"/>
        <family val="2"/>
      </rPr>
      <t xml:space="preserve">
  - Credit currency = Debit currency
  - Credit account &lt;&gt; Debit account
1. Open "Transfer from deposit account to deposit account" screen
2. Input Debit account
3. Input Transfer amount
4. Input Credit account
5. Click Accept</t>
    </r>
  </si>
  <si>
    <r>
      <rPr>
        <b/>
        <sz val="10"/>
        <rFont val="Arial"/>
        <family val="2"/>
      </rPr>
      <t>Debit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
  -</t>
    </r>
    <r>
      <rPr>
        <sz val="10"/>
        <rFont val="Arial"/>
        <family val="2"/>
      </rPr>
      <t xml:space="preserve"> 0 &lt;</t>
    </r>
    <r>
      <rPr>
        <sz val="10"/>
        <color rgb="FF00B0F0"/>
        <rFont val="Arial"/>
        <family val="2"/>
      </rPr>
      <t xml:space="preserve"> </t>
    </r>
    <r>
      <rPr>
        <sz val="10"/>
        <rFont val="Arial"/>
        <family val="2"/>
      </rPr>
      <t xml:space="preserve">Transfer amount &lt;= Available balance
  - Has no linkage account for fund transfer
</t>
    </r>
    <r>
      <rPr>
        <b/>
        <sz val="10"/>
        <rFont val="Arial"/>
        <family val="2"/>
      </rPr>
      <t>Credit account</t>
    </r>
    <r>
      <rPr>
        <sz val="10"/>
        <rFont val="Arial"/>
        <family val="2"/>
      </rPr>
      <t xml:space="preserve">
  - Deposit type: </t>
    </r>
    <r>
      <rPr>
        <sz val="10"/>
        <color rgb="FF00B0F0"/>
        <rFont val="Arial"/>
        <family val="2"/>
      </rPr>
      <t>Saving</t>
    </r>
    <r>
      <rPr>
        <sz val="10"/>
        <rFont val="Arial"/>
        <family val="2"/>
      </rPr>
      <t xml:space="preserve">
  - </t>
    </r>
    <r>
      <rPr>
        <sz val="10"/>
        <color rgb="FF00B0F0"/>
        <rFont val="Arial"/>
        <family val="2"/>
      </rPr>
      <t>Deposit sub type &lt;&gt;"Shwe cash call deposit account"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Transfer amount &gt;= Initial deposit amount</t>
    </r>
    <r>
      <rPr>
        <sz val="10"/>
        <rFont val="Arial"/>
        <family val="2"/>
      </rPr>
      <t xml:space="preserve">
  - Credit currency = Debit currency
  - Credit account &lt;&gt; Debit account
1. Open "Transfer from deposit account to deposit account" screen
2. Input Debit account
3. Input Transfer amount
4. Input Credit account
5. Click Accept</t>
    </r>
  </si>
  <si>
    <r>
      <rPr>
        <b/>
        <sz val="10"/>
        <rFont val="Arial"/>
        <family val="2"/>
      </rPr>
      <t xml:space="preserve">Debit account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t>
    </r>
    <r>
      <rPr>
        <sz val="10"/>
        <rFont val="Arial"/>
        <family val="2"/>
      </rPr>
      <t xml:space="preserve">
  - 0 &lt; Transfer amount &lt;= Available balance
  - Has no linkage account for fund transfer
</t>
    </r>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t>
    </r>
    <r>
      <rPr>
        <sz val="10"/>
        <rFont val="Arial"/>
        <family val="2"/>
      </rPr>
      <t xml:space="preserve">
  - Credit currency = Debit currency
  - Credit account &lt;&gt; Debit account
1. Open "Transfer from deposit account to deposit account" screen
2. Input Debit account
3. Input Transfer amount
4. Input Credit account
5. Click Accept</t>
    </r>
  </si>
  <si>
    <r>
      <rPr>
        <b/>
        <sz val="10"/>
        <rFont val="Arial"/>
        <family val="2"/>
      </rPr>
      <t xml:space="preserve">Debit account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t>
    </r>
    <r>
      <rPr>
        <sz val="10"/>
        <rFont val="Arial"/>
        <family val="2"/>
      </rPr>
      <t xml:space="preserve">
  - 0 &lt; Withdrawal amount &lt;= Available balance
  - Has no linkage account for fund transfer
</t>
    </r>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Credit currency = Debit currency
  - Credit account &lt;&gt; Debit account
1. Open "Transfer from deposit account to deposit account" screen
2. Input Debit account
3. Input Transfer amount
4. Input Credit account
5. Click Accept</t>
    </r>
  </si>
  <si>
    <r>
      <rPr>
        <b/>
        <sz val="10"/>
        <color theme="1"/>
        <rFont val="Arial"/>
        <family val="2"/>
      </rPr>
      <t>Debit account</t>
    </r>
    <r>
      <rPr>
        <sz val="10"/>
        <color theme="1"/>
        <rFont val="Arial"/>
        <family val="2"/>
      </rPr>
      <t xml:space="preserve">
  - Deposit type: </t>
    </r>
    <r>
      <rPr>
        <sz val="10"/>
        <color rgb="FF00B0F0"/>
        <rFont val="Arial"/>
        <family val="2"/>
      </rPr>
      <t>Current</t>
    </r>
    <r>
      <rPr>
        <sz val="10"/>
        <color theme="1"/>
        <rFont val="Arial"/>
        <family val="2"/>
      </rPr>
      <t xml:space="preserve">
  - Deposit status: </t>
    </r>
    <r>
      <rPr>
        <sz val="10"/>
        <color rgb="FF00B0F0"/>
        <rFont val="Arial"/>
        <family val="2"/>
      </rPr>
      <t>Normal</t>
    </r>
    <r>
      <rPr>
        <sz val="10"/>
        <color theme="1"/>
        <rFont val="Arial"/>
        <family val="2"/>
      </rPr>
      <t xml:space="preserve">
  - 0 &lt; Transfer amount &lt;= Available balance
  - Has no linkage account for fund transfer
</t>
    </r>
    <r>
      <rPr>
        <b/>
        <sz val="10"/>
        <color theme="1"/>
        <rFont val="Arial"/>
        <family val="2"/>
      </rPr>
      <t>Credit account</t>
    </r>
    <r>
      <rPr>
        <sz val="10"/>
        <color theme="1"/>
        <rFont val="Arial"/>
        <family val="2"/>
      </rPr>
      <t xml:space="preserve">
  - Deposit type: </t>
    </r>
    <r>
      <rPr>
        <sz val="10"/>
        <color rgb="FF00B0F0"/>
        <rFont val="Arial"/>
        <family val="2"/>
      </rPr>
      <t>Fixed deposit</t>
    </r>
    <r>
      <rPr>
        <sz val="10"/>
        <color theme="1"/>
        <rFont val="Arial"/>
        <family val="2"/>
      </rPr>
      <t xml:space="preserve">
  - </t>
    </r>
    <r>
      <rPr>
        <sz val="10"/>
        <color rgb="FF00B0F0"/>
        <rFont val="Arial"/>
        <family val="2"/>
      </rPr>
      <t>Deposit sub type &lt;&gt; Prepaid fixed deposit</t>
    </r>
    <r>
      <rPr>
        <sz val="10"/>
        <color theme="1"/>
        <rFont val="Arial"/>
        <family val="2"/>
      </rPr>
      <t xml:space="preserve">
  - Deposit status: </t>
    </r>
    <r>
      <rPr>
        <sz val="10"/>
        <color rgb="FF00B0F0"/>
        <rFont val="Arial"/>
        <family val="2"/>
      </rPr>
      <t>Normal</t>
    </r>
    <r>
      <rPr>
        <sz val="10"/>
        <color theme="1"/>
        <rFont val="Arial"/>
        <family val="2"/>
      </rPr>
      <t xml:space="preserve">
  - </t>
    </r>
    <r>
      <rPr>
        <sz val="10"/>
        <color rgb="FF00B0F0"/>
        <rFont val="Arial"/>
        <family val="2"/>
      </rPr>
      <t>Multiple deposit allow: Yes</t>
    </r>
    <r>
      <rPr>
        <sz val="10"/>
        <rFont val="Arial"/>
        <family val="2"/>
      </rPr>
      <t xml:space="preserve">
  - Credit currency = Debit currency</t>
    </r>
    <r>
      <rPr>
        <sz val="10"/>
        <color theme="1"/>
        <rFont val="Arial"/>
        <family val="2"/>
      </rPr>
      <t xml:space="preserve">
1. Open "Transfer from deposit account to deposit account" screen
2. Input Debit account
3. Input Transfer amount
4. Input Credit account
5. Click Accept</t>
    </r>
  </si>
  <si>
    <r>
      <rPr>
        <b/>
        <sz val="10"/>
        <rFont val="Arial"/>
        <family val="2"/>
      </rPr>
      <t>Debit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
  -</t>
    </r>
    <r>
      <rPr>
        <sz val="10"/>
        <rFont val="Arial"/>
        <family val="2"/>
      </rPr>
      <t xml:space="preserve"> 0 &lt;</t>
    </r>
    <r>
      <rPr>
        <sz val="10"/>
        <color rgb="FF00B0F0"/>
        <rFont val="Arial"/>
        <family val="2"/>
      </rPr>
      <t xml:space="preserve"> </t>
    </r>
    <r>
      <rPr>
        <sz val="10"/>
        <rFont val="Arial"/>
        <family val="2"/>
      </rPr>
      <t xml:space="preserve">Transfer amount &lt;= Available balance
  - Has no linkage account for fund transfer
</t>
    </r>
    <r>
      <rPr>
        <b/>
        <sz val="10"/>
        <rFont val="Arial"/>
        <family val="2"/>
      </rPr>
      <t>Credit account</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 xml:space="preserve">Deposit sub type &lt;&gt; Prepaid fixed deposit
</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Transfer amount &gt;= Initial deposit amount</t>
    </r>
    <r>
      <rPr>
        <sz val="10"/>
        <rFont val="Arial"/>
        <family val="2"/>
      </rPr>
      <t xml:space="preserve">
  - Credit currency = Debit currency
1. Open "Transfer from deposit account to deposit account" screen
2. Input Debit account
3. Input Transfer amount
4. Input Credit account
5. Click Accept</t>
    </r>
  </si>
  <si>
    <r>
      <rPr>
        <b/>
        <sz val="10"/>
        <rFont val="Arial"/>
        <family val="2"/>
      </rPr>
      <t xml:space="preserve">Debit account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t>
    </r>
    <r>
      <rPr>
        <sz val="10"/>
        <rFont val="Arial"/>
        <family val="2"/>
      </rPr>
      <t xml:space="preserve">
  - 0 &lt; Transfer amount &lt;= Available balance
  - Has no linkage account for fund transfer</t>
    </r>
    <r>
      <rPr>
        <b/>
        <sz val="10"/>
        <rFont val="Arial"/>
        <family val="2"/>
      </rPr>
      <t xml:space="preserve">
Credit account</t>
    </r>
    <r>
      <rPr>
        <sz val="10"/>
        <color rgb="FF00B0F0"/>
        <rFont val="Arial"/>
        <family val="2"/>
      </rPr>
      <t xml:space="preserve">
</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Transfer amount &gt;= Initial deposit amount</t>
    </r>
    <r>
      <rPr>
        <sz val="10"/>
        <rFont val="Arial"/>
        <family val="2"/>
      </rPr>
      <t xml:space="preserve">
  - Credit currency = Debit currency</t>
    </r>
    <r>
      <rPr>
        <sz val="10"/>
        <color rgb="FF00B0F0"/>
        <rFont val="Arial"/>
        <family val="2"/>
      </rPr>
      <t xml:space="preserve">
</t>
    </r>
    <r>
      <rPr>
        <b/>
        <sz val="10"/>
        <rFont val="Arial"/>
        <family val="2"/>
      </rPr>
      <t xml:space="preserve">Linkage account
 </t>
    </r>
    <r>
      <rPr>
        <sz val="10"/>
        <rFont val="Arial"/>
        <family val="2"/>
      </rPr>
      <t xml:space="preserve"> - </t>
    </r>
    <r>
      <rPr>
        <sz val="10"/>
        <color rgb="FF00B0F0"/>
        <rFont val="Arial"/>
        <family val="2"/>
      </rPr>
      <t>Deposit status: Normal</t>
    </r>
    <r>
      <rPr>
        <sz val="10"/>
        <rFont val="Arial"/>
        <family val="2"/>
      </rPr>
      <t xml:space="preserve">
1. Open "Transfer from deposit account to deposit account" screen
2. Input Debit account
3. Input Transfer amount
4. Input Credit account
5. Click Accept</t>
    </r>
  </si>
  <si>
    <r>
      <t xml:space="preserve">Debit account
  - Deposit type: </t>
    </r>
    <r>
      <rPr>
        <sz val="10"/>
        <color rgb="FF00B0F0"/>
        <rFont val="Arial"/>
        <family val="2"/>
      </rPr>
      <t>Current</t>
    </r>
    <r>
      <rPr>
        <sz val="10"/>
        <color theme="1"/>
        <rFont val="Arial"/>
        <family val="2"/>
      </rPr>
      <t xml:space="preserve">
  - Deposit status: </t>
    </r>
    <r>
      <rPr>
        <sz val="10"/>
        <color rgb="FF00B0F0"/>
        <rFont val="Arial"/>
        <family val="2"/>
      </rPr>
      <t>Normal</t>
    </r>
    <r>
      <rPr>
        <sz val="10"/>
        <color theme="1"/>
        <rFont val="Arial"/>
        <family val="2"/>
      </rPr>
      <t xml:space="preserve">
  - 0 &lt; Transfer amount &lt;= Available balance
  - Has no linkage account for fund transfer
Deposit account
  - Deposit type: </t>
    </r>
    <r>
      <rPr>
        <sz val="10"/>
        <color rgb="FF00B0F0"/>
        <rFont val="Arial"/>
        <family val="2"/>
      </rPr>
      <t>Fixed deposit</t>
    </r>
    <r>
      <rPr>
        <sz val="10"/>
        <color theme="1"/>
        <rFont val="Arial"/>
        <family val="2"/>
      </rPr>
      <t xml:space="preserve">
  - </t>
    </r>
    <r>
      <rPr>
        <sz val="10"/>
        <color rgb="FF00B0F0"/>
        <rFont val="Arial"/>
        <family val="2"/>
      </rPr>
      <t>Deposit sub type: Prepaid fixed deposit</t>
    </r>
    <r>
      <rPr>
        <sz val="10"/>
        <color theme="1"/>
        <rFont val="Arial"/>
        <family val="2"/>
      </rPr>
      <t xml:space="preserve">
  - Deposit status: </t>
    </r>
    <r>
      <rPr>
        <sz val="10"/>
        <color rgb="FF00B0F0"/>
        <rFont val="Arial"/>
        <family val="2"/>
      </rPr>
      <t>Normal</t>
    </r>
    <r>
      <rPr>
        <sz val="10"/>
        <color theme="1"/>
        <rFont val="Arial"/>
        <family val="2"/>
      </rPr>
      <t xml:space="preserve">
  - </t>
    </r>
    <r>
      <rPr>
        <sz val="10"/>
        <color rgb="FF00B0F0"/>
        <rFont val="Arial"/>
        <family val="2"/>
      </rPr>
      <t>Multiple deposit allow: Yes</t>
    </r>
    <r>
      <rPr>
        <sz val="10"/>
        <rFont val="Arial"/>
        <family val="2"/>
      </rPr>
      <t xml:space="preserve">
  - Credit currency = Debit currency</t>
    </r>
    <r>
      <rPr>
        <sz val="10"/>
        <color theme="1"/>
        <rFont val="Arial"/>
        <family val="2"/>
      </rPr>
      <t xml:space="preserve">
1. Open "Transfer from deposit account to deposit account" screen
2. Input Debit account
3. Input Transfer amount
4. Input Credit account
5. Click Accept</t>
    </r>
  </si>
  <si>
    <r>
      <rPr>
        <b/>
        <sz val="10"/>
        <rFont val="Arial"/>
        <family val="2"/>
      </rPr>
      <t>Debit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 xml:space="preserve">Normal
  - </t>
    </r>
    <r>
      <rPr>
        <sz val="10"/>
        <rFont val="Arial"/>
        <family val="2"/>
      </rPr>
      <t xml:space="preserve">0 &lt; Transfer amount &lt;= Available balance
</t>
    </r>
    <r>
      <rPr>
        <b/>
        <sz val="10"/>
        <rFont val="Arial"/>
        <family val="2"/>
      </rPr>
      <t>Credit account</t>
    </r>
    <r>
      <rPr>
        <sz val="10"/>
        <rFont val="Arial"/>
        <family val="2"/>
      </rPr>
      <t xml:space="preserve">
  - Deposit type: Current
  - Deposit status: </t>
    </r>
    <r>
      <rPr>
        <sz val="10"/>
        <color rgb="FF00B0F0"/>
        <rFont val="Arial"/>
        <family val="2"/>
      </rPr>
      <t>New</t>
    </r>
    <r>
      <rPr>
        <sz val="10"/>
        <rFont val="Arial"/>
        <family val="2"/>
      </rPr>
      <t xml:space="preserve">
  - </t>
    </r>
    <r>
      <rPr>
        <sz val="10"/>
        <color rgb="FF00B0F0"/>
        <rFont val="Arial"/>
        <family val="2"/>
      </rPr>
      <t>Transfer amount &gt;= Initial deposit amount</t>
    </r>
    <r>
      <rPr>
        <sz val="10"/>
        <rFont val="Arial"/>
        <family val="2"/>
      </rPr>
      <t xml:space="preserve">
  - Credit currency = Debit currency
  - Credit account &lt;&gt; Debit account
1. Open "Miscellaneous withdrawal" screen
2. Input Account number
3. Input Withdrawal amount
4. Input Credit accounting
5. Click Accept</t>
    </r>
  </si>
  <si>
    <r>
      <rPr>
        <b/>
        <sz val="10"/>
        <rFont val="Arial"/>
        <family val="2"/>
      </rPr>
      <t>Debit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
  -</t>
    </r>
    <r>
      <rPr>
        <sz val="10"/>
        <rFont val="Arial"/>
        <family val="2"/>
      </rPr>
      <t xml:space="preserve"> 0 &lt;</t>
    </r>
    <r>
      <rPr>
        <sz val="10"/>
        <color rgb="FF00B0F0"/>
        <rFont val="Arial"/>
        <family val="2"/>
      </rPr>
      <t xml:space="preserve"> </t>
    </r>
    <r>
      <rPr>
        <sz val="10"/>
        <rFont val="Arial"/>
        <family val="2"/>
      </rPr>
      <t xml:space="preserve">Transfer amount &lt;= Available balance
</t>
    </r>
    <r>
      <rPr>
        <b/>
        <sz val="10"/>
        <rFont val="Arial"/>
        <family val="2"/>
      </rPr>
      <t>Credit account</t>
    </r>
    <r>
      <rPr>
        <sz val="10"/>
        <rFont val="Arial"/>
        <family val="2"/>
      </rPr>
      <t xml:space="preserve">
  - Deposit type: </t>
    </r>
    <r>
      <rPr>
        <sz val="10"/>
        <color rgb="FF00B0F0"/>
        <rFont val="Arial"/>
        <family val="2"/>
      </rPr>
      <t>Saving</t>
    </r>
    <r>
      <rPr>
        <sz val="10"/>
        <rFont val="Arial"/>
        <family val="2"/>
      </rPr>
      <t xml:space="preserve">
  - </t>
    </r>
    <r>
      <rPr>
        <sz val="10"/>
        <color rgb="FF00B0F0"/>
        <rFont val="Arial"/>
        <family val="2"/>
      </rPr>
      <t>Deposit sub type &lt;&gt;"Shwe cash call deposit account"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Transfer amount &gt;= Initial deposit amount</t>
    </r>
    <r>
      <rPr>
        <sz val="10"/>
        <rFont val="Arial"/>
        <family val="2"/>
      </rPr>
      <t xml:space="preserve">
  - Credit currency = Debit currency
  - Credit account &lt;&gt; Debit account
1. Open "Transfer from deposit account to deposit account" screen
2. Input Debit account
3. Input Transfer amount
4. Input Credit account
5. Click Accept</t>
    </r>
  </si>
  <si>
    <r>
      <rPr>
        <b/>
        <sz val="10"/>
        <rFont val="Arial"/>
        <family val="2"/>
      </rPr>
      <t xml:space="preserve">Debit account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- 0 &lt; Transfer amount &lt;= Available balance</t>
    </r>
    <r>
      <rPr>
        <b/>
        <sz val="10"/>
        <rFont val="Arial"/>
        <family val="2"/>
      </rPr>
      <t xml:space="preserve">
Credit account</t>
    </r>
    <r>
      <rPr>
        <sz val="10"/>
        <color rgb="FF00B0F0"/>
        <rFont val="Arial"/>
        <family val="2"/>
      </rPr>
      <t xml:space="preserve">
</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 xml:space="preserve">Transfer amount &gt;= Initial deposit amount
</t>
    </r>
    <r>
      <rPr>
        <sz val="10"/>
        <rFont val="Arial"/>
        <family val="2"/>
      </rPr>
      <t xml:space="preserve">  - Credit currency = Debit currency</t>
    </r>
    <r>
      <rPr>
        <sz val="10"/>
        <color rgb="FF00B0F0"/>
        <rFont val="Arial"/>
        <family val="2"/>
      </rPr>
      <t xml:space="preserve">
</t>
    </r>
    <r>
      <rPr>
        <b/>
        <sz val="10"/>
        <rFont val="Arial"/>
        <family val="2"/>
      </rPr>
      <t xml:space="preserve">Linkage account
 </t>
    </r>
    <r>
      <rPr>
        <sz val="10"/>
        <rFont val="Arial"/>
        <family val="2"/>
      </rPr>
      <t xml:space="preserve"> - </t>
    </r>
    <r>
      <rPr>
        <sz val="10"/>
        <color rgb="FF00B0F0"/>
        <rFont val="Arial"/>
        <family val="2"/>
      </rPr>
      <t>Deposit status: Normal</t>
    </r>
    <r>
      <rPr>
        <sz val="10"/>
        <rFont val="Arial"/>
        <family val="2"/>
      </rPr>
      <t xml:space="preserve">
1. Open "Transfer from deposit account to deposit account" screen
2. Input Debit account
3. Input Transfer amount
4. Input Credit account
5. Click Accept</t>
    </r>
  </si>
  <si>
    <r>
      <rPr>
        <b/>
        <sz val="10"/>
        <rFont val="Arial"/>
        <family val="2"/>
      </rPr>
      <t>Customer</t>
    </r>
    <r>
      <rPr>
        <sz val="10"/>
        <rFont val="Arial"/>
        <family val="2"/>
      </rPr>
      <t xml:space="preserve"> 
  - Customer type: </t>
    </r>
    <r>
      <rPr>
        <sz val="10"/>
        <color rgb="FF00B0F0"/>
        <rFont val="Arial"/>
        <family val="2"/>
      </rPr>
      <t>Single customer</t>
    </r>
    <r>
      <rPr>
        <sz val="10"/>
        <rFont val="Arial"/>
        <family val="2"/>
      </rPr>
      <t xml:space="preserve">
  - Customer status: Normal
</t>
    </r>
    <r>
      <rPr>
        <b/>
        <sz val="10"/>
        <rFont val="Arial"/>
        <family val="2"/>
      </rPr>
      <t xml:space="preserve">Catalogue
</t>
    </r>
    <r>
      <rPr>
        <sz val="10"/>
        <rFont val="Arial"/>
        <family val="2"/>
      </rPr>
      <t xml:space="preserve">  - Deposit type: </t>
    </r>
    <r>
      <rPr>
        <sz val="10"/>
        <color rgb="FF00B0F0"/>
        <rFont val="Arial"/>
        <family val="2"/>
      </rPr>
      <t xml:space="preserve">Fixed deposit
  </t>
    </r>
    <r>
      <rPr>
        <sz val="10"/>
        <rFont val="Arial"/>
        <family val="2"/>
      </rPr>
      <t>-</t>
    </r>
    <r>
      <rPr>
        <sz val="10"/>
        <color rgb="FF00B0F0"/>
        <rFont val="Arial"/>
        <family val="2"/>
      </rPr>
      <t xml:space="preserve"> Deposit sub type: Prepaid fixed deposit</t>
    </r>
    <r>
      <rPr>
        <sz val="10"/>
        <rFont val="Arial"/>
        <family val="2"/>
      </rPr>
      <t xml:space="preserve">
  - Catalogue status: Normal
</t>
    </r>
    <r>
      <rPr>
        <b/>
        <sz val="10"/>
        <rFont val="Arial"/>
        <family val="2"/>
      </rPr>
      <t xml:space="preserve">To account number
</t>
    </r>
    <r>
      <rPr>
        <sz val="10"/>
        <rFont val="Arial"/>
        <family val="2"/>
      </rPr>
      <t xml:space="preserve">  - Deposit type: Current/ Saving
  - Deposit sub type &lt;&gt; Shwe Cash call
  - Same customer type with deposit will open
  - Same customer code with deposit will open
1. Open "Open new deposit account" screen
2. Choose Customer type
3. Input Customer code
4. Input Catalogue code
5. Input To account number
6. Input Reason of Account Opening
7. Click Accpet</t>
    </r>
  </si>
  <si>
    <r>
      <rPr>
        <b/>
        <sz val="10"/>
        <rFont val="Arial"/>
        <family val="2"/>
      </rPr>
      <t>Debit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
  -</t>
    </r>
    <r>
      <rPr>
        <sz val="10"/>
        <rFont val="Arial"/>
        <family val="2"/>
      </rPr>
      <t xml:space="preserve"> 0 &lt;</t>
    </r>
    <r>
      <rPr>
        <sz val="10"/>
        <color rgb="FF00B0F0"/>
        <rFont val="Arial"/>
        <family val="2"/>
      </rPr>
      <t xml:space="preserve"> </t>
    </r>
    <r>
      <rPr>
        <sz val="10"/>
        <rFont val="Arial"/>
        <family val="2"/>
      </rPr>
      <t xml:space="preserve">Transfer amount &lt;= Available balance
</t>
    </r>
    <r>
      <rPr>
        <b/>
        <sz val="10"/>
        <rFont val="Arial"/>
        <family val="2"/>
      </rPr>
      <t>Credit account</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 xml:space="preserve">Deposit sub type &lt;&gt; Prepaid fixed deposit
</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Transfer amount &gt;= Initial deposit amount</t>
    </r>
    <r>
      <rPr>
        <sz val="10"/>
        <rFont val="Arial"/>
        <family val="2"/>
      </rPr>
      <t xml:space="preserve">
  - Credit currency = Debit currency
1. Open "Transfer from deposit account to deposit account" screen
2. Input Debit account
3. Input Transfer amount
4. Input Credit account
5. Click Accept</t>
    </r>
  </si>
  <si>
    <r>
      <rPr>
        <b/>
        <sz val="10"/>
        <rFont val="Arial"/>
        <family val="2"/>
      </rPr>
      <t xml:space="preserve">Debit account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- 0 &lt; Transfer amount &lt;= Available balance
</t>
    </r>
    <r>
      <rPr>
        <b/>
        <sz val="10"/>
        <rFont val="Arial"/>
        <family val="2"/>
      </rPr>
      <t>Credit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t>
    </r>
    <r>
      <rPr>
        <sz val="10"/>
        <rFont val="Arial"/>
        <family val="2"/>
      </rPr>
      <t xml:space="preserve">
  - Credit currency = Debit currency
  - Credit account &lt;&gt; Debit account
1. Open "Transfer from deposit account to deposit account" screen
2. Input Debit account
3. Input Transfer amount
4. Input Credit account
5. Click Accept</t>
    </r>
  </si>
  <si>
    <r>
      <rPr>
        <b/>
        <sz val="10"/>
        <rFont val="Arial"/>
        <family val="2"/>
      </rPr>
      <t xml:space="preserve">Debit account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- 0 &lt; Withdrawal amount &lt;= Available balance
</t>
    </r>
    <r>
      <rPr>
        <b/>
        <sz val="10"/>
        <rFont val="Arial"/>
        <family val="2"/>
      </rPr>
      <t>Credit account</t>
    </r>
    <r>
      <rPr>
        <sz val="10"/>
        <rFont val="Arial"/>
        <family val="2"/>
      </rPr>
      <t xml:space="preserve">
  - Deposit type: </t>
    </r>
    <r>
      <rPr>
        <sz val="10"/>
        <color rgb="FF00B0F0"/>
        <rFont val="Arial"/>
        <family val="2"/>
      </rPr>
      <t>Saving</t>
    </r>
    <r>
      <rPr>
        <sz val="10"/>
        <rFont val="Arial"/>
        <family val="2"/>
      </rPr>
      <t xml:space="preserve">
  - </t>
    </r>
    <r>
      <rPr>
        <sz val="10"/>
        <color rgb="FF00B0F0"/>
        <rFont val="Arial"/>
        <family val="2"/>
      </rPr>
      <t>Deposit sub type &lt;&gt;"Shwe cash call deposit account"</t>
    </r>
    <r>
      <rPr>
        <sz val="10"/>
        <rFont val="Arial"/>
        <family val="2"/>
      </rPr>
      <t xml:space="preserve">
  - Deposit status: </t>
    </r>
    <r>
      <rPr>
        <sz val="10"/>
        <color rgb="FF00B0F0"/>
        <rFont val="Arial"/>
        <family val="2"/>
      </rPr>
      <t>Normal</t>
    </r>
    <r>
      <rPr>
        <sz val="10"/>
        <rFont val="Arial"/>
        <family val="2"/>
      </rPr>
      <t xml:space="preserve">
  - Credit currency = Debit currency
  - Credit account &lt;&gt; Debit account
1. Open "Transfer from deposit account to deposit account" screen
2. Input Debit account
3. Input Transfer amount
4. Input Credit account
5. Click Accept</t>
    </r>
  </si>
  <si>
    <r>
      <rPr>
        <b/>
        <sz val="10"/>
        <color theme="1"/>
        <rFont val="Arial"/>
        <family val="2"/>
      </rPr>
      <t>Debit account</t>
    </r>
    <r>
      <rPr>
        <sz val="10"/>
        <color theme="1"/>
        <rFont val="Arial"/>
        <family val="2"/>
      </rPr>
      <t xml:space="preserve">
  - Deposit type: </t>
    </r>
    <r>
      <rPr>
        <sz val="10"/>
        <color rgb="FF00B0F0"/>
        <rFont val="Arial"/>
        <family val="2"/>
      </rPr>
      <t>Saving</t>
    </r>
    <r>
      <rPr>
        <sz val="10"/>
        <color theme="1"/>
        <rFont val="Arial"/>
        <family val="2"/>
      </rPr>
      <t xml:space="preserve">
  - Deposit status: </t>
    </r>
    <r>
      <rPr>
        <sz val="10"/>
        <color rgb="FF00B0F0"/>
        <rFont val="Arial"/>
        <family val="2"/>
      </rPr>
      <t>Normal</t>
    </r>
    <r>
      <rPr>
        <sz val="10"/>
        <color theme="1"/>
        <rFont val="Arial"/>
        <family val="2"/>
      </rPr>
      <t xml:space="preserve">
  - 0 &lt; Transfer amount &lt;= Available balance
</t>
    </r>
    <r>
      <rPr>
        <b/>
        <sz val="10"/>
        <color theme="1"/>
        <rFont val="Arial"/>
        <family val="2"/>
      </rPr>
      <t>Credit account</t>
    </r>
    <r>
      <rPr>
        <sz val="10"/>
        <color theme="1"/>
        <rFont val="Arial"/>
        <family val="2"/>
      </rPr>
      <t xml:space="preserve">
  - Deposit type: </t>
    </r>
    <r>
      <rPr>
        <sz val="10"/>
        <color rgb="FF00B0F0"/>
        <rFont val="Arial"/>
        <family val="2"/>
      </rPr>
      <t>Fixed deposit</t>
    </r>
    <r>
      <rPr>
        <sz val="10"/>
        <color theme="1"/>
        <rFont val="Arial"/>
        <family val="2"/>
      </rPr>
      <t xml:space="preserve">
  - </t>
    </r>
    <r>
      <rPr>
        <sz val="10"/>
        <color rgb="FF00B0F0"/>
        <rFont val="Arial"/>
        <family val="2"/>
      </rPr>
      <t>Deposit sub type &lt;&gt; Prepaid fixed deposit</t>
    </r>
    <r>
      <rPr>
        <sz val="10"/>
        <color theme="1"/>
        <rFont val="Arial"/>
        <family val="2"/>
      </rPr>
      <t xml:space="preserve">
  - Deposit status: </t>
    </r>
    <r>
      <rPr>
        <sz val="10"/>
        <color rgb="FF00B0F0"/>
        <rFont val="Arial"/>
        <family val="2"/>
      </rPr>
      <t>Normal</t>
    </r>
    <r>
      <rPr>
        <sz val="10"/>
        <color theme="1"/>
        <rFont val="Arial"/>
        <family val="2"/>
      </rPr>
      <t xml:space="preserve">
  - </t>
    </r>
    <r>
      <rPr>
        <sz val="10"/>
        <color rgb="FF00B0F0"/>
        <rFont val="Arial"/>
        <family val="2"/>
      </rPr>
      <t>Multiple deposit allow: Yes</t>
    </r>
    <r>
      <rPr>
        <sz val="10"/>
        <rFont val="Arial"/>
        <family val="2"/>
      </rPr>
      <t xml:space="preserve">
  - Credit currency = Debit currency
</t>
    </r>
    <r>
      <rPr>
        <sz val="10"/>
        <color theme="1"/>
        <rFont val="Arial"/>
        <family val="2"/>
      </rPr>
      <t xml:space="preserve">
1. Open "Transfer from deposit account to deposit account" screen
2. Input Debit account
3. Input Transfer amount
4. Input Credit account
5. Click Accept</t>
    </r>
  </si>
  <si>
    <r>
      <rPr>
        <b/>
        <sz val="10"/>
        <color theme="1"/>
        <rFont val="Arial"/>
        <family val="2"/>
      </rPr>
      <t>Debit account</t>
    </r>
    <r>
      <rPr>
        <sz val="10"/>
        <color theme="1"/>
        <rFont val="Arial"/>
        <family val="2"/>
      </rPr>
      <t xml:space="preserve">
  - Deposit type: </t>
    </r>
    <r>
      <rPr>
        <sz val="10"/>
        <color rgb="FF00B0F0"/>
        <rFont val="Arial"/>
        <family val="2"/>
      </rPr>
      <t>Saving</t>
    </r>
    <r>
      <rPr>
        <sz val="10"/>
        <color theme="1"/>
        <rFont val="Arial"/>
        <family val="2"/>
      </rPr>
      <t xml:space="preserve">
  - Deposit status: </t>
    </r>
    <r>
      <rPr>
        <sz val="10"/>
        <color rgb="FF00B0F0"/>
        <rFont val="Arial"/>
        <family val="2"/>
      </rPr>
      <t>Normal</t>
    </r>
    <r>
      <rPr>
        <sz val="10"/>
        <color theme="1"/>
        <rFont val="Arial"/>
        <family val="2"/>
      </rPr>
      <t xml:space="preserve">
  - 0 &lt; Transfer amount &lt;= Available balance
</t>
    </r>
    <r>
      <rPr>
        <b/>
        <sz val="10"/>
        <color theme="1"/>
        <rFont val="Arial"/>
        <family val="2"/>
      </rPr>
      <t>Credit account</t>
    </r>
    <r>
      <rPr>
        <sz val="10"/>
        <color theme="1"/>
        <rFont val="Arial"/>
        <family val="2"/>
      </rPr>
      <t xml:space="preserve">
  - Deposit type: </t>
    </r>
    <r>
      <rPr>
        <sz val="10"/>
        <color rgb="FF00B0F0"/>
        <rFont val="Arial"/>
        <family val="2"/>
      </rPr>
      <t>Fixed deposit</t>
    </r>
    <r>
      <rPr>
        <sz val="10"/>
        <color theme="1"/>
        <rFont val="Arial"/>
        <family val="2"/>
      </rPr>
      <t xml:space="preserve">
  - </t>
    </r>
    <r>
      <rPr>
        <sz val="10"/>
        <color rgb="FF00B0F0"/>
        <rFont val="Arial"/>
        <family val="2"/>
      </rPr>
      <t>Deposit sub type: Prepaid fixed deposit</t>
    </r>
    <r>
      <rPr>
        <sz val="10"/>
        <color theme="1"/>
        <rFont val="Arial"/>
        <family val="2"/>
      </rPr>
      <t xml:space="preserve">
  - Deposit status: </t>
    </r>
    <r>
      <rPr>
        <sz val="10"/>
        <color rgb="FF00B0F0"/>
        <rFont val="Arial"/>
        <family val="2"/>
      </rPr>
      <t>Normal</t>
    </r>
    <r>
      <rPr>
        <sz val="10"/>
        <color theme="1"/>
        <rFont val="Arial"/>
        <family val="2"/>
      </rPr>
      <t xml:space="preserve">
  - </t>
    </r>
    <r>
      <rPr>
        <sz val="10"/>
        <color rgb="FF00B0F0"/>
        <rFont val="Arial"/>
        <family val="2"/>
      </rPr>
      <t>Multiple deposit allow: Yes</t>
    </r>
    <r>
      <rPr>
        <sz val="10"/>
        <rFont val="Arial"/>
        <family val="2"/>
      </rPr>
      <t xml:space="preserve">
  - Credit currency = Debit currency</t>
    </r>
    <r>
      <rPr>
        <sz val="10"/>
        <color theme="1"/>
        <rFont val="Arial"/>
        <family val="2"/>
      </rPr>
      <t xml:space="preserve">
1. Open "Transfer from deposit account to deposit account" screen
2. Input Debit account
3. Input Transfer amount
4. Input Credit account
5. Click Accept</t>
    </r>
  </si>
  <si>
    <r>
      <rPr>
        <b/>
        <sz val="10"/>
        <color theme="1"/>
        <rFont val="Arial"/>
        <family val="2"/>
      </rPr>
      <t>Debit account</t>
    </r>
    <r>
      <rPr>
        <sz val="10"/>
        <color theme="1"/>
        <rFont val="Arial"/>
        <family val="2"/>
      </rPr>
      <t xml:space="preserve">
  - Deposit type: </t>
    </r>
    <r>
      <rPr>
        <sz val="10"/>
        <color rgb="FF00B0F0"/>
        <rFont val="Arial"/>
        <family val="2"/>
      </rPr>
      <t>Current</t>
    </r>
    <r>
      <rPr>
        <sz val="10"/>
        <color theme="1"/>
        <rFont val="Arial"/>
        <family val="2"/>
      </rPr>
      <t xml:space="preserve">
  - Deposit status: </t>
    </r>
    <r>
      <rPr>
        <sz val="10"/>
        <color rgb="FF00B0F0"/>
        <rFont val="Arial"/>
        <family val="2"/>
      </rPr>
      <t>Dormant</t>
    </r>
    <r>
      <rPr>
        <sz val="10"/>
        <color theme="1"/>
        <rFont val="Arial"/>
        <family val="2"/>
      </rPr>
      <t xml:space="preserve">
  - 0 &lt; Transfer amount &lt;= Available balance
</t>
    </r>
    <r>
      <rPr>
        <b/>
        <sz val="10"/>
        <color theme="1"/>
        <rFont val="Arial"/>
        <family val="2"/>
      </rPr>
      <t>Credit account</t>
    </r>
    <r>
      <rPr>
        <sz val="10"/>
        <color theme="1"/>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
1. Open "Transfer from deposit account to deposit account" screen
2. Input Debit account
3. Input Transfer amount
4. Input Credit account
5. Click Accept</t>
    </r>
  </si>
  <si>
    <r>
      <rPr>
        <b/>
        <sz val="10"/>
        <rFont val="Arial"/>
        <family val="2"/>
      </rPr>
      <t xml:space="preserve">Debit account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- 0 &lt; Transfer amount &lt;= Available balance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
1. Open "Transfer from deposit account to deposit account" screen
2. Input Debit account
3. Input Transfer amount
4. Input Credit account
5. Click Accept</t>
    </r>
  </si>
  <si>
    <r>
      <rPr>
        <b/>
        <sz val="10"/>
        <rFont val="Arial"/>
        <family val="2"/>
      </rPr>
      <t>Deposit account</t>
    </r>
    <r>
      <rPr>
        <sz val="10"/>
        <rFont val="Arial"/>
        <family val="2"/>
      </rPr>
      <t xml:space="preserve">
  - Deposit type: Current
  - Deposit status: Normal
  - </t>
    </r>
    <r>
      <rPr>
        <sz val="10"/>
        <color rgb="FF00B0F0"/>
        <rFont val="Arial"/>
        <family val="2"/>
      </rPr>
      <t>Available balance of master &lt; Transfer amount &lt;= Available balance of linkage</t>
    </r>
    <r>
      <rPr>
        <sz val="10"/>
        <rFont val="Arial"/>
        <family val="2"/>
      </rPr>
      <t xml:space="preserve">
  - </t>
    </r>
    <r>
      <rPr>
        <sz val="10"/>
        <color rgb="FF00B0F0"/>
        <rFont val="Arial"/>
        <family val="2"/>
      </rPr>
      <t xml:space="preserve">Has linkage account for fund transfer
</t>
    </r>
    <r>
      <rPr>
        <b/>
        <sz val="10"/>
        <rFont val="Arial"/>
        <family val="2"/>
      </rPr>
      <t>Linkage account</t>
    </r>
    <r>
      <rPr>
        <sz val="10"/>
        <rFont val="Arial"/>
        <family val="2"/>
      </rPr>
      <t xml:space="preserve">
  - </t>
    </r>
    <r>
      <rPr>
        <sz val="10"/>
        <color rgb="FF00B0F0"/>
        <rFont val="Arial"/>
        <family val="2"/>
      </rPr>
      <t>Deposit type: Saving</t>
    </r>
    <r>
      <rPr>
        <sz val="10"/>
        <rFont val="Arial"/>
        <family val="2"/>
      </rPr>
      <t xml:space="preserve">
  - </t>
    </r>
    <r>
      <rPr>
        <sz val="10"/>
        <color rgb="FF00B0F0"/>
        <rFont val="Arial"/>
        <family val="2"/>
      </rPr>
      <t>Deposit status: Normal</t>
    </r>
    <r>
      <rPr>
        <sz val="10"/>
        <rFont val="Arial"/>
        <family val="2"/>
      </rPr>
      <t xml:space="preserve">
  - </t>
    </r>
    <r>
      <rPr>
        <sz val="10"/>
        <color rgb="FF00B0F0"/>
        <rFont val="Arial"/>
        <family val="2"/>
      </rPr>
      <t>Linkage class: Auto fund transfer</t>
    </r>
    <r>
      <rPr>
        <sz val="10"/>
        <rFont val="Arial"/>
        <family val="2"/>
      </rPr>
      <t xml:space="preserve">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
1. Open "Transfer from deposit account to deposit account" screen
2. Input Debit account
3. Input Transfer amount
4. Input Credit account
5. Click Accept</t>
    </r>
  </si>
  <si>
    <t>MWR_001_024</t>
  </si>
  <si>
    <t>TRF_001_020</t>
  </si>
  <si>
    <t>TRF_001_022</t>
  </si>
  <si>
    <t>TRF_001_023</t>
  </si>
  <si>
    <t>TRF_001_024</t>
  </si>
  <si>
    <t>TRF_001_025</t>
  </si>
  <si>
    <t>TRF_001_026</t>
  </si>
  <si>
    <t>TRF_001_027</t>
  </si>
  <si>
    <t>TRF_001_028</t>
  </si>
  <si>
    <t>TRF_001_029</t>
  </si>
  <si>
    <t>TRF_001_030</t>
  </si>
  <si>
    <t>TRF_001_031</t>
  </si>
  <si>
    <t>TRF_001_032</t>
  </si>
  <si>
    <t>TRF_001_033</t>
  </si>
  <si>
    <t>TRF_001_034</t>
  </si>
  <si>
    <t>TRF_001_035</t>
  </si>
  <si>
    <t>TRF_001_036</t>
  </si>
  <si>
    <t>TRF_001_037</t>
  </si>
  <si>
    <t>TRF_001_038</t>
  </si>
  <si>
    <t>TRF_001_039</t>
  </si>
  <si>
    <t>TRF_001_040</t>
  </si>
  <si>
    <t>TRF_001_041</t>
  </si>
  <si>
    <t>TRF_001_042</t>
  </si>
  <si>
    <t>TRF_001_043</t>
  </si>
  <si>
    <t>DPT_CLS_002</t>
  </si>
  <si>
    <t>Close deposit account - Early Termination</t>
  </si>
  <si>
    <t>DPT_DLS_002</t>
  </si>
  <si>
    <t>Close deposit account by deposit - Early Termination</t>
  </si>
  <si>
    <t>DPT_MLS_002</t>
  </si>
  <si>
    <t>Close deposit account by miscellaneous - Early Termination</t>
  </si>
  <si>
    <t>CLS_001_001</t>
  </si>
  <si>
    <t>TRF_001_044</t>
  </si>
  <si>
    <t>TRF_001_045</t>
  </si>
  <si>
    <t>MWR_001_025</t>
  </si>
  <si>
    <t>MWR_001_026</t>
  </si>
  <si>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 xml:space="preserve">Normal
  </t>
    </r>
    <r>
      <rPr>
        <sz val="10"/>
        <color theme="1"/>
        <rFont val="Arial"/>
        <family val="2"/>
      </rPr>
      <t xml:space="preserve">- Deposit amount &gt; 0
  - </t>
    </r>
    <r>
      <rPr>
        <sz val="10"/>
        <color rgb="FF00B0F0"/>
        <rFont val="Arial"/>
        <family val="2"/>
      </rPr>
      <t>Multiple deposit allow: Yes</t>
    </r>
    <r>
      <rPr>
        <sz val="10"/>
        <rFont val="Arial"/>
        <family val="2"/>
      </rPr>
      <t xml:space="preserve">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</si>
  <si>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 </t>
    </r>
    <r>
      <rPr>
        <sz val="10"/>
        <color rgb="FF00B0F0"/>
        <rFont val="Arial"/>
        <family val="2"/>
      </rPr>
      <t xml:space="preserve">Normal
  </t>
    </r>
    <r>
      <rPr>
        <sz val="10"/>
        <color theme="1"/>
        <rFont val="Arial"/>
        <family val="2"/>
      </rPr>
      <t xml:space="preserve">- Deposit amount &gt; 0
  - </t>
    </r>
    <r>
      <rPr>
        <sz val="10"/>
        <color rgb="FF00B0F0"/>
        <rFont val="Arial"/>
        <family val="2"/>
      </rPr>
      <t>Multiple deposit allow: Yes</t>
    </r>
    <r>
      <rPr>
        <sz val="10"/>
        <rFont val="Arial"/>
        <family val="2"/>
      </rPr>
      <t xml:space="preserve">
</t>
    </r>
    <r>
      <rPr>
        <b/>
        <sz val="10"/>
        <rFont val="Arial"/>
        <family val="2"/>
      </rPr>
      <t>Teller does this transaction</t>
    </r>
    <r>
      <rPr>
        <sz val="10"/>
        <rFont val="Arial"/>
        <family val="2"/>
      </rPr>
      <t xml:space="preserve">
  - User has right to do transaction related to cash
1. Open "Cash deposit" screen
2. Input Account number
3. Input Amount deposit
4. Click Accept</t>
    </r>
  </si>
  <si>
    <t>CLS_001_002</t>
  </si>
  <si>
    <t>CLS_001_003</t>
  </si>
  <si>
    <t>CLS_001_004</t>
  </si>
  <si>
    <t>CLS_001_005</t>
  </si>
  <si>
    <t>CLS_001_006</t>
  </si>
  <si>
    <t>CLS_001_007</t>
  </si>
  <si>
    <t>CLS_001_008</t>
  </si>
  <si>
    <t>CLS_001_009</t>
  </si>
  <si>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&gt;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0 &lt; Gross paid interest amount = Interest re-calculate</t>
    </r>
    <r>
      <rPr>
        <b/>
        <sz val="10"/>
        <rFont val="Arial"/>
        <family val="2"/>
      </rPr>
      <t xml:space="preserv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</si>
  <si>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&gt;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0 &lt; Gross paid interest amount &lt; Interest re-calculate</t>
    </r>
    <r>
      <rPr>
        <b/>
        <sz val="10"/>
        <rFont val="Arial"/>
        <family val="2"/>
      </rPr>
      <t xml:space="preserv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</si>
  <si>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&gt;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re-calculate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</si>
  <si>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&gt;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0 &lt; Gross paid interest amount &lt; Interest re-calculate</t>
    </r>
    <r>
      <rPr>
        <b/>
        <sz val="10"/>
        <rFont val="Arial"/>
        <family val="2"/>
      </rPr>
      <t xml:space="preserv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</si>
  <si>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Gross paid interest amount = 0</t>
    </r>
    <r>
      <rPr>
        <b/>
        <sz val="10"/>
        <rFont val="Arial"/>
        <family val="2"/>
      </rPr>
      <t xml:space="preserv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</si>
  <si>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t>
    </r>
    <r>
      <rPr>
        <sz val="10"/>
        <rFont val="Arial"/>
        <family val="2"/>
      </rPr>
      <t xml:space="preserve">
  - Branch account = Branch teller
  - Earmark = 0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Gross paid interest amount = 0</t>
    </r>
    <r>
      <rPr>
        <b/>
        <sz val="10"/>
        <rFont val="Arial"/>
        <family val="2"/>
      </rPr>
      <t xml:space="preserv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</si>
  <si>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Dormant</t>
    </r>
    <r>
      <rPr>
        <sz val="10"/>
        <rFont val="Arial"/>
        <family val="2"/>
      </rPr>
      <t xml:space="preserve">
  - Branch account = Branch teller
  - Earmark = 0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Gross paid interest amount = 0</t>
    </r>
    <r>
      <rPr>
        <b/>
        <sz val="10"/>
        <rFont val="Arial"/>
        <family val="2"/>
      </rPr>
      <t xml:space="preserv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</si>
  <si>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Gross paid interest amount = 0</t>
    </r>
    <r>
      <rPr>
        <b/>
        <sz val="10"/>
        <rFont val="Arial"/>
        <family val="2"/>
      </rPr>
      <t xml:space="preserve">
</t>
    </r>
    <r>
      <rPr>
        <sz val="10"/>
        <rFont val="Arial"/>
        <family val="2"/>
      </rPr>
      <t xml:space="preserve">
1. Open "Close deposit account" screen
2. Input Account number
3. Input Gross paid interest amount
4. Click Accept</t>
    </r>
  </si>
  <si>
    <t>CLS_001_010</t>
  </si>
  <si>
    <t>CLS_001_011</t>
  </si>
  <si>
    <t>CLS_001_012</t>
  </si>
  <si>
    <t>CLS_001_013</t>
  </si>
  <si>
    <t>CLS_001_014</t>
  </si>
  <si>
    <t>CLS_001_015</t>
  </si>
  <si>
    <t>CLS_001_016</t>
  </si>
  <si>
    <t>CLS_001_017</t>
  </si>
  <si>
    <t>CLS_001_018</t>
  </si>
  <si>
    <t>CLS_001_019</t>
  </si>
  <si>
    <t>CLS_001_020</t>
  </si>
  <si>
    <t>CLS_001_021</t>
  </si>
  <si>
    <t>CLS_001_022</t>
  </si>
  <si>
    <t>CLS_001_023</t>
  </si>
  <si>
    <t>CLS_001_024</t>
  </si>
  <si>
    <t>CLS_001_025</t>
  </si>
  <si>
    <t>CLS_001_026</t>
  </si>
  <si>
    <t>CLS_001_027</t>
  </si>
  <si>
    <t>CLS_001_028</t>
  </si>
  <si>
    <t>CLS_001_029</t>
  </si>
  <si>
    <t>CLS_001_030</t>
  </si>
  <si>
    <t>CLS_001_031</t>
  </si>
  <si>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 0
  - Begin of tenor = Working date</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Gross paid interest amount = 0</t>
    </r>
    <r>
      <rPr>
        <b/>
        <sz val="10"/>
        <rFont val="Arial"/>
        <family val="2"/>
      </rPr>
      <t xml:space="preserv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</si>
  <si>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</si>
  <si>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re-calculate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</si>
  <si>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&lt; Interest re-calculate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</si>
  <si>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</si>
  <si>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 xml:space="preserve">Interest due = 0
</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re-calculate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</si>
  <si>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&lt; Interest re-calculate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</si>
  <si>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</si>
  <si>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</si>
  <si>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&lt;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</si>
  <si>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</si>
  <si>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</si>
  <si>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&lt;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</si>
  <si>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</si>
  <si>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re-calculate +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</si>
  <si>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&lt; Interest re-calculate +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</si>
  <si>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Interest re-calculate &lt; Gross paid interest amount &lt;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</si>
  <si>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</si>
  <si>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 xml:space="preserve">Interest due &gt; 0
</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re-calculate +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</si>
  <si>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&lt; Interest re-calculate +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</si>
  <si>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Interest re-calculate &lt; Gross paid interest amount &lt;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</si>
  <si>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</si>
  <si>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</si>
  <si>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&lt;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</si>
  <si>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</si>
  <si>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</si>
  <si>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0 &lt; Gross paid interest amount &lt; Interest due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</si>
  <si>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</si>
  <si>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prepaid &gt; 0
  - Working date &lt; End of tenor
  - Early withdrawal: Yes
  - Penalty fee &gt;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</si>
  <si>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
  - Deposit sub type: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prepaid &gt; 0
  - Working date &lt; End of tenor
  - Early withdrawal: Yes
  - Penalty fee =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00B0F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</si>
  <si>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t>
    </r>
    <r>
      <rPr>
        <b/>
        <sz val="10"/>
        <color rgb="FFFF0000"/>
        <rFont val="Arial"/>
        <family val="2"/>
      </rPr>
      <t>Deposit type: Fixed deposit</t>
    </r>
    <r>
      <rPr>
        <sz val="10"/>
        <rFont val="Arial"/>
        <family val="2"/>
      </rPr>
      <t xml:space="preserve">
  - </t>
    </r>
    <r>
      <rPr>
        <b/>
        <sz val="10"/>
        <color rgb="FFFF0000"/>
        <rFont val="Arial"/>
        <family val="2"/>
      </rPr>
      <t>Deposit sub type: Prepaid fixed deposit</t>
    </r>
    <r>
      <rPr>
        <sz val="10"/>
        <rFont val="Arial"/>
        <family val="2"/>
      </rPr>
      <t xml:space="preserve">
  - Deposit status: Normal
  - Branch account = Branch teller
  - Earmark = 0
  - Has no account linkage
  - </t>
    </r>
    <r>
      <rPr>
        <b/>
        <sz val="10"/>
        <color rgb="FFFF0000"/>
        <rFont val="Arial"/>
        <family val="2"/>
      </rPr>
      <t>Interest prepaid &gt; 0</t>
    </r>
    <r>
      <rPr>
        <b/>
        <sz val="10"/>
        <rFont val="Arial"/>
        <family val="2"/>
      </rPr>
      <t xml:space="preserve">
</t>
    </r>
    <r>
      <rPr>
        <sz val="10"/>
        <rFont val="Arial"/>
        <family val="2"/>
      </rPr>
      <t xml:space="preserve">  - </t>
    </r>
    <r>
      <rPr>
        <b/>
        <sz val="10"/>
        <color rgb="FFFF0000"/>
        <rFont val="Arial"/>
        <family val="2"/>
      </rPr>
      <t>Working date &lt; End of tenor</t>
    </r>
    <r>
      <rPr>
        <sz val="10"/>
        <color rgb="FFFF0000"/>
        <rFont val="Arial"/>
        <family val="2"/>
      </rPr>
      <t xml:space="preserve">
</t>
    </r>
    <r>
      <rPr>
        <sz val="10"/>
        <rFont val="Arial"/>
        <family val="2"/>
      </rPr>
      <t xml:space="preserve">  - </t>
    </r>
    <r>
      <rPr>
        <b/>
        <sz val="10"/>
        <color rgb="FFFF0000"/>
        <rFont val="Arial"/>
        <family val="2"/>
      </rPr>
      <t>Early withdrawal: No</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FF000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</si>
  <si>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t>
    </r>
    <r>
      <rPr>
        <b/>
        <sz val="10"/>
        <color rgb="FFFF0000"/>
        <rFont val="Arial"/>
        <family val="2"/>
      </rPr>
      <t>Deposit type: Fixed deposit</t>
    </r>
    <r>
      <rPr>
        <sz val="10"/>
        <rFont val="Arial"/>
        <family val="2"/>
      </rPr>
      <t xml:space="preserve">
  - </t>
    </r>
    <r>
      <rPr>
        <b/>
        <sz val="10"/>
        <color rgb="FFFF0000"/>
        <rFont val="Arial"/>
        <family val="2"/>
      </rPr>
      <t>Deposit sub type: Prepaid fixed deposit</t>
    </r>
    <r>
      <rPr>
        <sz val="10"/>
        <rFont val="Arial"/>
        <family val="2"/>
      </rPr>
      <t xml:space="preserve">
  - Deposit status: Normal
  - Branch account = Branch teller
  - Earmark = 0
  - Has no account linkage
  - </t>
    </r>
    <r>
      <rPr>
        <b/>
        <sz val="10"/>
        <color rgb="FFFF0000"/>
        <rFont val="Arial"/>
        <family val="2"/>
      </rPr>
      <t>Interest prepaid = 0</t>
    </r>
    <r>
      <rPr>
        <b/>
        <sz val="10"/>
        <rFont val="Arial"/>
        <family val="2"/>
      </rPr>
      <t xml:space="preserve">
</t>
    </r>
    <r>
      <rPr>
        <sz val="10"/>
        <rFont val="Arial"/>
        <family val="2"/>
      </rPr>
      <t xml:space="preserve">  - </t>
    </r>
    <r>
      <rPr>
        <b/>
        <sz val="10"/>
        <color rgb="FFFF0000"/>
        <rFont val="Arial"/>
        <family val="2"/>
      </rPr>
      <t>Working date &lt; End of tenor</t>
    </r>
    <r>
      <rPr>
        <sz val="10"/>
        <color rgb="FFFF0000"/>
        <rFont val="Arial"/>
        <family val="2"/>
      </rPr>
      <t xml:space="preserve">
</t>
    </r>
    <r>
      <rPr>
        <sz val="10"/>
        <rFont val="Arial"/>
        <family val="2"/>
      </rPr>
      <t xml:space="preserve">  - </t>
    </r>
    <r>
      <rPr>
        <b/>
        <sz val="10"/>
        <color rgb="FFFF0000"/>
        <rFont val="Arial"/>
        <family val="2"/>
      </rPr>
      <t>Early withdrawal: No</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color rgb="FFFF0000"/>
        <rFont val="Arial"/>
        <family val="2"/>
      </rPr>
      <t xml:space="preserve">Gross paid interest amount = 0
</t>
    </r>
    <r>
      <rPr>
        <sz val="10"/>
        <rFont val="Arial"/>
        <family val="2"/>
      </rPr>
      <t xml:space="preserve">
1. Open "Close deposit account" screen
2. Input Account number
3. Input Gross paid interest amount
4. Click Accept</t>
    </r>
  </si>
  <si>
    <t>CLS_002_001</t>
  </si>
  <si>
    <t>CLS_002_002</t>
  </si>
  <si>
    <t>CLS_002_003</t>
  </si>
  <si>
    <t>CLS_002_004</t>
  </si>
  <si>
    <t>CLS_002_005</t>
  </si>
  <si>
    <t>CLS_002_006</t>
  </si>
  <si>
    <t>CLS_002_007</t>
  </si>
  <si>
    <t>CLS_002_008</t>
  </si>
  <si>
    <t>CLS_002_009</t>
  </si>
  <si>
    <t>CLS_002_010</t>
  </si>
  <si>
    <t>CLS_002_011</t>
  </si>
  <si>
    <t>CLS_002_012</t>
  </si>
  <si>
    <t>CLS_002_013</t>
  </si>
  <si>
    <t>CLS_002_014</t>
  </si>
  <si>
    <t>CLS_002_015</t>
  </si>
  <si>
    <t>CLS_002_016</t>
  </si>
  <si>
    <t>CLS_002_017</t>
  </si>
  <si>
    <t>CLS_002_018</t>
  </si>
  <si>
    <t>CLS_002_019</t>
  </si>
  <si>
    <t>CLS_002_020</t>
  </si>
  <si>
    <t>CLS_002_021</t>
  </si>
  <si>
    <t>CLS_002_022</t>
  </si>
  <si>
    <r>
      <rPr>
        <b/>
        <sz val="10"/>
        <rFont val="Arial"/>
        <family val="2"/>
      </rPr>
      <t>Deposit account</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t>
    </r>
    <r>
      <rPr>
        <sz val="10"/>
        <color rgb="FF00B0F0"/>
        <rFont val="Arial"/>
        <family val="2"/>
      </rPr>
      <t xml:space="preserve"> Normal/ Maturity</t>
    </r>
    <r>
      <rPr>
        <sz val="10"/>
        <rFont val="Arial"/>
        <family val="2"/>
      </rPr>
      <t xml:space="preserve">
  - Branch account = Branch teller
  - Earmark = 0
  - Has no account linkage
  - </t>
    </r>
    <r>
      <rPr>
        <sz val="10"/>
        <color rgb="FF00B0F0"/>
        <rFont val="Arial"/>
        <family val="2"/>
      </rPr>
      <t>Interest prepaid = 0</t>
    </r>
    <r>
      <rPr>
        <sz val="10"/>
        <rFont val="Arial"/>
        <family val="2"/>
      </rPr>
      <t xml:space="preserve">
  - </t>
    </r>
    <r>
      <rPr>
        <sz val="10"/>
        <color rgb="FF00B0F0"/>
        <rFont val="Arial"/>
        <family val="2"/>
      </rPr>
      <t>Working date = End of tenor</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rFont val="Arial"/>
        <family val="2"/>
      </rPr>
      <t xml:space="preserve">Gross paid interest amount = 0
</t>
    </r>
    <r>
      <rPr>
        <sz val="10"/>
        <rFont val="Arial"/>
        <family val="2"/>
      </rPr>
      <t xml:space="preserve">
1. Open "Close deposit account" screen
2. Input Account number
3. Input Gross paid interest amount
4. Click Accept</t>
    </r>
  </si>
  <si>
    <r>
      <rPr>
        <b/>
        <sz val="10"/>
        <rFont val="Arial"/>
        <family val="2"/>
      </rPr>
      <t>Deposit account</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t>
    </r>
    <r>
      <rPr>
        <sz val="10"/>
        <color rgb="FF00B0F0"/>
        <rFont val="Arial"/>
        <family val="2"/>
      </rPr>
      <t xml:space="preserve"> Normal/ Maturity</t>
    </r>
    <r>
      <rPr>
        <sz val="10"/>
        <rFont val="Arial"/>
        <family val="2"/>
      </rPr>
      <t xml:space="preserve">
  - Branch account = Branch teller
  - Earmark = 0
  - Has no account linkage
  - </t>
    </r>
    <r>
      <rPr>
        <sz val="10"/>
        <color rgb="FF00B0F0"/>
        <rFont val="Arial"/>
        <family val="2"/>
      </rPr>
      <t>Interest prepaid = 0</t>
    </r>
    <r>
      <rPr>
        <sz val="10"/>
        <rFont val="Arial"/>
        <family val="2"/>
      </rPr>
      <t xml:space="preserve">
  - </t>
    </r>
    <r>
      <rPr>
        <sz val="10"/>
        <color rgb="FF00B0F0"/>
        <rFont val="Arial"/>
        <family val="2"/>
      </rPr>
      <t>Working date &gt; End of tenor</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rFont val="Arial"/>
        <family val="2"/>
      </rPr>
      <t xml:space="preserve">Gross paid interest amount = 0
</t>
    </r>
    <r>
      <rPr>
        <sz val="10"/>
        <rFont val="Arial"/>
        <family val="2"/>
      </rPr>
      <t xml:space="preserve">
1. Open "Close deposit account" screen
2. Input Account number
3. Input Gross paid interest amount
4. Click Accept</t>
    </r>
  </si>
  <si>
    <t>CLS_002_023</t>
  </si>
  <si>
    <t>CLS_002_024</t>
  </si>
  <si>
    <t>CLS_002_025</t>
  </si>
  <si>
    <t>CLS_002_026</t>
  </si>
  <si>
    <t>DLS_001_001</t>
  </si>
  <si>
    <t>DLS_001_002</t>
  </si>
  <si>
    <t>DLS_001_003</t>
  </si>
  <si>
    <t>DLS_001_004</t>
  </si>
  <si>
    <t>DLS_001_005</t>
  </si>
  <si>
    <t>DLS_001_006</t>
  </si>
  <si>
    <t>DLS_001_007</t>
  </si>
  <si>
    <t>DLS_001_008</t>
  </si>
  <si>
    <t>DLS_001_009</t>
  </si>
  <si>
    <t>DLS_001_010</t>
  </si>
  <si>
    <t>DLS_001_011</t>
  </si>
  <si>
    <t>DLS_001_012</t>
  </si>
  <si>
    <t>DLS_001_013</t>
  </si>
  <si>
    <t>DLS_001_014</t>
  </si>
  <si>
    <t>DLS_001_015</t>
  </si>
  <si>
    <t>DLS_001_016</t>
  </si>
  <si>
    <t>DLS_001_017</t>
  </si>
  <si>
    <t>DLS_001_018</t>
  </si>
  <si>
    <t>DLS_001_019</t>
  </si>
  <si>
    <t>DLS_001_021</t>
  </si>
  <si>
    <t>DLS_001_023</t>
  </si>
  <si>
    <t>DLS_001_024</t>
  </si>
  <si>
    <t>DLS_001_025</t>
  </si>
  <si>
    <t>DLS_001_026</t>
  </si>
  <si>
    <t>DLS_001_027</t>
  </si>
  <si>
    <t>DLS_001_028</t>
  </si>
  <si>
    <t>DLS_001_029</t>
  </si>
  <si>
    <t>DLS_001_030</t>
  </si>
  <si>
    <t>DLS_001_031</t>
  </si>
  <si>
    <t>test manual</t>
  </si>
  <si>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Deposit amount &gt;= Initial deposit amount</t>
    </r>
    <r>
      <rPr>
        <sz val="10"/>
        <rFont val="Arial"/>
        <family val="2"/>
      </rPr>
      <t xml:space="preserve">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Deposit amount &gt;= Total fee</t>
    </r>
    <r>
      <rPr>
        <sz val="10"/>
        <rFont val="Arial"/>
        <family val="2"/>
      </rPr>
      <t xml:space="preserve">
1. Open "Miscellaneous deposit" screen
2. Input Account number
3. Input Amount deposit
4. Input Debit accounting
5.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</si>
  <si>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 xml:space="preserve">Saving
  </t>
    </r>
    <r>
      <rPr>
        <sz val="10"/>
        <rFont val="Arial"/>
        <family val="2"/>
      </rPr>
      <t xml:space="preserve">- </t>
    </r>
    <r>
      <rPr>
        <sz val="10"/>
        <color rgb="FF00B0F0"/>
        <rFont val="Arial"/>
        <family val="2"/>
      </rPr>
      <t>Deposit sub type &lt;&gt;"Shwe cash call deposit account"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Deposit amount &gt;= Initial deposit amount</t>
    </r>
    <r>
      <rPr>
        <sz val="10"/>
        <rFont val="Arial"/>
        <family val="2"/>
      </rPr>
      <t xml:space="preserve">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 xml:space="preserve">Deposit amount &gt;= Total fee
</t>
    </r>
    <r>
      <rPr>
        <sz val="10"/>
        <rFont val="Arial"/>
        <family val="2"/>
      </rPr>
      <t xml:space="preserve">
1. Open "Miscellaneous deposit" screen
2. Input Account number
3. Input Amount deposit
4.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</si>
  <si>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 xml:space="preserve">Normal
  - </t>
    </r>
    <r>
      <rPr>
        <sz val="10"/>
        <rFont val="Arial"/>
        <family val="2"/>
      </rPr>
      <t xml:space="preserve">Deposit amount &gt; 0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 xml:space="preserve">Deposit amount &gt;= Total fee
</t>
    </r>
    <r>
      <rPr>
        <sz val="10"/>
        <rFont val="Arial"/>
        <family val="2"/>
      </rPr>
      <t xml:space="preserve">
1. Open "Miscellaneous deposit" screen
2. Input Account number
3. Input Amount deposit
4. Input Debit accounting
5.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</si>
  <si>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Saving
  - Deposit sub type &lt;&gt; "Shwe cash call deposit account"</t>
    </r>
    <r>
      <rPr>
        <sz val="10"/>
        <rFont val="Arial"/>
        <family val="2"/>
      </rPr>
      <t xml:space="preserve">
  - Deposit status: </t>
    </r>
    <r>
      <rPr>
        <sz val="10"/>
        <color rgb="FF00B0F0"/>
        <rFont val="Arial"/>
        <family val="2"/>
      </rPr>
      <t xml:space="preserve">Normal
</t>
    </r>
    <r>
      <rPr>
        <sz val="10"/>
        <rFont val="Arial"/>
        <family val="2"/>
      </rPr>
      <t xml:space="preserve">  - Deposit amount &gt; 0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Deposit amount &gt;= Total fee</t>
    </r>
    <r>
      <rPr>
        <sz val="10"/>
        <rFont val="Arial"/>
        <family val="2"/>
      </rPr>
      <t xml:space="preserve">
1. Open "Miscellaneous deposit" screen
2. Input Account number
3. Input Amount deposit
4. Input Debit accounting
5.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</si>
  <si>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Fixed deposit</t>
    </r>
    <r>
      <rPr>
        <sz val="10"/>
        <rFont val="Arial"/>
        <family val="2"/>
      </rPr>
      <t xml:space="preserve">
  - Deposit status: </t>
    </r>
    <r>
      <rPr>
        <sz val="10"/>
        <color rgb="FF00B0F0"/>
        <rFont val="Arial"/>
        <family val="2"/>
      </rPr>
      <t xml:space="preserve">Normal
  - </t>
    </r>
    <r>
      <rPr>
        <sz val="10"/>
        <rFont val="Arial"/>
        <family val="2"/>
      </rPr>
      <t xml:space="preserve">Deposit amount &gt; 0
  - </t>
    </r>
    <r>
      <rPr>
        <sz val="10"/>
        <color rgb="FF00B0F0"/>
        <rFont val="Arial"/>
        <family val="2"/>
      </rPr>
      <t>Multiple deposit allow: Yes</t>
    </r>
    <r>
      <rPr>
        <sz val="10"/>
        <rFont val="Arial"/>
        <family val="2"/>
      </rPr>
      <t xml:space="preserve">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Deposit amount &gt;= Total fee</t>
    </r>
    <r>
      <rPr>
        <sz val="10"/>
        <rFont val="Arial"/>
        <family val="2"/>
      </rPr>
      <t xml:space="preserve">
1. Open "Miscellaneous deposit" screen
2. Input Account number
3. Input Amount deposit
4. Input Debit accounting
5. Click Accept</t>
    </r>
  </si>
  <si>
    <t>MDP_001_022</t>
  </si>
  <si>
    <t>MDP_001_023</t>
  </si>
  <si>
    <t>MDP_001_024</t>
  </si>
  <si>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 xml:space="preserve">Dormant
  - </t>
    </r>
    <r>
      <rPr>
        <sz val="10"/>
        <rFont val="Arial"/>
        <family val="2"/>
      </rPr>
      <t xml:space="preserve">0 &lt; Withdrawal amount &lt;= Available balance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
1. Open "Miscellaneous withdrawal" screen
2. Input Account number
3. Input Withdrawal amount
4. Input Credit accounting
5.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</si>
  <si>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 xml:space="preserve">Dormant
  - </t>
    </r>
    <r>
      <rPr>
        <sz val="10"/>
        <rFont val="Arial"/>
        <family val="2"/>
      </rPr>
      <t xml:space="preserve">0 &lt; Withdrawal amount &lt;= Available balance
  - Has no linkage account for fund transfer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
1. Open "Miscellaneous withdrawal" screen
2. Input Account number
3. Input Withdrawal amount
4. Input Credit accounting
5.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</si>
  <si>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 xml:space="preserve">Normal
  - </t>
    </r>
    <r>
      <rPr>
        <sz val="10"/>
        <rFont val="Arial"/>
        <family val="2"/>
      </rPr>
      <t xml:space="preserve">0 &lt; Withdrawal amount &lt;= Available balance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
1. Open "Miscellaneous withdrawal" screen
2. Input Account number
3. Input Withdrawal amount
4. Input Credit accounting
5. Click Accept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</si>
  <si>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
  -</t>
    </r>
    <r>
      <rPr>
        <sz val="10"/>
        <rFont val="Arial"/>
        <family val="2"/>
      </rPr>
      <t xml:space="preserve"> 0 &lt;</t>
    </r>
    <r>
      <rPr>
        <sz val="10"/>
        <color rgb="FF00B0F0"/>
        <rFont val="Arial"/>
        <family val="2"/>
      </rPr>
      <t xml:space="preserve"> </t>
    </r>
    <r>
      <rPr>
        <sz val="10"/>
        <rFont val="Arial"/>
        <family val="2"/>
      </rPr>
      <t xml:space="preserve">Withdrawal amount &lt;= Available balance
  - Has no linkage account for fund transfer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
1. Open "Miscellaneous withdrawal" screen
2. Input Account number
3. Input Withdrawal amount
4. Input Credit accounting
5. Click Accept</t>
    </r>
  </si>
  <si>
    <r>
      <rPr>
        <b/>
        <sz val="10"/>
        <rFont val="Arial"/>
        <family val="2"/>
      </rPr>
      <t>Deposit account</t>
    </r>
    <r>
      <rPr>
        <sz val="10"/>
        <rFont val="Arial"/>
        <family val="2"/>
      </rPr>
      <t xml:space="preserve">
  - Deposit type: Current
  - Deposit status: Normal
  - </t>
    </r>
    <r>
      <rPr>
        <sz val="10"/>
        <color rgb="FF00B0F0"/>
        <rFont val="Arial"/>
        <family val="2"/>
      </rPr>
      <t>Available balance of master &lt; Withdrawal amount &lt;= Available balance of linkage</t>
    </r>
    <r>
      <rPr>
        <sz val="10"/>
        <rFont val="Arial"/>
        <family val="2"/>
      </rPr>
      <t xml:space="preserve">
  - </t>
    </r>
    <r>
      <rPr>
        <sz val="10"/>
        <color rgb="FF00B0F0"/>
        <rFont val="Arial"/>
        <family val="2"/>
      </rPr>
      <t xml:space="preserve">Has linkage account for fund transfer
</t>
    </r>
    <r>
      <rPr>
        <b/>
        <sz val="10"/>
        <rFont val="Arial"/>
        <family val="2"/>
      </rPr>
      <t xml:space="preserve">Linkage account
</t>
    </r>
    <r>
      <rPr>
        <sz val="10"/>
        <rFont val="Arial"/>
        <family val="2"/>
      </rPr>
      <t xml:space="preserve">  - </t>
    </r>
    <r>
      <rPr>
        <sz val="10"/>
        <color rgb="FF00B0F0"/>
        <rFont val="Arial"/>
        <family val="2"/>
      </rPr>
      <t>Deposit type: Saving</t>
    </r>
    <r>
      <rPr>
        <sz val="10"/>
        <rFont val="Arial"/>
        <family val="2"/>
      </rPr>
      <t xml:space="preserve">
  - </t>
    </r>
    <r>
      <rPr>
        <sz val="10"/>
        <color rgb="FF00B0F0"/>
        <rFont val="Arial"/>
        <family val="2"/>
      </rPr>
      <t>Deposit status: Normal</t>
    </r>
    <r>
      <rPr>
        <sz val="10"/>
        <rFont val="Arial"/>
        <family val="2"/>
      </rPr>
      <t xml:space="preserve">
  - </t>
    </r>
    <r>
      <rPr>
        <sz val="10"/>
        <color rgb="FF00B0F0"/>
        <rFont val="Arial"/>
        <family val="2"/>
      </rPr>
      <t>Linkage class: Auto fund transfer</t>
    </r>
    <r>
      <rPr>
        <sz val="10"/>
        <rFont val="Arial"/>
        <family val="2"/>
      </rPr>
      <t xml:space="preserve">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
1. Open "Miscellaneous withdrawal" screen
2. Input Account number
3. Input Withdraw amount
4. Input Credit accounting
5. Click Accept</t>
    </r>
  </si>
  <si>
    <r>
      <rPr>
        <b/>
        <sz val="10"/>
        <rFont val="Arial"/>
        <family val="2"/>
      </rPr>
      <t>Customer</t>
    </r>
    <r>
      <rPr>
        <sz val="10"/>
        <rFont val="Arial"/>
        <family val="2"/>
      </rPr>
      <t xml:space="preserve"> 
  - Customer type: </t>
    </r>
    <r>
      <rPr>
        <sz val="10"/>
        <color rgb="FF00B0F0"/>
        <rFont val="Arial"/>
        <family val="2"/>
      </rPr>
      <t>Single customer</t>
    </r>
    <r>
      <rPr>
        <sz val="10"/>
        <rFont val="Arial"/>
        <family val="2"/>
      </rPr>
      <t xml:space="preserve">
  - Customer status: Normal
</t>
    </r>
    <r>
      <rPr>
        <b/>
        <sz val="10"/>
        <rFont val="Arial"/>
        <family val="2"/>
      </rPr>
      <t>Catalogue</t>
    </r>
    <r>
      <rPr>
        <sz val="10"/>
        <rFont val="Arial"/>
        <family val="2"/>
      </rPr>
      <t xml:space="preserve">
  - Deposit type: </t>
    </r>
    <r>
      <rPr>
        <sz val="10"/>
        <color rgb="FF00B0F0"/>
        <rFont val="Arial"/>
        <family val="2"/>
      </rPr>
      <t xml:space="preserve">Fixed deposit
  </t>
    </r>
    <r>
      <rPr>
        <sz val="10"/>
        <rFont val="Arial"/>
        <family val="2"/>
      </rPr>
      <t>-</t>
    </r>
    <r>
      <rPr>
        <sz val="10"/>
        <color rgb="FF00B0F0"/>
        <rFont val="Arial"/>
        <family val="2"/>
      </rPr>
      <t xml:space="preserve"> Deposit sub type &lt;&gt; Prepaid fixed deposit</t>
    </r>
    <r>
      <rPr>
        <sz val="10"/>
        <rFont val="Arial"/>
        <family val="2"/>
      </rPr>
      <t xml:space="preserve">
  - Catalogue status: Normal
</t>
    </r>
    <r>
      <rPr>
        <b/>
        <sz val="10"/>
        <rFont val="Arial"/>
        <family val="2"/>
      </rPr>
      <t xml:space="preserve">To account number
  - </t>
    </r>
    <r>
      <rPr>
        <sz val="10"/>
        <rFont val="Arial"/>
        <family val="2"/>
      </rPr>
      <t>Deposit type</t>
    </r>
    <r>
      <rPr>
        <b/>
        <sz val="10"/>
        <rFont val="Arial"/>
        <family val="2"/>
      </rPr>
      <t>:</t>
    </r>
    <r>
      <rPr>
        <sz val="10"/>
        <rFont val="Arial"/>
        <family val="2"/>
      </rPr>
      <t xml:space="preserve"> Current/ Saving
  - Deposit sub type &lt;&gt; Shwe Cash call
  - Same customer type with deposit will open
  - Same customer code with deposit will open
1. Open "Open new deposit account" screen
2. Choose Customer type
3. Input Customer code
4. Input Catalogue code
5. Input To account number
6. Input Reason of Account Opening
7. Click Accpet</t>
    </r>
  </si>
  <si>
    <r>
      <rPr>
        <b/>
        <sz val="10"/>
        <rFont val="Arial"/>
        <family val="2"/>
      </rPr>
      <t>Deposit account</t>
    </r>
    <r>
      <rPr>
        <sz val="10"/>
        <color rgb="FF00B0F0"/>
        <rFont val="Arial"/>
        <family val="2"/>
      </rPr>
      <t xml:space="preserve">
</t>
    </r>
    <r>
      <rPr>
        <sz val="10"/>
        <rFont val="Arial"/>
        <family val="2"/>
      </rPr>
      <t xml:space="preserve">  - Deposit type: </t>
    </r>
    <r>
      <rPr>
        <sz val="10"/>
        <color rgb="FF00B0F0"/>
        <rFont val="Arial"/>
        <family val="2"/>
      </rPr>
      <t xml:space="preserve">Fixed deposit
  </t>
    </r>
    <r>
      <rPr>
        <sz val="10"/>
        <rFont val="Arial"/>
        <family val="2"/>
      </rPr>
      <t>-</t>
    </r>
    <r>
      <rPr>
        <sz val="10"/>
        <color rgb="FF00B0F0"/>
        <rFont val="Arial"/>
        <family val="2"/>
      </rPr>
      <t xml:space="preserve"> Deposit sub type &lt;&gt; Prepaid fixed deposit</t>
    </r>
    <r>
      <rPr>
        <sz val="10"/>
        <rFont val="Arial"/>
        <family val="2"/>
      </rPr>
      <t xml:space="preserve">
  - Deposit status: </t>
    </r>
    <r>
      <rPr>
        <sz val="10"/>
        <color rgb="FF00B0F0"/>
        <rFont val="Arial"/>
        <family val="2"/>
      </rPr>
      <t>New</t>
    </r>
    <r>
      <rPr>
        <sz val="10"/>
        <rFont val="Arial"/>
        <family val="2"/>
      </rPr>
      <t xml:space="preserve">
  - </t>
    </r>
    <r>
      <rPr>
        <sz val="10"/>
        <color rgb="FF00B0F0"/>
        <rFont val="Arial"/>
        <family val="2"/>
      </rPr>
      <t>Deposit amount &gt;= Initial deposit amount</t>
    </r>
    <r>
      <rPr>
        <sz val="10"/>
        <rFont val="Arial"/>
        <family val="2"/>
      </rPr>
      <t xml:space="preserve">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Deposit amount &gt;= Total fee</t>
    </r>
    <r>
      <rPr>
        <sz val="10"/>
        <rFont val="Arial"/>
        <family val="2"/>
      </rPr>
      <t xml:space="preserve">
1. Open "Miscellaneous deposit" screen
2. Input Account number
3. Input Amount deposit
4. Input Debit accounting
5. Click Accept</t>
    </r>
  </si>
  <si>
    <t>MWR_001_027</t>
  </si>
  <si>
    <t>MWR_001_028</t>
  </si>
  <si>
    <t>MWR_001_029</t>
  </si>
  <si>
    <t>MDP_001_025</t>
  </si>
  <si>
    <t>DLS_001_032</t>
  </si>
  <si>
    <t>CLS_001_032</t>
  </si>
  <si>
    <t>DLS_002_001</t>
  </si>
  <si>
    <t>DLS_002_002</t>
  </si>
  <si>
    <t>DLS_002_003</t>
  </si>
  <si>
    <t>DLS_002_004</t>
  </si>
  <si>
    <t>DLS_002_005</t>
  </si>
  <si>
    <t>DLS_002_006</t>
  </si>
  <si>
    <t>DLS_002_007</t>
  </si>
  <si>
    <t>DLS_002_008</t>
  </si>
  <si>
    <t>DLS_002_009</t>
  </si>
  <si>
    <t>DLS_002_010</t>
  </si>
  <si>
    <t>DLS_002_011</t>
  </si>
  <si>
    <t>DLS_002_012</t>
  </si>
  <si>
    <t>DLS_002_013</t>
  </si>
  <si>
    <t>DLS_002_014</t>
  </si>
  <si>
    <t>DLS_002_015</t>
  </si>
  <si>
    <t>DLS_002_016</t>
  </si>
  <si>
    <t>DLS_002_017</t>
  </si>
  <si>
    <t>DLS_002_018</t>
  </si>
  <si>
    <t>DLS_002_019</t>
  </si>
  <si>
    <t>DLS_002_020</t>
  </si>
  <si>
    <t>DLS_002_021</t>
  </si>
  <si>
    <t>DLS_002_022</t>
  </si>
  <si>
    <t>DLS_002_023</t>
  </si>
  <si>
    <t>DLS_002_024</t>
  </si>
  <si>
    <t>DLS_002_025</t>
  </si>
  <si>
    <t>DLS_002_026</t>
  </si>
  <si>
    <r>
      <rPr>
        <b/>
        <sz val="10"/>
        <rFont val="Arial"/>
        <family val="2"/>
      </rPr>
      <t>Deposit account</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t>
    </r>
    <r>
      <rPr>
        <sz val="10"/>
        <rFont val="Arial"/>
        <family val="2"/>
      </rPr>
      <t xml:space="preserve">
  - Branch account = Branch teller
  - Earmark = 0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Gross paid interest amount = 0</t>
    </r>
    <r>
      <rPr>
        <b/>
        <sz val="10"/>
        <rFont val="Arial"/>
        <family val="2"/>
      </rPr>
      <t xml:space="preserv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</si>
  <si>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Dormant</t>
    </r>
    <r>
      <rPr>
        <sz val="10"/>
        <rFont val="Arial"/>
        <family val="2"/>
      </rPr>
      <t xml:space="preserve">
  - Branch account = Branch teller
  - Earmark = 0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Gross paid interest amount = 0</t>
    </r>
    <r>
      <rPr>
        <b/>
        <sz val="10"/>
        <rFont val="Arial"/>
        <family val="2"/>
      </rPr>
      <t xml:space="preserv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</si>
  <si>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 0</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Gross paid interest amount = 0</t>
    </r>
    <r>
      <rPr>
        <b/>
        <sz val="10"/>
        <rFont val="Arial"/>
        <family val="2"/>
      </rPr>
      <t xml:space="preserv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</si>
  <si>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&gt; 0</t>
    </r>
    <r>
      <rPr>
        <b/>
        <sz val="10"/>
        <rFont val="Arial"/>
        <family val="2"/>
      </rPr>
      <t xml:space="preserve">
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re-calculate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</si>
  <si>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&gt; 0</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0 &lt; Gross paid interest amount &lt; Interest re-calculate</t>
    </r>
    <r>
      <rPr>
        <b/>
        <sz val="10"/>
        <rFont val="Arial"/>
        <family val="2"/>
      </rPr>
      <t xml:space="preserv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</si>
  <si>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 0</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Gross paid interest amount = 0</t>
    </r>
    <r>
      <rPr>
        <b/>
        <sz val="10"/>
        <rFont val="Arial"/>
        <family val="2"/>
      </rPr>
      <t xml:space="preserv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</si>
  <si>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&gt; 0</t>
    </r>
    <r>
      <rPr>
        <b/>
        <sz val="10"/>
        <rFont val="Arial"/>
        <family val="2"/>
      </rPr>
      <t xml:space="preserve">
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0 &lt; Gross paid interest amount = Interest re-calculate</t>
    </r>
    <r>
      <rPr>
        <b/>
        <sz val="10"/>
        <rFont val="Arial"/>
        <family val="2"/>
      </rPr>
      <t xml:space="preserv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</si>
  <si>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&gt; 0</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0 &lt; Gross paid interest amount &lt; Interest re-calculate</t>
    </r>
    <r>
      <rPr>
        <b/>
        <sz val="10"/>
        <rFont val="Arial"/>
        <family val="2"/>
      </rPr>
      <t xml:space="preserv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</si>
  <si>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</si>
  <si>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 Transfer amount &gt;= Initial deposit amount
  - Credit currency = Debit currency
  - Credit account &lt;&gt; Debit account
</t>
    </r>
    <r>
      <rPr>
        <b/>
        <sz val="10"/>
        <color rgb="FF00B0F0"/>
        <rFont val="Arial"/>
        <family val="2"/>
      </rPr>
      <t xml:space="preserve">0 &lt; Gross paid interest amount &lt;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</si>
  <si>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</si>
  <si>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</si>
  <si>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&lt;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</si>
  <si>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</si>
  <si>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t>
    </r>
    <r>
      <rPr>
        <sz val="10"/>
        <color rgb="FF00B0F0"/>
        <rFont val="Arial"/>
        <family val="2"/>
      </rPr>
      <t xml:space="preserve"> Normal/ Maturity</t>
    </r>
    <r>
      <rPr>
        <sz val="10"/>
        <rFont val="Arial"/>
        <family val="2"/>
      </rPr>
      <t xml:space="preserve">
  - Branch account = Branch teller
  - Earmark = 0
  - Has no account linkage
  - </t>
    </r>
    <r>
      <rPr>
        <sz val="10"/>
        <color rgb="FF00B0F0"/>
        <rFont val="Arial"/>
        <family val="2"/>
      </rPr>
      <t>Interest prepaid = 0</t>
    </r>
    <r>
      <rPr>
        <sz val="10"/>
        <rFont val="Arial"/>
        <family val="2"/>
      </rPr>
      <t xml:space="preserve">
  - </t>
    </r>
    <r>
      <rPr>
        <sz val="10"/>
        <color rgb="FF00B0F0"/>
        <rFont val="Arial"/>
        <family val="2"/>
      </rPr>
      <t>Working date = End of tenor</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</si>
  <si>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t>
    </r>
    <r>
      <rPr>
        <sz val="10"/>
        <color rgb="FF00B0F0"/>
        <rFont val="Arial"/>
        <family val="2"/>
      </rPr>
      <t xml:space="preserve"> Normal/ Maturity</t>
    </r>
    <r>
      <rPr>
        <sz val="10"/>
        <rFont val="Arial"/>
        <family val="2"/>
      </rPr>
      <t xml:space="preserve">
  - Branch account = Branch teller
  - Earmark = 0
  - Has no account linkage
  - </t>
    </r>
    <r>
      <rPr>
        <sz val="10"/>
        <color rgb="FF00B0F0"/>
        <rFont val="Arial"/>
        <family val="2"/>
      </rPr>
      <t>Interest prepaid = 0</t>
    </r>
    <r>
      <rPr>
        <sz val="10"/>
        <rFont val="Arial"/>
        <family val="2"/>
      </rPr>
      <t xml:space="preserve">
  - </t>
    </r>
    <r>
      <rPr>
        <sz val="10"/>
        <color rgb="FF00B0F0"/>
        <rFont val="Arial"/>
        <family val="2"/>
      </rPr>
      <t>Working date &gt; End of tenor</t>
    </r>
    <r>
      <rPr>
        <sz val="10"/>
        <rFont val="Arial"/>
        <family val="2"/>
      </rPr>
      <t xml:space="preserve">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</si>
  <si>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 0
  - Begin of tenor = Working date</t>
    </r>
    <r>
      <rPr>
        <b/>
        <sz val="10"/>
        <rFont val="Arial"/>
        <family val="2"/>
      </rPr>
      <t xml:space="preserve">
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Gross paid interest amount = 0</t>
    </r>
    <r>
      <rPr>
        <b/>
        <sz val="10"/>
        <rFont val="Arial"/>
        <family val="2"/>
      </rPr>
      <t xml:space="preserv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</si>
  <si>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&lt; 1 month</t>
    </r>
    <r>
      <rPr>
        <b/>
        <sz val="10"/>
        <rFont val="Arial"/>
        <family val="2"/>
      </rPr>
      <t xml:space="preserve">
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</si>
  <si>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 xml:space="preserve">Interest due = 0
</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re-calculate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</si>
  <si>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&lt;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</si>
  <si>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b/>
        <sz val="10"/>
        <rFont val="Arial"/>
        <family val="2"/>
      </rPr>
      <t xml:space="preserve">
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</si>
  <si>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due
</t>
    </r>
    <r>
      <rPr>
        <sz val="10"/>
        <rFont val="Arial"/>
        <family val="2"/>
      </rPr>
      <t xml:space="preserve">
1. Open "Close deposit account by deposit" screen
2. Input Account number
3. Input Gross interest paid out
4. Input Another deposit account
5. Click Accept</t>
    </r>
  </si>
  <si>
    <t>MLS_001_001</t>
  </si>
  <si>
    <t>MLS_001_002</t>
  </si>
  <si>
    <t>MLS_001_003</t>
  </si>
  <si>
    <t>MLS_001_004</t>
  </si>
  <si>
    <t>MLS_001_005</t>
  </si>
  <si>
    <t>MLS_001_006</t>
  </si>
  <si>
    <t>MLS_001_007</t>
  </si>
  <si>
    <t>MLS_001_008</t>
  </si>
  <si>
    <t>MLS_001_009</t>
  </si>
  <si>
    <t>MLS_001_010</t>
  </si>
  <si>
    <t>MLS_001_011</t>
  </si>
  <si>
    <t>MLS_001_012</t>
  </si>
  <si>
    <t>MLS_001_013</t>
  </si>
  <si>
    <t>MLS_001_014</t>
  </si>
  <si>
    <t>MLS_001_015</t>
  </si>
  <si>
    <t>MLS_001_016</t>
  </si>
  <si>
    <t>MLS_001_017</t>
  </si>
  <si>
    <t>MLS_001_018</t>
  </si>
  <si>
    <t>MLS_001_019</t>
  </si>
  <si>
    <t>MLS_001_020</t>
  </si>
  <si>
    <t>MLS_001_021</t>
  </si>
  <si>
    <t>MLS_001_022</t>
  </si>
  <si>
    <t>MLS_001_023</t>
  </si>
  <si>
    <t>MLS_001_024</t>
  </si>
  <si>
    <t>MLS_001_025</t>
  </si>
  <si>
    <t>MLS_001_026</t>
  </si>
  <si>
    <t>MLS_001_027</t>
  </si>
  <si>
    <t>MLS_001_028</t>
  </si>
  <si>
    <t>MLS_001_029</t>
  </si>
  <si>
    <t>MLS_001_030</t>
  </si>
  <si>
    <t>MLS_001_031</t>
  </si>
  <si>
    <t>MLS_001_032</t>
  </si>
  <si>
    <t>MLS_001_033</t>
  </si>
  <si>
    <t>MLS_001_034</t>
  </si>
  <si>
    <t>MLS_001_035</t>
  </si>
  <si>
    <t>MLS_001_039</t>
  </si>
  <si>
    <r>
      <rPr>
        <b/>
        <sz val="10"/>
        <rFont val="Arial"/>
        <family val="2"/>
      </rPr>
      <t>Deposit account</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Normal</t>
    </r>
    <r>
      <rPr>
        <sz val="10"/>
        <rFont val="Arial"/>
        <family val="2"/>
      </rPr>
      <t xml:space="preserve">
  - Branch account = Branch teller
  - Earmark = 0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Gross paid interest amount = 0</t>
    </r>
    <r>
      <rPr>
        <b/>
        <sz val="1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</si>
  <si>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Current</t>
    </r>
    <r>
      <rPr>
        <sz val="10"/>
        <rFont val="Arial"/>
        <family val="2"/>
      </rPr>
      <t xml:space="preserve">
  - Deposit status: </t>
    </r>
    <r>
      <rPr>
        <sz val="10"/>
        <color rgb="FF00B0F0"/>
        <rFont val="Arial"/>
        <family val="2"/>
      </rPr>
      <t>Dormant</t>
    </r>
    <r>
      <rPr>
        <sz val="10"/>
        <rFont val="Arial"/>
        <family val="2"/>
      </rPr>
      <t xml:space="preserve">
  - Branch account = Branch teller
  - Earmark = 0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Gross paid interest amount = 0</t>
    </r>
    <r>
      <rPr>
        <b/>
        <sz val="1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</si>
  <si>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 0</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Gross paid interest amount = 0</t>
    </r>
    <r>
      <rPr>
        <b/>
        <sz val="1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</si>
  <si>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&gt; 0</t>
    </r>
    <r>
      <rPr>
        <b/>
        <sz val="10"/>
        <rFont val="Arial"/>
        <family val="2"/>
      </rPr>
      <t xml:space="preserve">
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re-calculate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</si>
  <si>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Normal</t>
    </r>
    <r>
      <rPr>
        <sz val="10"/>
        <rFont val="Arial"/>
        <family val="2"/>
      </rPr>
      <t xml:space="preserve">
  - Branch account = Branch teller
  - Earmark = 0
  - </t>
    </r>
    <r>
      <rPr>
        <sz val="10"/>
        <color rgb="FF00B0F0"/>
        <rFont val="Arial"/>
        <family val="2"/>
      </rPr>
      <t>Interest accrual &gt; 0</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0 &lt; Gross paid interest amount &lt; Interest re-calculate</t>
    </r>
    <r>
      <rPr>
        <b/>
        <sz val="1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</si>
  <si>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 0</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Gross paid interest amount = 0</t>
    </r>
    <r>
      <rPr>
        <b/>
        <sz val="1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</si>
  <si>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&gt; 0</t>
    </r>
    <r>
      <rPr>
        <b/>
        <sz val="10"/>
        <rFont val="Arial"/>
        <family val="2"/>
      </rPr>
      <t xml:space="preserve">
GL account
</t>
    </r>
    <r>
      <rPr>
        <sz val="10"/>
        <rFont val="Arial"/>
        <family val="2"/>
      </rPr>
      <t xml:space="preserve">  - Posting side: Credit/ Both
  - Account level: 9
  - GL currency = Deposit currency
  - Account group &lt;&gt; Cash
  - Direct posting: Yes
</t>
    </r>
    <r>
      <rPr>
        <b/>
        <sz val="10"/>
        <color rgb="FF00B0F0"/>
        <rFont val="Arial"/>
        <family val="2"/>
      </rPr>
      <t>0 &lt; Gross paid interest amount = Interest re-calculate</t>
    </r>
    <r>
      <rPr>
        <b/>
        <sz val="1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</si>
  <si>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Saving</t>
    </r>
    <r>
      <rPr>
        <sz val="10"/>
        <rFont val="Arial"/>
        <family val="2"/>
      </rPr>
      <t xml:space="preserve">
  - Deposit status: </t>
    </r>
    <r>
      <rPr>
        <sz val="10"/>
        <color rgb="FF00B0F0"/>
        <rFont val="Arial"/>
        <family val="2"/>
      </rPr>
      <t>Dormant</t>
    </r>
    <r>
      <rPr>
        <sz val="10"/>
        <rFont val="Arial"/>
        <family val="2"/>
      </rPr>
      <t xml:space="preserve">
  - Branch account = Branch teller
  - Earmark = 0
  - </t>
    </r>
    <r>
      <rPr>
        <sz val="10"/>
        <color rgb="FF00B0F0"/>
        <rFont val="Arial"/>
        <family val="2"/>
      </rPr>
      <t>Interest accrual &gt; 0</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0 &lt; Gross paid interest amount &lt; Interest re-calculate</t>
    </r>
    <r>
      <rPr>
        <b/>
        <sz val="1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</si>
  <si>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</si>
  <si>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&lt;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</si>
  <si>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 End of tenor</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</si>
  <si>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</si>
  <si>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&lt;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</si>
  <si>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Working date &gt; End of tenor</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</si>
  <si>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t>
    </r>
    <r>
      <rPr>
        <sz val="10"/>
        <color rgb="FF00B0F0"/>
        <rFont val="Arial"/>
        <family val="2"/>
      </rPr>
      <t xml:space="preserve"> Normal/ Maturity</t>
    </r>
    <r>
      <rPr>
        <sz val="10"/>
        <rFont val="Arial"/>
        <family val="2"/>
      </rPr>
      <t xml:space="preserve">
  - Branch account = Branch teller
  - Earmark = 0
  - Has no account linkage
  - </t>
    </r>
    <r>
      <rPr>
        <sz val="10"/>
        <color rgb="FF00B0F0"/>
        <rFont val="Arial"/>
        <family val="2"/>
      </rPr>
      <t>Interest prepaid = 0</t>
    </r>
    <r>
      <rPr>
        <sz val="10"/>
        <rFont val="Arial"/>
        <family val="2"/>
      </rPr>
      <t xml:space="preserve">
  - </t>
    </r>
    <r>
      <rPr>
        <sz val="10"/>
        <color rgb="FF00B0F0"/>
        <rFont val="Arial"/>
        <family val="2"/>
      </rPr>
      <t>Working date = End of tenor</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</si>
  <si>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t>
    </r>
    <r>
      <rPr>
        <sz val="10"/>
        <rFont val="Arial"/>
        <family val="2"/>
      </rPr>
      <t xml:space="preserve">
  - </t>
    </r>
    <r>
      <rPr>
        <sz val="10"/>
        <color rgb="FF00B0F0"/>
        <rFont val="Arial"/>
        <family val="2"/>
      </rPr>
      <t>Deposit sub type: Prepaid fixed deposit</t>
    </r>
    <r>
      <rPr>
        <sz val="10"/>
        <rFont val="Arial"/>
        <family val="2"/>
      </rPr>
      <t xml:space="preserve">
  - Deposit status:</t>
    </r>
    <r>
      <rPr>
        <sz val="10"/>
        <color rgb="FF00B0F0"/>
        <rFont val="Arial"/>
        <family val="2"/>
      </rPr>
      <t xml:space="preserve"> Normal/ Maturity</t>
    </r>
    <r>
      <rPr>
        <sz val="10"/>
        <rFont val="Arial"/>
        <family val="2"/>
      </rPr>
      <t xml:space="preserve">
  - Branch account = Branch teller
  - Earmark = 0
  - Has no account linkage
  - </t>
    </r>
    <r>
      <rPr>
        <sz val="10"/>
        <color rgb="FF00B0F0"/>
        <rFont val="Arial"/>
        <family val="2"/>
      </rPr>
      <t>Interest prepaid = 0</t>
    </r>
    <r>
      <rPr>
        <sz val="10"/>
        <rFont val="Arial"/>
        <family val="2"/>
      </rPr>
      <t xml:space="preserve">
  - </t>
    </r>
    <r>
      <rPr>
        <sz val="10"/>
        <color rgb="FF00B0F0"/>
        <rFont val="Arial"/>
        <family val="2"/>
      </rPr>
      <t>Working date &gt; End of tenor</t>
    </r>
    <r>
      <rPr>
        <sz val="10"/>
        <rFont val="Arial"/>
        <family val="2"/>
      </rPr>
      <t xml:space="preserve">
</t>
    </r>
    <r>
      <rPr>
        <b/>
        <sz val="10"/>
        <rFont val="Arial"/>
        <family val="2"/>
      </rPr>
      <t>GL account</t>
    </r>
    <r>
      <rPr>
        <sz val="10"/>
        <rFont val="Arial"/>
        <family val="2"/>
      </rPr>
      <t xml:space="preserve">
  - Posting side: Credit/ Both
  - Account level: 9
  - GL currency = Deposit currency
  - Account group &lt;&gt; Cash
  - Direct posting: Yes
</t>
    </r>
    <r>
      <rPr>
        <b/>
        <sz val="1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</si>
  <si>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Current/ Saving/ Fixed deposit
  - Deposit status: Normal/ Dormant/ Maturity
  - </t>
    </r>
    <r>
      <rPr>
        <b/>
        <sz val="10"/>
        <color rgb="FFFF0000"/>
        <rFont val="Arial"/>
        <family val="2"/>
      </rPr>
      <t>Branch account &lt;&gt; Branch teller</t>
    </r>
    <r>
      <rPr>
        <sz val="10"/>
        <rFont val="Arial"/>
        <family val="2"/>
      </rPr>
      <t xml:space="preserve">
  - Earmark = 0
</t>
    </r>
    <r>
      <rPr>
        <b/>
        <sz val="10"/>
        <rFont val="Arial"/>
        <family val="2"/>
      </rPr>
      <t>GL account</t>
    </r>
    <r>
      <rPr>
        <sz val="10"/>
        <rFont val="Arial"/>
        <family val="2"/>
      </rPr>
      <t xml:space="preserve">
  - Posting side: Credit/ Both
  - Account level: 9
  - GL currency = Deposit currency
  - Account group &lt;&gt; Cash
  - Direct posting: Yes
</t>
    </r>
    <r>
      <rPr>
        <b/>
        <sz val="10"/>
        <rFont val="Arial"/>
        <family val="2"/>
      </rPr>
      <t>0 &lt; Gross paid interest amount &lt;= Interest re-calculate + Interest due</t>
    </r>
    <r>
      <rPr>
        <b/>
        <sz val="10"/>
        <color rgb="FF00B0F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</si>
  <si>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Current/ Saving/ Fixed deposit
  - Deposit status: Normal/ Dormant/ Maturity
  - Branch account = Branch teller
  - </t>
    </r>
    <r>
      <rPr>
        <b/>
        <sz val="10"/>
        <color rgb="FFFF0000"/>
        <rFont val="Arial"/>
        <family val="2"/>
      </rPr>
      <t>Earmark &gt; 0</t>
    </r>
    <r>
      <rPr>
        <sz val="10"/>
        <rFont val="Arial"/>
        <family val="2"/>
      </rPr>
      <t xml:space="preserve">
</t>
    </r>
    <r>
      <rPr>
        <b/>
        <sz val="10"/>
        <rFont val="Arial"/>
        <family val="2"/>
      </rPr>
      <t>GL account</t>
    </r>
    <r>
      <rPr>
        <sz val="10"/>
        <rFont val="Arial"/>
        <family val="2"/>
      </rPr>
      <t xml:space="preserve">
  - </t>
    </r>
    <r>
      <rPr>
        <b/>
        <sz val="10"/>
        <color rgb="FFFF0000"/>
        <rFont val="Arial"/>
        <family val="2"/>
      </rPr>
      <t>Posting side &lt;&gt; Credit/ Both</t>
    </r>
    <r>
      <rPr>
        <sz val="10"/>
        <rFont val="Arial"/>
        <family val="2"/>
      </rPr>
      <t xml:space="preserve">
  - Account level: 9
  - GL currency = Deposit currency
  - Account group &lt;&gt; Cash
  - Direct posting: Yes
</t>
    </r>
    <r>
      <rPr>
        <b/>
        <sz val="10"/>
        <rFont val="Arial"/>
        <family val="2"/>
      </rPr>
      <t>0 &lt; Gross paid interest amount &lt;= Interest re-calculate + Interest due</t>
    </r>
    <r>
      <rPr>
        <b/>
        <sz val="10"/>
        <color rgb="FF00B0F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</si>
  <si>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t>
    </r>
    <r>
      <rPr>
        <b/>
        <sz val="10"/>
        <color rgb="FFFF0000"/>
        <rFont val="Arial"/>
        <family val="2"/>
      </rPr>
      <t>Deposit type: Fixed deposit</t>
    </r>
    <r>
      <rPr>
        <sz val="10"/>
        <rFont val="Arial"/>
        <family val="2"/>
      </rPr>
      <t xml:space="preserve">
  - Deposit status: Normal/ Maturity
  - Branch account = Branch teller
  - Earmark = 0
  - </t>
    </r>
    <r>
      <rPr>
        <b/>
        <sz val="10"/>
        <color rgb="FFFF0000"/>
        <rFont val="Arial"/>
        <family val="2"/>
      </rPr>
      <t>Has account linkage</t>
    </r>
    <r>
      <rPr>
        <sz val="10"/>
        <rFont val="Arial"/>
        <family val="2"/>
      </rPr>
      <t xml:space="preserve">
</t>
    </r>
    <r>
      <rPr>
        <b/>
        <sz val="10"/>
        <rFont val="Arial"/>
        <family val="2"/>
      </rPr>
      <t>GL account</t>
    </r>
    <r>
      <rPr>
        <sz val="10"/>
        <rFont val="Arial"/>
        <family val="2"/>
      </rPr>
      <t xml:space="preserve">
  - Posting side: Credit/ Both
  - </t>
    </r>
    <r>
      <rPr>
        <b/>
        <sz val="10"/>
        <color rgb="FFFF0000"/>
        <rFont val="Arial"/>
        <family val="2"/>
      </rPr>
      <t>Account level &lt;&gt; 9</t>
    </r>
    <r>
      <rPr>
        <sz val="10"/>
        <rFont val="Arial"/>
        <family val="2"/>
      </rPr>
      <t xml:space="preserve">
  - GL currency = Deposit currency
  - Account group &lt;&gt; Cash
  - Direct posting: Yes
</t>
    </r>
    <r>
      <rPr>
        <b/>
        <sz val="10"/>
        <rFont val="Arial"/>
        <family val="2"/>
      </rPr>
      <t>0 &lt; Gross paid interest amount &lt;= Interest re-calculate + Interest due</t>
    </r>
    <r>
      <rPr>
        <b/>
        <sz val="10"/>
        <color rgb="FF00B0F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</si>
  <si>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GL account</t>
    </r>
    <r>
      <rPr>
        <sz val="10"/>
        <rFont val="Arial"/>
        <family val="2"/>
      </rPr>
      <t xml:space="preserve">
  - Posting side: Credit/ Both
  - Account level: 9
  - </t>
    </r>
    <r>
      <rPr>
        <b/>
        <sz val="10"/>
        <color rgb="FFFF0000"/>
        <rFont val="Arial"/>
        <family val="2"/>
      </rPr>
      <t>GL currency &lt;&gt; Deposit currency</t>
    </r>
    <r>
      <rPr>
        <sz val="10"/>
        <rFont val="Arial"/>
        <family val="2"/>
      </rPr>
      <t xml:space="preserve">
  - Account group &lt;&gt; Cash
  - Direct posting: Yes
</t>
    </r>
    <r>
      <rPr>
        <b/>
        <sz val="10"/>
        <rFont val="Arial"/>
        <family val="2"/>
      </rPr>
      <t>0 &lt; Gross paid interest amount &lt;= Interest re-calculate + Interest due</t>
    </r>
    <r>
      <rPr>
        <b/>
        <sz val="10"/>
        <color rgb="FF00B0F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</si>
  <si>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GL account</t>
    </r>
    <r>
      <rPr>
        <sz val="10"/>
        <rFont val="Arial"/>
        <family val="2"/>
      </rPr>
      <t xml:space="preserve">
  - Posting side: Credit/ Both
  - Account level: 9
  - GL currency = Deposit currency
  - </t>
    </r>
    <r>
      <rPr>
        <b/>
        <sz val="10"/>
        <color rgb="FFFF0000"/>
        <rFont val="Arial"/>
        <family val="2"/>
      </rPr>
      <t>Account group: Cash</t>
    </r>
    <r>
      <rPr>
        <sz val="10"/>
        <rFont val="Arial"/>
        <family val="2"/>
      </rPr>
      <t xml:space="preserve">
  - Direct posting: Yes
</t>
    </r>
    <r>
      <rPr>
        <b/>
        <sz val="10"/>
        <rFont val="Arial"/>
        <family val="2"/>
      </rPr>
      <t>0 &lt; Gross paid interest amount &lt;= Interest re-calculate + Interest due</t>
    </r>
    <r>
      <rPr>
        <b/>
        <sz val="10"/>
        <color rgb="FF00B0F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</si>
  <si>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GL account</t>
    </r>
    <r>
      <rPr>
        <sz val="10"/>
        <rFont val="Arial"/>
        <family val="2"/>
      </rPr>
      <t xml:space="preserve">
  - Posting side: Credit/ Both
  - Account level: 9
  - GL currency = Deposit currency
  - Account group &lt;&gt; Cash
  - </t>
    </r>
    <r>
      <rPr>
        <b/>
        <sz val="10"/>
        <color rgb="FFFF0000"/>
        <rFont val="Arial"/>
        <family val="2"/>
      </rPr>
      <t>Direct posting &lt;&gt; Yes</t>
    </r>
    <r>
      <rPr>
        <sz val="10"/>
        <rFont val="Arial"/>
        <family val="2"/>
      </rPr>
      <t xml:space="preserve">
</t>
    </r>
    <r>
      <rPr>
        <b/>
        <sz val="10"/>
        <rFont val="Arial"/>
        <family val="2"/>
      </rPr>
      <t>0 &lt; Gross paid interest amount &lt;= Interest re-calculate + Interest due</t>
    </r>
    <r>
      <rPr>
        <b/>
        <sz val="10"/>
        <color rgb="FF00B0F0"/>
        <rFont val="Arial"/>
        <family val="2"/>
      </rPr>
      <t xml:space="preserve">
</t>
    </r>
    <r>
      <rPr>
        <sz val="10"/>
        <rFont val="Arial"/>
        <family val="2"/>
      </rPr>
      <t xml:space="preserve">
1. Open "Close deposit account by miscellaneous" screen
2. Input Account number
3. Input Interest amount
4. Input Accounting number
5. Click Accept</t>
    </r>
  </si>
  <si>
    <t>MLS_002_001</t>
  </si>
  <si>
    <t>MLS_002_002</t>
  </si>
  <si>
    <t>MLS_002_003</t>
  </si>
  <si>
    <t>MLS_002_004</t>
  </si>
  <si>
    <t>MLS_002_005</t>
  </si>
  <si>
    <t>MLS_002_006</t>
  </si>
  <si>
    <t>MLS_002_007</t>
  </si>
  <si>
    <t>MLS_002_008</t>
  </si>
  <si>
    <t>MLS_002_009</t>
  </si>
  <si>
    <t>MLS_002_010</t>
  </si>
  <si>
    <t>MLS_002_011</t>
  </si>
  <si>
    <t>MLS_002_012</t>
  </si>
  <si>
    <t>MLS_002_013</t>
  </si>
  <si>
    <t>MLS_002_014</t>
  </si>
  <si>
    <t>MLS_002_015</t>
  </si>
  <si>
    <t>MLS_002_016</t>
  </si>
  <si>
    <t>MLS_002_017</t>
  </si>
  <si>
    <t>MLS_002_018</t>
  </si>
  <si>
    <t>MLS_002_019</t>
  </si>
  <si>
    <t>MLS_002_020</t>
  </si>
  <si>
    <t>MLS_002_021</t>
  </si>
  <si>
    <t>MLS_002_022</t>
  </si>
  <si>
    <t>MLS_002_023</t>
  </si>
  <si>
    <t>MLS_002_024</t>
  </si>
  <si>
    <t>MLS_002_025</t>
  </si>
  <si>
    <t>MLS_002_026</t>
  </si>
  <si>
    <r>
      <rPr>
        <b/>
        <sz val="10"/>
        <rFont val="Arial"/>
        <family val="2"/>
      </rPr>
      <t>Deposit account</t>
    </r>
    <r>
      <rPr>
        <sz val="10"/>
        <rFont val="Arial"/>
        <family val="2"/>
      </rPr>
      <t xml:space="preserve">
  - Deposit type: </t>
    </r>
    <r>
      <rPr>
        <sz val="10"/>
        <color rgb="FF00B0F0"/>
        <rFont val="Arial"/>
        <family val="2"/>
      </rPr>
      <t>Fixed deposit
  - Deposit sub type: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prepaid &gt; 0
  - Working date &lt; End of tenor
  - Early withdrawal: Yes
  - Penalty fee = 0</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</si>
  <si>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re-calculate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</si>
  <si>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&lt; Interest re-calculate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</si>
  <si>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</si>
  <si>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&lt; Interest re-calculate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</si>
  <si>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</si>
  <si>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</si>
  <si>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&lt;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</si>
  <si>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</si>
  <si>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re-calculate +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</si>
  <si>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&lt; Interest re-calculate +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</si>
  <si>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Interest re-calculate &lt; Gross paid interest amount &lt;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</si>
  <si>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</si>
  <si>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 xml:space="preserve">Interest due &gt; 0
</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 Interest re-calculate +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</si>
  <si>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0 &lt; Gross paid interest amount &lt; Interest re-calculate +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</si>
  <si>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Interest re-calculate &lt; Gross paid interest amount &lt; Interest due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</si>
  <si>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</si>
  <si>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prepaid &gt; 0
  - Working date &lt; End of tenor
  - Early withdrawal: Yes
  - Penalty fee = 0</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</si>
  <si>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prepaid &gt; 0
  - Working date &lt; End of tenor
  - Early withdrawal: Yes
  - Penalty fee &gt; 0</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00B0F0"/>
        <rFont val="Arial"/>
        <family val="2"/>
      </rPr>
      <t xml:space="preserve">Gross paid interest amount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</si>
  <si>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t>
    </r>
    <r>
      <rPr>
        <b/>
        <sz val="10"/>
        <color rgb="FFFF0000"/>
        <rFont val="Arial"/>
        <family val="2"/>
      </rPr>
      <t>Deposit type: Fixed deposit</t>
    </r>
    <r>
      <rPr>
        <sz val="10"/>
        <rFont val="Arial"/>
        <family val="2"/>
      </rPr>
      <t xml:space="preserve">
  - </t>
    </r>
    <r>
      <rPr>
        <b/>
        <sz val="10"/>
        <color rgb="FFFF0000"/>
        <rFont val="Arial"/>
        <family val="2"/>
      </rPr>
      <t>Deposit sub type: Prepaid fixed deposit</t>
    </r>
    <r>
      <rPr>
        <sz val="10"/>
        <rFont val="Arial"/>
        <family val="2"/>
      </rPr>
      <t xml:space="preserve">
  - Deposit status: Normal
  - Branch account = Branch teller
  - Earmark = 0
  - Has no account linkage
  - </t>
    </r>
    <r>
      <rPr>
        <b/>
        <sz val="10"/>
        <color rgb="FFFF0000"/>
        <rFont val="Arial"/>
        <family val="2"/>
      </rPr>
      <t>Interest prepaid &gt; 0</t>
    </r>
    <r>
      <rPr>
        <b/>
        <sz val="10"/>
        <rFont val="Arial"/>
        <family val="2"/>
      </rPr>
      <t xml:space="preserve">
</t>
    </r>
    <r>
      <rPr>
        <sz val="10"/>
        <rFont val="Arial"/>
        <family val="2"/>
      </rPr>
      <t xml:space="preserve">  - </t>
    </r>
    <r>
      <rPr>
        <b/>
        <sz val="10"/>
        <color rgb="FFFF0000"/>
        <rFont val="Arial"/>
        <family val="2"/>
      </rPr>
      <t>Working date &lt; End of tenor</t>
    </r>
    <r>
      <rPr>
        <sz val="10"/>
        <color rgb="FFFF0000"/>
        <rFont val="Arial"/>
        <family val="2"/>
      </rPr>
      <t xml:space="preserve">
</t>
    </r>
    <r>
      <rPr>
        <sz val="10"/>
        <rFont val="Arial"/>
        <family val="2"/>
      </rPr>
      <t xml:space="preserve">  - </t>
    </r>
    <r>
      <rPr>
        <b/>
        <sz val="10"/>
        <color rgb="FFFF0000"/>
        <rFont val="Arial"/>
        <family val="2"/>
      </rPr>
      <t>Early withdrawal: No</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FF000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</si>
  <si>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t>
    </r>
    <r>
      <rPr>
        <b/>
        <sz val="10"/>
        <color rgb="FFFF0000"/>
        <rFont val="Arial"/>
        <family val="2"/>
      </rPr>
      <t>Deposit type: Fixed deposit</t>
    </r>
    <r>
      <rPr>
        <sz val="10"/>
        <rFont val="Arial"/>
        <family val="2"/>
      </rPr>
      <t xml:space="preserve">
  - </t>
    </r>
    <r>
      <rPr>
        <b/>
        <sz val="10"/>
        <color rgb="FFFF0000"/>
        <rFont val="Arial"/>
        <family val="2"/>
      </rPr>
      <t>Deposit sub type: Prepaid fixed deposit</t>
    </r>
    <r>
      <rPr>
        <sz val="10"/>
        <rFont val="Arial"/>
        <family val="2"/>
      </rPr>
      <t xml:space="preserve">
  - Deposit status: Normal
  - Branch account = Branch teller
  - Earmark = 0
  - Has no account linkage
  - </t>
    </r>
    <r>
      <rPr>
        <b/>
        <sz val="10"/>
        <color rgb="FFFF0000"/>
        <rFont val="Arial"/>
        <family val="2"/>
      </rPr>
      <t>Interest prepaid = 0</t>
    </r>
    <r>
      <rPr>
        <b/>
        <sz val="10"/>
        <rFont val="Arial"/>
        <family val="2"/>
      </rPr>
      <t xml:space="preserve">
</t>
    </r>
    <r>
      <rPr>
        <sz val="10"/>
        <rFont val="Arial"/>
        <family val="2"/>
      </rPr>
      <t xml:space="preserve">  - </t>
    </r>
    <r>
      <rPr>
        <b/>
        <sz val="10"/>
        <color rgb="FFFF0000"/>
        <rFont val="Arial"/>
        <family val="2"/>
      </rPr>
      <t>Working date &lt; End of tenor</t>
    </r>
    <r>
      <rPr>
        <sz val="10"/>
        <color rgb="FFFF0000"/>
        <rFont val="Arial"/>
        <family val="2"/>
      </rPr>
      <t xml:space="preserve">
</t>
    </r>
    <r>
      <rPr>
        <sz val="10"/>
        <rFont val="Arial"/>
        <family val="2"/>
      </rPr>
      <t xml:space="preserve">  - </t>
    </r>
    <r>
      <rPr>
        <b/>
        <sz val="10"/>
        <color rgb="FFFF0000"/>
        <rFont val="Arial"/>
        <family val="2"/>
      </rPr>
      <t>Early withdrawal: No</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color rgb="FFFF0000"/>
        <rFont val="Arial"/>
        <family val="2"/>
      </rPr>
      <t xml:space="preserve">Gross paid interest amount = 0
</t>
    </r>
    <r>
      <rPr>
        <sz val="10"/>
        <rFont val="Arial"/>
        <family val="2"/>
      </rPr>
      <t xml:space="preserve">
1. Open "Close deposit account by deposit" screen
2. Input Account number
3. Input Gross interest paid out
4. Input Another deposit account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</si>
  <si>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 0
  - Begin of tenor = Working date</t>
    </r>
    <r>
      <rPr>
        <b/>
        <sz val="10"/>
        <rFont val="Arial"/>
        <family val="2"/>
      </rPr>
      <t xml:space="preserve">
GL account
</t>
    </r>
    <r>
      <rPr>
        <sz val="10"/>
        <rFont val="Arial"/>
        <family val="2"/>
      </rPr>
      <t xml:space="preserve">  - Posting side: Credit/ Both
  - Account level: 9
  - GL currency = Deposit currency
  - Account group &lt;&gt; Cash
  - Direct posting: Yes
</t>
    </r>
    <r>
      <rPr>
        <b/>
        <sz val="10"/>
        <color rgb="FF00B0F0"/>
        <rFont val="Arial"/>
        <family val="2"/>
      </rPr>
      <t>Gross paid interest amount = 0</t>
    </r>
    <r>
      <rPr>
        <b/>
        <sz val="10"/>
        <rFont val="Arial"/>
        <family val="2"/>
      </rPr>
      <t xml:space="preserv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</si>
  <si>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&lt; 1 month</t>
    </r>
    <r>
      <rPr>
        <b/>
        <sz val="10"/>
        <rFont val="Arial"/>
        <family val="2"/>
      </rPr>
      <t xml:space="preserve">
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</si>
  <si>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re-calculate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</si>
  <si>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&lt; Interest re-calculate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</si>
  <si>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</si>
  <si>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 xml:space="preserve">Interest due = 0
</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re-calculate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</si>
  <si>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&lt; Interest re-calculate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</si>
  <si>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due =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</si>
  <si>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</si>
  <si>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&lt;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</si>
  <si>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 0
  - Begin of tenor = Working date</t>
    </r>
    <r>
      <rPr>
        <b/>
        <sz val="10"/>
        <rFont val="Arial"/>
        <family val="2"/>
      </rPr>
      <t xml:space="preserve">
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</si>
  <si>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</si>
  <si>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&lt;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</si>
  <si>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&lt;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</si>
  <si>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re-calculate +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</si>
  <si>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&lt; Interest re-calculate +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</si>
  <si>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Interest re-calculate &lt; Gross paid interest amount &lt;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</si>
  <si>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</si>
  <si>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 xml:space="preserve">Interest due &gt; 0
</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 Interest re-calculate +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</si>
  <si>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0 &lt; Gross paid interest amount &lt; Interest re-calculate +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</si>
  <si>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Interest re-calculate &lt; Gross paid interest amount &lt; Interest due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</si>
  <si>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&lt;&gt; Prepaid fixed deposit</t>
    </r>
    <r>
      <rPr>
        <sz val="10"/>
        <rFont val="Arial"/>
        <family val="2"/>
      </rPr>
      <t xml:space="preserve">
  - Deposit status: </t>
    </r>
    <r>
      <rPr>
        <sz val="10"/>
        <color rgb="FF00B0F0"/>
        <rFont val="Arial"/>
        <family val="2"/>
      </rPr>
      <t>Normal/ Maturity</t>
    </r>
    <r>
      <rPr>
        <sz val="10"/>
        <rFont val="Arial"/>
        <family val="2"/>
      </rPr>
      <t xml:space="preserve">
  - Branch account = Branch teller
  - Earmark = 0
  - Has no account linkage
  - </t>
    </r>
    <r>
      <rPr>
        <sz val="10"/>
        <color rgb="FF00B0F0"/>
        <rFont val="Arial"/>
        <family val="2"/>
      </rPr>
      <t>Interest due &gt; 0</t>
    </r>
    <r>
      <rPr>
        <sz val="10"/>
        <rFont val="Arial"/>
        <family val="2"/>
      </rPr>
      <t xml:space="preserve">
  - </t>
    </r>
    <r>
      <rPr>
        <sz val="10"/>
        <color rgb="FF00B0F0"/>
        <rFont val="Arial"/>
        <family val="2"/>
      </rPr>
      <t>Interest accrual &gt; 0
  - Working date - Begin of tenor &gt; 1 month</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</si>
  <si>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Deposit type: </t>
    </r>
    <r>
      <rPr>
        <sz val="10"/>
        <color rgb="FF00B0F0"/>
        <rFont val="Arial"/>
        <family val="2"/>
      </rPr>
      <t>Fixed deposit
  - Deposit sub type: Prepaid fixed deposit</t>
    </r>
    <r>
      <rPr>
        <sz val="10"/>
        <rFont val="Arial"/>
        <family val="2"/>
      </rPr>
      <t xml:space="preserve">
  - Deposit status: </t>
    </r>
    <r>
      <rPr>
        <sz val="10"/>
        <color rgb="FF00B0F0"/>
        <rFont val="Arial"/>
        <family val="2"/>
      </rPr>
      <t>Normal</t>
    </r>
    <r>
      <rPr>
        <sz val="10"/>
        <rFont val="Arial"/>
        <family val="2"/>
      </rPr>
      <t xml:space="preserve">
  - Branch account = Branch teller
  - Earmark = 0
  - Has no account linkage
  - </t>
    </r>
    <r>
      <rPr>
        <sz val="10"/>
        <color rgb="FF00B0F0"/>
        <rFont val="Arial"/>
        <family val="2"/>
      </rPr>
      <t>Interest prepaid &gt; 0
  - Working date &lt; End of tenor
  - Early withdrawal: Yes
  - Penalty fee &gt; 0</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00B0F0"/>
        <rFont val="Arial"/>
        <family val="2"/>
      </rPr>
      <t xml:space="preserve">Gross paid interest amount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</si>
  <si>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t>
    </r>
    <r>
      <rPr>
        <b/>
        <sz val="10"/>
        <color rgb="FFFF0000"/>
        <rFont val="Arial"/>
        <family val="2"/>
      </rPr>
      <t>Deposit type: Fixed deposit</t>
    </r>
    <r>
      <rPr>
        <sz val="10"/>
        <rFont val="Arial"/>
        <family val="2"/>
      </rPr>
      <t xml:space="preserve">
  - </t>
    </r>
    <r>
      <rPr>
        <b/>
        <sz val="10"/>
        <color rgb="FFFF0000"/>
        <rFont val="Arial"/>
        <family val="2"/>
      </rPr>
      <t>Deposit sub type: Prepaid fixed deposit</t>
    </r>
    <r>
      <rPr>
        <sz val="10"/>
        <rFont val="Arial"/>
        <family val="2"/>
      </rPr>
      <t xml:space="preserve">
  - Deposit status: Normal
  - Branch account = Branch teller
  - Earmark = 0
  - Has no account linkage
  - </t>
    </r>
    <r>
      <rPr>
        <b/>
        <sz val="10"/>
        <color rgb="FFFF0000"/>
        <rFont val="Arial"/>
        <family val="2"/>
      </rPr>
      <t>Interest prepaid &gt; 0</t>
    </r>
    <r>
      <rPr>
        <b/>
        <sz val="10"/>
        <rFont val="Arial"/>
        <family val="2"/>
      </rPr>
      <t xml:space="preserve">
</t>
    </r>
    <r>
      <rPr>
        <sz val="10"/>
        <rFont val="Arial"/>
        <family val="2"/>
      </rPr>
      <t xml:space="preserve">  - </t>
    </r>
    <r>
      <rPr>
        <b/>
        <sz val="10"/>
        <color rgb="FFFF0000"/>
        <rFont val="Arial"/>
        <family val="2"/>
      </rPr>
      <t>Working date &lt; End of tenor</t>
    </r>
    <r>
      <rPr>
        <sz val="10"/>
        <color rgb="FFFF0000"/>
        <rFont val="Arial"/>
        <family val="2"/>
      </rPr>
      <t xml:space="preserve">
</t>
    </r>
    <r>
      <rPr>
        <sz val="10"/>
        <rFont val="Arial"/>
        <family val="2"/>
      </rPr>
      <t xml:space="preserve">  - </t>
    </r>
    <r>
      <rPr>
        <b/>
        <sz val="10"/>
        <color rgb="FFFF0000"/>
        <rFont val="Arial"/>
        <family val="2"/>
      </rPr>
      <t>Early withdrawal: No</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FF000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</si>
  <si>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r>
      <rPr>
        <b/>
        <sz val="10"/>
        <rFont val="Arial"/>
        <family val="2"/>
      </rPr>
      <t>Deposit account</t>
    </r>
    <r>
      <rPr>
        <sz val="10"/>
        <rFont val="Arial"/>
        <family val="2"/>
      </rPr>
      <t xml:space="preserve">
  - </t>
    </r>
    <r>
      <rPr>
        <b/>
        <sz val="10"/>
        <color rgb="FFFF0000"/>
        <rFont val="Arial"/>
        <family val="2"/>
      </rPr>
      <t>Deposit type: Fixed deposit</t>
    </r>
    <r>
      <rPr>
        <sz val="10"/>
        <rFont val="Arial"/>
        <family val="2"/>
      </rPr>
      <t xml:space="preserve">
  - </t>
    </r>
    <r>
      <rPr>
        <b/>
        <sz val="10"/>
        <color rgb="FFFF0000"/>
        <rFont val="Arial"/>
        <family val="2"/>
      </rPr>
      <t>Deposit sub type: Prepaid fixed deposit</t>
    </r>
    <r>
      <rPr>
        <sz val="10"/>
        <rFont val="Arial"/>
        <family val="2"/>
      </rPr>
      <t xml:space="preserve">
  - Deposit status: Normal
  - Branch account = Branch teller
  - Earmark = 0
  - Has no account linkage
  - </t>
    </r>
    <r>
      <rPr>
        <b/>
        <sz val="10"/>
        <color rgb="FFFF0000"/>
        <rFont val="Arial"/>
        <family val="2"/>
      </rPr>
      <t>Interest prepaid = 0</t>
    </r>
    <r>
      <rPr>
        <b/>
        <sz val="10"/>
        <rFont val="Arial"/>
        <family val="2"/>
      </rPr>
      <t xml:space="preserve">
</t>
    </r>
    <r>
      <rPr>
        <sz val="10"/>
        <rFont val="Arial"/>
        <family val="2"/>
      </rPr>
      <t xml:space="preserve">  - </t>
    </r>
    <r>
      <rPr>
        <b/>
        <sz val="10"/>
        <color rgb="FFFF0000"/>
        <rFont val="Arial"/>
        <family val="2"/>
      </rPr>
      <t>Working date &lt; End of tenor</t>
    </r>
    <r>
      <rPr>
        <sz val="10"/>
        <color rgb="FFFF0000"/>
        <rFont val="Arial"/>
        <family val="2"/>
      </rPr>
      <t xml:space="preserve">
</t>
    </r>
    <r>
      <rPr>
        <sz val="10"/>
        <rFont val="Arial"/>
        <family val="2"/>
      </rPr>
      <t xml:space="preserve">  - </t>
    </r>
    <r>
      <rPr>
        <b/>
        <sz val="10"/>
        <color rgb="FFFF0000"/>
        <rFont val="Arial"/>
        <family val="2"/>
      </rPr>
      <t>Early withdrawal: No</t>
    </r>
    <r>
      <rPr>
        <sz val="10"/>
        <rFont val="Arial"/>
        <family val="2"/>
      </rPr>
      <t xml:space="preserve">
</t>
    </r>
    <r>
      <rPr>
        <b/>
        <sz val="10"/>
        <rFont val="Arial"/>
        <family val="2"/>
      </rPr>
      <t xml:space="preserve">GL account
</t>
    </r>
    <r>
      <rPr>
        <sz val="10"/>
        <rFont val="Arial"/>
        <family val="2"/>
      </rPr>
      <t xml:space="preserve">  - Posting side: Credit/ Both
  - Account level: 9
  - GL currency = Deposit currency
  - Account group &lt;&gt; Cash
  - Direct posting: Yes
</t>
    </r>
    <r>
      <rPr>
        <b/>
        <sz val="10"/>
        <color rgb="FFFF0000"/>
        <rFont val="Arial"/>
        <family val="2"/>
      </rPr>
      <t xml:space="preserve">Gross paid interest amount = 0
</t>
    </r>
    <r>
      <rPr>
        <sz val="10"/>
        <rFont val="Arial"/>
        <family val="2"/>
      </rPr>
      <t xml:space="preserve">
1. Open "Close deposit account by miscellaneous" screen
2. Input Account number
3. Input Interest amount
4. Input Accounting number
5. Click Accept</t>
    </r>
  </si>
  <si>
    <t>Action</t>
  </si>
  <si>
    <t>Update related table</t>
  </si>
  <si>
    <t>o9accounting</t>
  </si>
  <si>
    <t>o9admin</t>
  </si>
  <si>
    <t>o9deposit</t>
  </si>
  <si>
    <t>o9cash</t>
  </si>
  <si>
    <t>Update data</t>
  </si>
  <si>
    <t>GLEntries</t>
  </si>
  <si>
    <t>AccountStatement</t>
  </si>
  <si>
    <t>Transaction</t>
  </si>
  <si>
    <t>TransactionDetail</t>
  </si>
  <si>
    <t>TransactionJournalDone</t>
  </si>
  <si>
    <t>CashList</t>
  </si>
  <si>
    <t>CashStatement</t>
  </si>
  <si>
    <t>CashTransaction</t>
  </si>
  <si>
    <t>Table name</t>
  </si>
  <si>
    <t>Insert new row</t>
  </si>
  <si>
    <t>DepositAccount</t>
  </si>
  <si>
    <t>DepositStatement</t>
  </si>
  <si>
    <t>DepositHistory</t>
  </si>
  <si>
    <t>DepositAccountTrans</t>
  </si>
  <si>
    <t>- CurrencyCode already existed: Update old row (update CurrentBalance)
- CurrencyCode does not exist: Insert new row</t>
  </si>
  <si>
    <t>Update old row (update CurrentBalance)</t>
  </si>
  <si>
    <t>Deposit money for prepaid fixed deposit</t>
  </si>
  <si>
    <t>IFCBalance</t>
  </si>
  <si>
    <t>IFCBalanceDetail</t>
  </si>
  <si>
    <t>Update old row (update PrepaidAmount)</t>
  </si>
  <si>
    <t>AccountBalance</t>
  </si>
  <si>
    <t>Update old row (update Balance)</t>
  </si>
  <si>
    <t>Update old row (update Outstanding, Paid)</t>
  </si>
  <si>
    <t>Deposit money for deposit account
(current, saving, fixed deposit)</t>
  </si>
  <si>
    <t>Withdraw money for deposit account
(current, saving)</t>
  </si>
  <si>
    <t>DepositIFCBalanceTrans</t>
  </si>
  <si>
    <t>Close deposit account
(current, saving, fixed deposit, prepaid fixed deposit)</t>
  </si>
  <si>
    <t>Close early termination
(fixed deposit)</t>
  </si>
  <si>
    <t>Update old row
  - DepositStatus (if prevoius status is New/ Dormant)
  - Psts
  - CurrentBalance, DepositAmount, WeekCredit, MonthCredit, QuarterCredit, SemiAnnualCredit, YearCredit
  - LastTransactionDate, UpdatedOnUtc
  - BeginOfTenor, EndOfTenor (if deposit type is Fixed Deposit) 
  - LastChangeDormantToNormalDate (if previous status is Dormant)
Update old row (if deposit by deposit)
  - Psts
  - CurrentBalance, WithdrawAmount, WeekDebit, MonthDebit, QuarterDebit, SemiAnnualDebit, YearDebit
  - LastTransactionDate, UpdatedOnUtc</t>
  </si>
  <si>
    <t>Update old row
  - DepositStatus (if prevoius status is New)
  - Psts
  - CurrentBalance, WithdrawAmount, WeekDebit, MonthDebit, QuarterDebit, SemiAnnualDebit, YearDebit
  - LastTransactionDate, UpdatedOnUtc
  - LastChangeDormantToNormalDate (if previous status is Dormant)
Update old row (if withdraw by deposit)
  - DepositStatus (if prevoius status is New)
  - Psts
  - CurrentBalance, DepositAmount, WeekCredit, MonthCredit, QuarterCredit, SemiAnnualCredit, YearCredit
  - LastTransactionDate, UpdatedOnUtc</t>
  </si>
  <si>
    <t>Update old row (Prepaid fixed deposit)
  - DepositStatus (if prevoius status is New)
  - Psts
  - CurrentBalance, DepositAmount, WeekCredit, MonthCredit, QuarterCredit, SemiAnnualCredit, YearCredit
  - LastTransactionDate, UpdatedOnUtc
  - BeginOfTenor, EndOfTenor (if deposit type is Fixed Deposit) 
  - LastChangeDormantToNormalDate (if previous status is Dormant)
Update old row (linkage account)
  - Psts
  - CurrentBalance, DepositAmount, WeekCredit, MonthCredit, QuarterCredit, SemiAnnualCredit, YearCredit
  - LastTransactionDate, UpdatedOnUtc
Update old row (if deposit by deposit)
  - Psts
  - CurrentBalance, WithdrawAmount, WeekDebit, MonthDebit, QuarterDebit, SemiAnnualDebit, YearDebit
  - LastTransactionDate, UpdatedOnUtc</t>
  </si>
  <si>
    <t>Update old row
  - DepositStatus, Psts
  - CurrentBalance, WithdrawAmount, WeekDebit, MonthDebit, QuarterDebit, SemiAnnualDebit, YearDebit
  - LastTransactionDate, UpdatedOnUtc
  - InterestAccrual, Intpbl, IntersetDue, InterestPaid
Update old row (if close by deposit)
  - DepositStatus (if prevoius status is New)
  - Psts
  - CurrentBalance, DepositAmount, WeekCredit, MonthCredit, QuarterCredit, SemiAnnualCredit, YearCredit
  - LastTransactionDate, UpdatedOnUtc</t>
  </si>
  <si>
    <t>Update old row
  - IFC normal interest: Outstanding
  - IFC early interest: Paid</t>
  </si>
  <si>
    <t>Close early termination
(prepaid fixed deposit)</t>
  </si>
  <si>
    <r>
      <rPr>
        <b/>
        <sz val="11"/>
        <color theme="1"/>
        <rFont val="Arial"/>
        <family val="2"/>
      </rPr>
      <t>Deposit account</t>
    </r>
    <r>
      <rPr>
        <sz val="11"/>
        <color theme="1"/>
        <rFont val="Arial"/>
        <family val="2"/>
      </rPr>
      <t xml:space="preserve">
  - Status: Normal (if prevoius status is New/ Dormant)
  - Increase Current balance, Available balance
  - Increase Deposit Amount, Week Credit, Month Credit, Quarter Credit, Semi - Annual Credit and Year Credit
  - BeginOfTenor = Working, EndOfTenor = Working date + tenor
  - LastChangeDormantToNormalDate (if previous status is Dormant)
</t>
    </r>
    <r>
      <rPr>
        <b/>
        <sz val="11"/>
        <color theme="1"/>
        <rFont val="Arial"/>
        <family val="2"/>
      </rPr>
      <t>Deposit by cash</t>
    </r>
    <r>
      <rPr>
        <sz val="11"/>
        <color theme="1"/>
        <rFont val="Arial"/>
        <family val="2"/>
      </rPr>
      <t xml:space="preserve">
  - Increase Customer deposit, Total In, Closing balance of Cash flow
</t>
    </r>
    <r>
      <rPr>
        <b/>
        <sz val="11"/>
        <color theme="1"/>
        <rFont val="Arial"/>
        <family val="2"/>
      </rPr>
      <t>Deposit by deposit</t>
    </r>
    <r>
      <rPr>
        <sz val="11"/>
        <color theme="1"/>
        <rFont val="Arial"/>
        <family val="2"/>
      </rPr>
      <t xml:space="preserve">
  - Decrease Current balance, Available balance
  - Increase Withdraw Amount, Week Debit, Month Debit, Quarter Debit, Semi - Annual Debit and Year Debit
</t>
    </r>
    <r>
      <rPr>
        <b/>
        <sz val="11"/>
        <color theme="1"/>
        <rFont val="Arial"/>
        <family val="2"/>
      </rPr>
      <t>Deposit by GL</t>
    </r>
    <r>
      <rPr>
        <sz val="11"/>
        <color theme="1"/>
        <rFont val="Arial"/>
        <family val="2"/>
      </rPr>
      <t xml:space="preserve">
  - Decrease GL Balance</t>
    </r>
  </si>
  <si>
    <r>
      <rPr>
        <b/>
        <sz val="11"/>
        <color theme="1"/>
        <rFont val="Arial"/>
        <family val="2"/>
      </rPr>
      <t>Deposit account</t>
    </r>
    <r>
      <rPr>
        <sz val="11"/>
        <color theme="1"/>
        <rFont val="Arial"/>
        <family val="2"/>
      </rPr>
      <t xml:space="preserve">
  - Decrease Current balance, Available balance
  - Increase Withdraw Amount, Week Debit, Month Debit, Quarter Debit, Semi - Annual Debit and Year Debit
</t>
    </r>
    <r>
      <rPr>
        <b/>
        <sz val="11"/>
        <color theme="1"/>
        <rFont val="Arial"/>
        <family val="2"/>
      </rPr>
      <t>Withdraw by cash</t>
    </r>
    <r>
      <rPr>
        <sz val="11"/>
        <color theme="1"/>
        <rFont val="Arial"/>
        <family val="2"/>
      </rPr>
      <t xml:space="preserve">
  - Increase Customer withdrawal, Total Out, decrease Closing balance of Cash flow
</t>
    </r>
    <r>
      <rPr>
        <b/>
        <sz val="11"/>
        <color theme="1"/>
        <rFont val="Arial"/>
        <family val="2"/>
      </rPr>
      <t>Withdraw by deposit</t>
    </r>
    <r>
      <rPr>
        <sz val="11"/>
        <color theme="1"/>
        <rFont val="Arial"/>
        <family val="2"/>
      </rPr>
      <t xml:space="preserve">
  - Increase Current balance, Available balance
  - Increase Deposit Amount, Week Credit, Month Credit, Quarter Credit, Semi - Annual Credit and Year Credit
</t>
    </r>
    <r>
      <rPr>
        <b/>
        <sz val="11"/>
        <color theme="1"/>
        <rFont val="Arial"/>
        <family val="2"/>
      </rPr>
      <t>Withdraw by GL</t>
    </r>
    <r>
      <rPr>
        <sz val="11"/>
        <color theme="1"/>
        <rFont val="Arial"/>
        <family val="2"/>
      </rPr>
      <t xml:space="preserve">
  - Increase GL Balance</t>
    </r>
  </si>
  <si>
    <r>
      <rPr>
        <b/>
        <sz val="11"/>
        <color theme="1"/>
        <rFont val="Arial"/>
        <family val="2"/>
      </rPr>
      <t>Fixed deposit account</t>
    </r>
    <r>
      <rPr>
        <sz val="11"/>
        <color theme="1"/>
        <rFont val="Arial"/>
        <family val="2"/>
      </rPr>
      <t xml:space="preserve">
  - Status: Normal (if prevoius status is New)
  - Increase Current balance, Available balance
  - Increase Deposit Amount, Week Credit, Month Credit, Quarter Credit, Semi - Annual Credit and Year Credit
  - BeginOfTenor = Working, EndOfTenor = Working date + tenor
  - Increase Interest prepaid
</t>
    </r>
    <r>
      <rPr>
        <b/>
        <sz val="11"/>
        <color theme="1"/>
        <rFont val="Arial"/>
        <family val="2"/>
      </rPr>
      <t>Linkage account</t>
    </r>
    <r>
      <rPr>
        <sz val="11"/>
        <color theme="1"/>
        <rFont val="Arial"/>
        <family val="2"/>
      </rPr>
      <t xml:space="preserve">
  - Increase Current balance, Available balance
  - Increase Deposit Amount, Week Credit, Month Credit, Quarter Credit, Semi - Annual Credit and Year Credit
</t>
    </r>
    <r>
      <rPr>
        <b/>
        <sz val="11"/>
        <color theme="1"/>
        <rFont val="Arial"/>
        <family val="2"/>
      </rPr>
      <t>Deposit by cash</t>
    </r>
    <r>
      <rPr>
        <sz val="11"/>
        <color theme="1"/>
        <rFont val="Arial"/>
        <family val="2"/>
      </rPr>
      <t xml:space="preserve">
  - Increase Customer deposit, Total In, Closing balance of Cash flow
</t>
    </r>
    <r>
      <rPr>
        <b/>
        <sz val="11"/>
        <color theme="1"/>
        <rFont val="Arial"/>
        <family val="2"/>
      </rPr>
      <t xml:space="preserve">Deposit by deposit
</t>
    </r>
    <r>
      <rPr>
        <sz val="11"/>
        <color theme="1"/>
        <rFont val="Arial"/>
        <family val="2"/>
      </rPr>
      <t xml:space="preserve">  - Decrease Current balance, Available balance
  - Increase Withdraw Amount, Week Debit, Month Debit, Quarter Debit, Semi - Annual Debit and Year Debit</t>
    </r>
  </si>
  <si>
    <r>
      <rPr>
        <b/>
        <sz val="11"/>
        <color theme="1"/>
        <rFont val="Arial"/>
        <family val="2"/>
      </rPr>
      <t>Deposit account</t>
    </r>
    <r>
      <rPr>
        <sz val="11"/>
        <color theme="1"/>
        <rFont val="Arial"/>
        <family val="2"/>
      </rPr>
      <t xml:space="preserve">
  - Status: Close
  - Close date = Working date
  - Current balance = Available balance = 0
  - Increase Withdraw Amount, Week Debit, Month Debit, Quarter Debit, Semi - Annual Debit and Year Debit
  - Interest accrual = Intpbl = Interest due = 0 (If previous interest &gt; 0)
  - Interest paid (new) = Interest paid (old) + Gross paid
  - IFC list: 
    + Outstanding = 0
    + Paid (new) = Paid (old) + Gross paid
</t>
    </r>
    <r>
      <rPr>
        <b/>
        <sz val="11"/>
        <color theme="1"/>
        <rFont val="Arial"/>
        <family val="2"/>
      </rPr>
      <t>Close by cash</t>
    </r>
    <r>
      <rPr>
        <sz val="11"/>
        <color theme="1"/>
        <rFont val="Arial"/>
        <family val="2"/>
      </rPr>
      <t xml:space="preserve">
  - Increase Customer withdrawal, Total Out, decrease Closing balance of Cash flow
</t>
    </r>
    <r>
      <rPr>
        <b/>
        <sz val="11"/>
        <color theme="1"/>
        <rFont val="Arial"/>
        <family val="2"/>
      </rPr>
      <t>Close by deposit</t>
    </r>
    <r>
      <rPr>
        <sz val="11"/>
        <color theme="1"/>
        <rFont val="Arial"/>
        <family val="2"/>
      </rPr>
      <t xml:space="preserve">
  - Increase Current balance, Available balance
  - Increase Deposit Amount, Week Credit, Month Credit, Quarter Credit, Semi - Annual Credit and Year Credit
</t>
    </r>
    <r>
      <rPr>
        <b/>
        <sz val="11"/>
        <color theme="1"/>
        <rFont val="Arial"/>
        <family val="2"/>
      </rPr>
      <t>Close by GL</t>
    </r>
    <r>
      <rPr>
        <sz val="11"/>
        <color theme="1"/>
        <rFont val="Arial"/>
        <family val="2"/>
      </rPr>
      <t xml:space="preserve">
  - Increase GL Balance</t>
    </r>
  </si>
  <si>
    <r>
      <rPr>
        <b/>
        <sz val="11"/>
        <color theme="1"/>
        <rFont val="Arial"/>
        <family val="2"/>
      </rPr>
      <t>Deposit account</t>
    </r>
    <r>
      <rPr>
        <sz val="11"/>
        <color theme="1"/>
        <rFont val="Arial"/>
        <family val="2"/>
      </rPr>
      <t xml:space="preserve">
  - Status: Close
  - Close date = Working date
  - Current balance = Available balance = 0
  - Increase Withdraw Amount, Week Debit, Month Debit, Quarter Debit, Semi - Annual Debit and Year Debit
  - Interest accrual = Intpbl = Interest due = 0
  - Interest paid (new) = Interest paid (old) + Gross paid
  - IFC list: 
    + IFC normal interest: Outstanding = 0
    + IFC early interest: Paid = Gross paid
</t>
    </r>
    <r>
      <rPr>
        <b/>
        <sz val="11"/>
        <color theme="1"/>
        <rFont val="Arial"/>
        <family val="2"/>
      </rPr>
      <t>Close by cash</t>
    </r>
    <r>
      <rPr>
        <sz val="11"/>
        <color theme="1"/>
        <rFont val="Arial"/>
        <family val="2"/>
      </rPr>
      <t xml:space="preserve">
  - Increase Customer withdrawal, Total Out, decrease Closing balance of Cash flow
</t>
    </r>
    <r>
      <rPr>
        <b/>
        <sz val="11"/>
        <color theme="1"/>
        <rFont val="Arial"/>
        <family val="2"/>
      </rPr>
      <t>Close by deposit</t>
    </r>
    <r>
      <rPr>
        <sz val="11"/>
        <color theme="1"/>
        <rFont val="Arial"/>
        <family val="2"/>
      </rPr>
      <t xml:space="preserve">
  - Increase Current balance, Available balance
  - Increase Deposit Amount, Week Credit, Month Credit, Quarter Credit, Semi - Annual Credit and Year Credit
</t>
    </r>
    <r>
      <rPr>
        <b/>
        <sz val="11"/>
        <color theme="1"/>
        <rFont val="Arial"/>
        <family val="2"/>
      </rPr>
      <t>Close by GL</t>
    </r>
    <r>
      <rPr>
        <sz val="11"/>
        <color theme="1"/>
        <rFont val="Arial"/>
        <family val="2"/>
      </rPr>
      <t xml:space="preserve">
  - Increase GL Balance</t>
    </r>
  </si>
  <si>
    <r>
      <rPr>
        <b/>
        <sz val="11"/>
        <color theme="1"/>
        <rFont val="Arial"/>
        <family val="2"/>
      </rPr>
      <t>Deposit account</t>
    </r>
    <r>
      <rPr>
        <sz val="11"/>
        <color theme="1"/>
        <rFont val="Arial"/>
        <family val="2"/>
      </rPr>
      <t xml:space="preserve">
  - Status: Close
  - Cose date = Working date
  - Current balance = Available balance = 0
  - Increase Withdraw Amount, Week Debit, Month Debit, Quarter Debit, Semi - Annual Debit and Year Debit
  - Interest Interest prepaid = Interest paid = 0
  - IFC list: 
    + IFC prepaid interest: PrepaidAmount = Paid = 0
    + IFC penalty fee: Paid = Penalty fee (if prepaid FD has IFC fee)
</t>
    </r>
    <r>
      <rPr>
        <b/>
        <sz val="11"/>
        <color theme="1"/>
        <rFont val="Arial"/>
        <family val="2"/>
      </rPr>
      <t>Close by cash</t>
    </r>
    <r>
      <rPr>
        <sz val="11"/>
        <color theme="1"/>
        <rFont val="Arial"/>
        <family val="2"/>
      </rPr>
      <t xml:space="preserve">
  - Increase Customer withdrawal, Total Out, decrease Closing balance of Cash flow
</t>
    </r>
    <r>
      <rPr>
        <b/>
        <sz val="11"/>
        <color theme="1"/>
        <rFont val="Arial"/>
        <family val="2"/>
      </rPr>
      <t>Close by deposit</t>
    </r>
    <r>
      <rPr>
        <sz val="11"/>
        <color theme="1"/>
        <rFont val="Arial"/>
        <family val="2"/>
      </rPr>
      <t xml:space="preserve">
  - Increase Current balance, Available balance
  - Increase Deposit Amount, Week Credit, Month Credit, Quarter Credit, Semi - Annual Credit and Year Credit
</t>
    </r>
    <r>
      <rPr>
        <b/>
        <sz val="11"/>
        <color theme="1"/>
        <rFont val="Arial"/>
        <family val="2"/>
      </rPr>
      <t>Close by GL</t>
    </r>
    <r>
      <rPr>
        <sz val="11"/>
        <color theme="1"/>
        <rFont val="Arial"/>
        <family val="2"/>
      </rPr>
      <t xml:space="preserve">
  - Increase GL Balance</t>
    </r>
  </si>
  <si>
    <t>Update old row
  - IFC prepaid interest: PrepaidAmount, Paid
  - IFC penalty fee: Paid</t>
  </si>
  <si>
    <t>- CashierCode, CurrencyCode, CashType and ValueDate already existed: Update old row (update CashAmount)
- CashierCode, CurrencyCode, CashType and ValueDate do not exist: Insert new row</t>
  </si>
  <si>
    <t>Customer code is empty</t>
  </si>
  <si>
    <t>Catalogue code is empty</t>
  </si>
  <si>
    <t>Reason of account opening is empty</t>
  </si>
  <si>
    <t>Customer status &lt;&gt; Normal</t>
  </si>
  <si>
    <t>Catalogue status &lt;&gt; Normal</t>
  </si>
  <si>
    <r>
      <rPr>
        <b/>
        <sz val="10"/>
        <rFont val="Arial"/>
        <family val="2"/>
      </rPr>
      <t>Customer</t>
    </r>
    <r>
      <rPr>
        <sz val="10"/>
        <rFont val="Arial"/>
        <family val="2"/>
      </rPr>
      <t xml:space="preserve"> 
  - </t>
    </r>
    <r>
      <rPr>
        <sz val="10"/>
        <color rgb="FFFF0000"/>
        <rFont val="Arial"/>
        <family val="2"/>
      </rPr>
      <t>Customer type: Single customer</t>
    </r>
    <r>
      <rPr>
        <sz val="10"/>
        <rFont val="Arial"/>
        <family val="2"/>
      </rPr>
      <t xml:space="preserve">
  - Customer status: Normal
</t>
    </r>
    <r>
      <rPr>
        <b/>
        <sz val="10"/>
        <rFont val="Arial"/>
        <family val="2"/>
      </rPr>
      <t xml:space="preserve">Catalogue
</t>
    </r>
    <r>
      <rPr>
        <sz val="10"/>
        <rFont val="Arial"/>
        <family val="2"/>
      </rPr>
      <t xml:space="preserve">  - </t>
    </r>
    <r>
      <rPr>
        <sz val="10"/>
        <color rgb="FFFF0000"/>
        <rFont val="Arial"/>
        <family val="2"/>
      </rPr>
      <t>Deposit type: Current (currency is not MMK)</t>
    </r>
    <r>
      <rPr>
        <sz val="10"/>
        <rFont val="Arial"/>
        <family val="2"/>
      </rPr>
      <t xml:space="preserve">
  - Catalogue status: Normal
  - </t>
    </r>
    <r>
      <rPr>
        <sz val="10"/>
        <color rgb="FFFF0000"/>
        <rFont val="Arial"/>
        <family val="2"/>
      </rPr>
      <t>Catalogue code: CAUSD0001/ CASGD0001/ CAEUR0001</t>
    </r>
  </si>
  <si>
    <r>
      <rPr>
        <b/>
        <sz val="10"/>
        <rFont val="Arial"/>
        <family val="2"/>
      </rPr>
      <t>Customer</t>
    </r>
    <r>
      <rPr>
        <sz val="10"/>
        <rFont val="Arial"/>
        <family val="2"/>
      </rPr>
      <t xml:space="preserve"> 
  - </t>
    </r>
    <r>
      <rPr>
        <sz val="10"/>
        <color rgb="FFFF0000"/>
        <rFont val="Arial"/>
        <family val="2"/>
      </rPr>
      <t>Customer type: Customer linkage</t>
    </r>
    <r>
      <rPr>
        <sz val="10"/>
        <rFont val="Arial"/>
        <family val="2"/>
      </rPr>
      <t xml:space="preserve">
  - Customer status: Normal
  - Relation customer is empty
</t>
    </r>
    <r>
      <rPr>
        <b/>
        <sz val="10"/>
        <rFont val="Arial"/>
        <family val="2"/>
      </rPr>
      <t xml:space="preserve">Catalogue
</t>
    </r>
    <r>
      <rPr>
        <sz val="10"/>
        <rFont val="Arial"/>
        <family val="2"/>
      </rPr>
      <t xml:space="preserve">  - </t>
    </r>
    <r>
      <rPr>
        <sz val="10"/>
        <color rgb="FFFF0000"/>
        <rFont val="Arial"/>
        <family val="2"/>
      </rPr>
      <t>Deposit type: Current (currency is not MMK)</t>
    </r>
    <r>
      <rPr>
        <sz val="10"/>
        <rFont val="Arial"/>
        <family val="2"/>
      </rPr>
      <t xml:space="preserve">
  - Catalogue status: Normal
  - </t>
    </r>
    <r>
      <rPr>
        <sz val="10"/>
        <color rgb="FFFF0000"/>
        <rFont val="Arial"/>
        <family val="2"/>
      </rPr>
      <t>Catalogue code: CAUSD0001/ CASGD0001/ CAEUR0001</t>
    </r>
  </si>
  <si>
    <r>
      <rPr>
        <b/>
        <sz val="10"/>
        <rFont val="Arial"/>
        <family val="2"/>
      </rPr>
      <t>Customer</t>
    </r>
    <r>
      <rPr>
        <sz val="10"/>
        <rFont val="Arial"/>
        <family val="2"/>
      </rPr>
      <t xml:space="preserve"> 
</t>
    </r>
    <r>
      <rPr>
        <sz val="10"/>
        <color rgb="FFFF0000"/>
        <rFont val="Arial"/>
        <family val="2"/>
      </rPr>
      <t xml:space="preserve">  - Customer type: Customer group</t>
    </r>
    <r>
      <rPr>
        <sz val="10"/>
        <rFont val="Arial"/>
        <family val="2"/>
      </rPr>
      <t xml:space="preserve">
  - Customer status: Normal
  - Relation customer is empty
</t>
    </r>
    <r>
      <rPr>
        <b/>
        <sz val="10"/>
        <rFont val="Arial"/>
        <family val="2"/>
      </rPr>
      <t xml:space="preserve">Catalogue
</t>
    </r>
    <r>
      <rPr>
        <sz val="10"/>
        <color rgb="FFFF0000"/>
        <rFont val="Arial"/>
        <family val="2"/>
      </rPr>
      <t xml:space="preserve">  - Deposit type: Current (currency is not MMK)</t>
    </r>
    <r>
      <rPr>
        <sz val="10"/>
        <rFont val="Arial"/>
        <family val="2"/>
      </rPr>
      <t xml:space="preserve">
  - Catalogue status: Normal
</t>
    </r>
    <r>
      <rPr>
        <sz val="10"/>
        <color rgb="FFFF0000"/>
        <rFont val="Arial"/>
        <family val="2"/>
      </rPr>
      <t xml:space="preserve">  - Catalogue code: CAUSD0000/ CASGD0000/ CAEUR0000</t>
    </r>
  </si>
  <si>
    <r>
      <rPr>
        <b/>
        <sz val="10"/>
        <rFont val="Arial"/>
        <family val="2"/>
      </rPr>
      <t xml:space="preserve">Catalogue
</t>
    </r>
    <r>
      <rPr>
        <sz val="10"/>
        <rFont val="Arial"/>
        <family val="2"/>
      </rPr>
      <t xml:space="preserve">  - Deposit type: Fixed deposit
</t>
    </r>
    <r>
      <rPr>
        <sz val="10"/>
        <color rgb="FFFF0000"/>
        <rFont val="Arial"/>
        <family val="2"/>
      </rPr>
      <t xml:space="preserve">  - Deposit sub type: Prepaid fixed deposit</t>
    </r>
    <r>
      <rPr>
        <sz val="10"/>
        <rFont val="Arial"/>
        <family val="2"/>
      </rPr>
      <t xml:space="preserve">
  - Catalogue status: Normal
</t>
    </r>
    <r>
      <rPr>
        <b/>
        <sz val="10"/>
        <rFont val="Arial"/>
        <family val="2"/>
      </rPr>
      <t xml:space="preserve">To account number
</t>
    </r>
    <r>
      <rPr>
        <sz val="10"/>
        <color rgb="FFFF0000"/>
        <rFont val="Arial"/>
        <family val="2"/>
      </rPr>
      <t xml:space="preserve">  - Deposit type is Fixed deposit</t>
    </r>
    <r>
      <rPr>
        <sz val="10"/>
        <rFont val="Arial"/>
        <family val="2"/>
      </rPr>
      <t xml:space="preserve">
  - Same customer type with deposit will open
  - Same customer code with deposit will open</t>
    </r>
  </si>
  <si>
    <r>
      <rPr>
        <b/>
        <sz val="10"/>
        <rFont val="Arial"/>
        <family val="2"/>
      </rPr>
      <t xml:space="preserve">Catalogue
</t>
    </r>
    <r>
      <rPr>
        <sz val="10"/>
        <rFont val="Arial"/>
        <family val="2"/>
      </rPr>
      <t xml:space="preserve">  - Deposit type: Fixed deposit
</t>
    </r>
    <r>
      <rPr>
        <sz val="10"/>
        <color rgb="FFFF0000"/>
        <rFont val="Arial"/>
        <family val="2"/>
      </rPr>
      <t xml:space="preserve">  - Deposit sub type: Prepaid fixed deposit
</t>
    </r>
    <r>
      <rPr>
        <sz val="10"/>
        <rFont val="Arial"/>
        <family val="2"/>
      </rPr>
      <t xml:space="preserve">  - Catalogue status: Normal
</t>
    </r>
    <r>
      <rPr>
        <b/>
        <sz val="10"/>
        <rFont val="Arial"/>
        <family val="2"/>
      </rPr>
      <t xml:space="preserve">To account number
</t>
    </r>
    <r>
      <rPr>
        <sz val="10"/>
        <rFont val="Arial"/>
        <family val="2"/>
      </rPr>
      <t xml:space="preserve">  - Deposit type: Current/ Saving
</t>
    </r>
    <r>
      <rPr>
        <sz val="10"/>
        <color rgb="FFFF0000"/>
        <rFont val="Arial"/>
        <family val="2"/>
      </rPr>
      <t xml:space="preserve">  - Deposit sub type: Shwe Cash call
</t>
    </r>
    <r>
      <rPr>
        <sz val="10"/>
        <rFont val="Arial"/>
        <family val="2"/>
      </rPr>
      <t xml:space="preserve">  - Same customer type with deposit will open
  - Same customer code with deposit will open</t>
    </r>
  </si>
  <si>
    <r>
      <rPr>
        <b/>
        <sz val="10"/>
        <rFont val="Arial"/>
        <family val="2"/>
      </rPr>
      <t xml:space="preserve">Catalogue
</t>
    </r>
    <r>
      <rPr>
        <sz val="10"/>
        <rFont val="Arial"/>
        <family val="2"/>
      </rPr>
      <t xml:space="preserve">  - Deposit type: Fixed deposit
</t>
    </r>
    <r>
      <rPr>
        <sz val="10"/>
        <color rgb="FFFF0000"/>
        <rFont val="Arial"/>
        <family val="2"/>
      </rPr>
      <t xml:space="preserve">  - Deposit sub type: Prepaid fixed deposit</t>
    </r>
    <r>
      <rPr>
        <sz val="10"/>
        <rFont val="Arial"/>
        <family val="2"/>
      </rPr>
      <t xml:space="preserve">
  - Catalogue status: Normal
</t>
    </r>
    <r>
      <rPr>
        <b/>
        <sz val="10"/>
        <rFont val="Arial"/>
        <family val="2"/>
      </rPr>
      <t xml:space="preserve">To account number
</t>
    </r>
    <r>
      <rPr>
        <sz val="10"/>
        <rFont val="Arial"/>
        <family val="2"/>
      </rPr>
      <t xml:space="preserve">  - Deposit type: Current/ Saving
  - Deposit sub type &lt;&gt; Shwe Cash call
</t>
    </r>
    <r>
      <rPr>
        <sz val="10"/>
        <color rgb="FFFF0000"/>
        <rFont val="Arial"/>
        <family val="2"/>
      </rPr>
      <t xml:space="preserve">  - Customer type different with deposit will open</t>
    </r>
    <r>
      <rPr>
        <sz val="10"/>
        <rFont val="Arial"/>
        <family val="2"/>
      </rPr>
      <t xml:space="preserve">
  - Same customer code with deposit will open</t>
    </r>
  </si>
  <si>
    <r>
      <rPr>
        <b/>
        <sz val="10"/>
        <rFont val="Arial"/>
        <family val="2"/>
      </rPr>
      <t>Catalogue</t>
    </r>
    <r>
      <rPr>
        <sz val="10"/>
        <rFont val="Arial"/>
        <family val="2"/>
      </rPr>
      <t xml:space="preserve">
</t>
    </r>
    <r>
      <rPr>
        <sz val="10"/>
        <color rgb="FFFF0000"/>
        <rFont val="Arial"/>
        <family val="2"/>
      </rPr>
      <t xml:space="preserve">  - Deposit sub type: Prepaid fixed deposit</t>
    </r>
    <r>
      <rPr>
        <sz val="10"/>
        <rFont val="Arial"/>
        <family val="2"/>
      </rPr>
      <t xml:space="preserve">
  - Catalogue status: Normal
</t>
    </r>
    <r>
      <rPr>
        <b/>
        <sz val="10"/>
        <rFont val="Arial"/>
        <family val="2"/>
      </rPr>
      <t xml:space="preserve">To account number
</t>
    </r>
    <r>
      <rPr>
        <sz val="10"/>
        <rFont val="Arial"/>
        <family val="2"/>
      </rPr>
      <t xml:space="preserve">  - Deposit type: Current/ Saving
  - Deposit sub type &lt;&gt; Shwe Cash call
  - Same customer type with deposit will open
</t>
    </r>
    <r>
      <rPr>
        <sz val="10"/>
        <color rgb="FFFF0000"/>
        <rFont val="Arial"/>
        <family val="2"/>
      </rPr>
      <t xml:space="preserve">  - Customer code different with deposit will open</t>
    </r>
  </si>
  <si>
    <r>
      <rPr>
        <b/>
        <sz val="10"/>
        <color rgb="FFFF0000"/>
        <rFont val="Arial"/>
        <family val="2"/>
      </rPr>
      <t>Account number does not exist</t>
    </r>
  </si>
  <si>
    <r>
      <rPr>
        <sz val="10"/>
        <color rgb="FFFF0000"/>
        <rFont val="Arial"/>
        <family val="2"/>
      </rPr>
      <t>Deposit status &lt;&gt; Pending to approve</t>
    </r>
  </si>
  <si>
    <r>
      <t xml:space="preserve">- Deposit status: Pending to approve
</t>
    </r>
    <r>
      <rPr>
        <sz val="10"/>
        <color rgb="FFFF0000"/>
        <rFont val="Arial"/>
        <family val="2"/>
      </rPr>
      <t>- Branch account different with branch with teller</t>
    </r>
  </si>
  <si>
    <r>
      <rPr>
        <sz val="10"/>
        <color rgb="FFFF0000"/>
        <rFont val="Arial"/>
        <family val="2"/>
      </rPr>
      <t>- Deposit status &lt;&gt; Pending to approve</t>
    </r>
    <r>
      <rPr>
        <sz val="10"/>
        <color theme="1"/>
        <rFont val="Arial"/>
        <family val="2"/>
      </rPr>
      <t xml:space="preserve">
- Branch account same branch with teller</t>
    </r>
  </si>
  <si>
    <t>Account number is empty</t>
  </si>
  <si>
    <t>Account number does not exist</t>
  </si>
  <si>
    <t>Account deposit &lt;= 0</t>
  </si>
  <si>
    <r>
      <rPr>
        <b/>
        <sz val="10"/>
        <rFont val="Arial"/>
        <family val="2"/>
      </rPr>
      <t>Deposit account</t>
    </r>
    <r>
      <rPr>
        <sz val="10"/>
        <color rgb="FF00B0F0"/>
        <rFont val="Arial"/>
        <family val="2"/>
      </rPr>
      <t xml:space="preserve">
</t>
    </r>
    <r>
      <rPr>
        <sz val="10"/>
        <rFont val="Arial"/>
        <family val="2"/>
      </rPr>
      <t xml:space="preserve">  - Deposit type: Current/ Saving/ Fixed deposit
</t>
    </r>
    <r>
      <rPr>
        <sz val="10"/>
        <color rgb="FFFF0000"/>
        <rFont val="Arial"/>
        <family val="2"/>
      </rPr>
      <t xml:space="preserve">  - Deposit status: New
  - Deposit amount &lt; Initial deposit amount
</t>
    </r>
    <r>
      <rPr>
        <b/>
        <sz val="10"/>
        <rFont val="Arial"/>
        <family val="2"/>
      </rPr>
      <t>Teller does this transaction</t>
    </r>
    <r>
      <rPr>
        <sz val="10"/>
        <rFont val="Arial"/>
        <family val="2"/>
      </rPr>
      <t xml:space="preserve">
  - User has right to do transaction related to cash</t>
    </r>
  </si>
  <si>
    <r>
      <rPr>
        <b/>
        <sz val="10"/>
        <rFont val="Arial"/>
        <family val="2"/>
      </rPr>
      <t>Deposit account</t>
    </r>
    <r>
      <rPr>
        <sz val="10"/>
        <color rgb="FF00B0F0"/>
        <rFont val="Arial"/>
        <family val="2"/>
      </rPr>
      <t xml:space="preserve">
  </t>
    </r>
    <r>
      <rPr>
        <sz val="10"/>
        <rFont val="Arial"/>
        <family val="2"/>
      </rPr>
      <t xml:space="preserve">- Deposit type: Fixed deposit
  - Deposit sub type: Prepaid fixed deposit
  - Deposit status: New/ Normal
  - Deposit amount &gt;= Initial deposit amount
</t>
    </r>
    <r>
      <rPr>
        <b/>
        <sz val="10"/>
        <rFont val="Arial"/>
        <family val="2"/>
      </rPr>
      <t xml:space="preserve">Linkage account
</t>
    </r>
    <r>
      <rPr>
        <sz val="10"/>
        <color rgb="FFFF0000"/>
        <rFont val="Arial"/>
        <family val="2"/>
      </rPr>
      <t xml:space="preserve">  - Deposit status &lt;&gt; Normal</t>
    </r>
    <r>
      <rPr>
        <sz val="10"/>
        <rFont val="Arial"/>
        <family val="2"/>
      </rPr>
      <t xml:space="preserve">
</t>
    </r>
    <r>
      <rPr>
        <b/>
        <sz val="10"/>
        <rFont val="Arial"/>
        <family val="2"/>
      </rPr>
      <t>Teller does this transaction</t>
    </r>
    <r>
      <rPr>
        <sz val="10"/>
        <rFont val="Arial"/>
        <family val="2"/>
      </rPr>
      <t xml:space="preserve">
  - User has right to do transaction related to cash</t>
    </r>
  </si>
  <si>
    <r>
      <rPr>
        <b/>
        <sz val="10"/>
        <rFont val="Arial"/>
        <family val="2"/>
      </rPr>
      <t>Deposit account</t>
    </r>
    <r>
      <rPr>
        <sz val="10"/>
        <color rgb="FF00B0F0"/>
        <rFont val="Arial"/>
        <family val="2"/>
      </rPr>
      <t xml:space="preserve">
</t>
    </r>
    <r>
      <rPr>
        <sz val="10"/>
        <rFont val="Arial"/>
        <family val="2"/>
      </rPr>
      <t xml:space="preserve">  - Deposit type: </t>
    </r>
    <r>
      <rPr>
        <sz val="10"/>
        <color theme="1"/>
        <rFont val="Arial"/>
        <family val="2"/>
      </rPr>
      <t>Current/ Saving/ Fixed deposit</t>
    </r>
    <r>
      <rPr>
        <sz val="10"/>
        <rFont val="Arial"/>
        <family val="2"/>
      </rPr>
      <t xml:space="preserve">
</t>
    </r>
    <r>
      <rPr>
        <sz val="10"/>
        <color rgb="FFFF0000"/>
        <rFont val="Arial"/>
        <family val="2"/>
      </rPr>
      <t xml:space="preserve">  - Deposit status &lt;&gt; New/ Normal/ Dormant
  - Multiple deposit allow: Yes
</t>
    </r>
    <r>
      <rPr>
        <b/>
        <sz val="10"/>
        <rFont val="Arial"/>
        <family val="2"/>
      </rPr>
      <t>Teller does this transaction</t>
    </r>
    <r>
      <rPr>
        <sz val="10"/>
        <rFont val="Arial"/>
        <family val="2"/>
      </rPr>
      <t xml:space="preserve">
 - User has right to do transaction related to cash</t>
    </r>
  </si>
  <si>
    <r>
      <rPr>
        <b/>
        <sz val="10"/>
        <rFont val="Arial"/>
        <family val="2"/>
      </rPr>
      <t>Deposit account</t>
    </r>
    <r>
      <rPr>
        <sz val="10"/>
        <color rgb="FF00B0F0"/>
        <rFont val="Arial"/>
        <family val="2"/>
      </rPr>
      <t xml:space="preserve">
</t>
    </r>
    <r>
      <rPr>
        <sz val="10"/>
        <color rgb="FFFF0000"/>
        <rFont val="Arial"/>
        <family val="2"/>
      </rPr>
      <t xml:space="preserve">  - Deposit type: Fixed deposit
  - Deposit status: Normal
  - Multiple deposit allow &lt;&gt; Yes
</t>
    </r>
    <r>
      <rPr>
        <b/>
        <sz val="10"/>
        <rFont val="Arial"/>
        <family val="2"/>
      </rPr>
      <t>Teller does this transaction</t>
    </r>
    <r>
      <rPr>
        <sz val="10"/>
        <rFont val="Arial"/>
        <family val="2"/>
      </rPr>
      <t xml:space="preserve">
 - User has right to do transaction related to cash</t>
    </r>
  </si>
  <si>
    <r>
      <rPr>
        <b/>
        <sz val="10"/>
        <rFont val="Arial"/>
        <family val="2"/>
      </rPr>
      <t>Deposit account</t>
    </r>
    <r>
      <rPr>
        <sz val="10"/>
        <color rgb="FF00B0F0"/>
        <rFont val="Arial"/>
        <family val="2"/>
      </rPr>
      <t xml:space="preserve">
</t>
    </r>
    <r>
      <rPr>
        <sz val="10"/>
        <rFont val="Arial"/>
        <family val="2"/>
      </rPr>
      <t xml:space="preserve">  - Deposit type: </t>
    </r>
    <r>
      <rPr>
        <sz val="10"/>
        <color theme="1"/>
        <rFont val="Arial"/>
        <family val="2"/>
      </rPr>
      <t>Current/ Saving/ Fixed deposit</t>
    </r>
    <r>
      <rPr>
        <sz val="10"/>
        <rFont val="Arial"/>
        <family val="2"/>
      </rPr>
      <t xml:space="preserve">
  - Deposit status: Normal
</t>
    </r>
    <r>
      <rPr>
        <b/>
        <sz val="10"/>
        <rFont val="Arial"/>
        <family val="2"/>
      </rPr>
      <t>Teller does this transaction</t>
    </r>
    <r>
      <rPr>
        <sz val="10"/>
        <rFont val="Arial"/>
        <family val="2"/>
      </rPr>
      <t xml:space="preserve">
</t>
    </r>
    <r>
      <rPr>
        <sz val="10"/>
        <color rgb="FFFF0000"/>
        <rFont val="Arial"/>
        <family val="2"/>
      </rPr>
      <t xml:space="preserve"> - User has NO right to do transaction related to cash</t>
    </r>
  </si>
  <si>
    <t>Debit accounting is empty</t>
  </si>
  <si>
    <t>Debit accounting does not exist</t>
  </si>
  <si>
    <r>
      <rPr>
        <b/>
        <sz val="10"/>
        <rFont val="Arial"/>
        <family val="2"/>
      </rPr>
      <t>Deposit account</t>
    </r>
    <r>
      <rPr>
        <sz val="10"/>
        <color rgb="FF00B0F0"/>
        <rFont val="Arial"/>
        <family val="2"/>
      </rPr>
      <t xml:space="preserve">
</t>
    </r>
    <r>
      <rPr>
        <sz val="10"/>
        <rFont val="Arial"/>
        <family val="2"/>
      </rPr>
      <t xml:space="preserve">  - Deposit type: Current/ Saving/ Fixed deposit
  - Deposit sub type &lt;&gt;"Shwe cash call deposit account"
</t>
    </r>
    <r>
      <rPr>
        <sz val="10"/>
        <color rgb="FFFF0000"/>
        <rFont val="Arial"/>
        <family val="2"/>
      </rPr>
      <t xml:space="preserve">  - Deposit status: New
  - Deposit amount &lt; Initial deposit amount
</t>
    </r>
    <r>
      <rPr>
        <b/>
        <sz val="10"/>
        <rFont val="Arial"/>
        <family val="2"/>
      </rPr>
      <t>GL account</t>
    </r>
    <r>
      <rPr>
        <sz val="10"/>
        <rFont val="Arial"/>
        <family val="2"/>
      </rPr>
      <t xml:space="preserve">
  - Posting side: Debit/ Both
  - Account level: 9
  - GL currency = Deposit currency
</t>
    </r>
    <r>
      <rPr>
        <b/>
        <sz val="10"/>
        <rFont val="Arial"/>
        <family val="2"/>
      </rPr>
      <t>Deposit amount &gt;= Total fee</t>
    </r>
  </si>
  <si>
    <r>
      <rPr>
        <b/>
        <sz val="10"/>
        <rFont val="Arial"/>
        <family val="2"/>
      </rPr>
      <t>Deposit account</t>
    </r>
    <r>
      <rPr>
        <sz val="10"/>
        <color rgb="FF00B0F0"/>
        <rFont val="Arial"/>
        <family val="2"/>
      </rPr>
      <t xml:space="preserve">
</t>
    </r>
    <r>
      <rPr>
        <sz val="10"/>
        <color rgb="FFFF0000"/>
        <rFont val="Arial"/>
        <family val="2"/>
      </rPr>
      <t xml:space="preserve">  - Deposit type: Current
  - Deposit status: Dormant
</t>
    </r>
    <r>
      <rPr>
        <sz val="10"/>
        <rFont val="Arial"/>
        <family val="2"/>
      </rPr>
      <t xml:space="preserve">  - Deposit amount &gt; 0
</t>
    </r>
    <r>
      <rPr>
        <b/>
        <sz val="10"/>
        <rFont val="Arial"/>
        <family val="2"/>
      </rPr>
      <t>GL account</t>
    </r>
    <r>
      <rPr>
        <sz val="10"/>
        <rFont val="Arial"/>
        <family val="2"/>
      </rPr>
      <t xml:space="preserve">
  - Posting side: Debit/ Both
  - Account level: 9
  - GL currency = Deposit currency
</t>
    </r>
    <r>
      <rPr>
        <b/>
        <sz val="10"/>
        <rFont val="Arial"/>
        <family val="2"/>
      </rPr>
      <t>Deposit amount &gt;= Total fee</t>
    </r>
  </si>
  <si>
    <r>
      <rPr>
        <b/>
        <sz val="10"/>
        <rFont val="Arial"/>
        <family val="2"/>
      </rPr>
      <t>Deposit account</t>
    </r>
    <r>
      <rPr>
        <sz val="10"/>
        <color rgb="FF00B0F0"/>
        <rFont val="Arial"/>
        <family val="2"/>
      </rPr>
      <t xml:space="preserve">
</t>
    </r>
    <r>
      <rPr>
        <sz val="10"/>
        <color rgb="FFFF0000"/>
        <rFont val="Arial"/>
        <family val="2"/>
      </rPr>
      <t xml:space="preserve">  - Deposit type: Saving</t>
    </r>
    <r>
      <rPr>
        <b/>
        <sz val="10"/>
        <color rgb="FFFF0000"/>
        <rFont val="Arial"/>
        <family val="2"/>
      </rPr>
      <t xml:space="preserve">
</t>
    </r>
    <r>
      <rPr>
        <sz val="10"/>
        <rFont val="Arial"/>
        <family val="2"/>
      </rPr>
      <t xml:space="preserve">  - Deposit sub type &lt;&gt;"Shwe cash call deposit account"
</t>
    </r>
    <r>
      <rPr>
        <sz val="10"/>
        <color rgb="FFFF0000"/>
        <rFont val="Arial"/>
        <family val="2"/>
      </rPr>
      <t xml:space="preserve">  - Deposit status: Dormant</t>
    </r>
    <r>
      <rPr>
        <sz val="10"/>
        <color rgb="FF00B0F0"/>
        <rFont val="Arial"/>
        <family val="2"/>
      </rPr>
      <t xml:space="preserve">
</t>
    </r>
    <r>
      <rPr>
        <sz val="10"/>
        <rFont val="Arial"/>
        <family val="2"/>
      </rPr>
      <t xml:space="preserve">  - Deposit amount &gt; 0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Deposit amount &gt;= Total fee</t>
    </r>
  </si>
  <si>
    <r>
      <rPr>
        <b/>
        <sz val="10"/>
        <rFont val="Arial"/>
        <family val="2"/>
      </rPr>
      <t>Deposit account</t>
    </r>
    <r>
      <rPr>
        <sz val="10"/>
        <color rgb="FF00B0F0"/>
        <rFont val="Arial"/>
        <family val="2"/>
      </rPr>
      <t xml:space="preserve">
</t>
    </r>
    <r>
      <rPr>
        <sz val="10"/>
        <color rgb="FFFF0000"/>
        <rFont val="Arial"/>
        <family val="2"/>
      </rPr>
      <t xml:space="preserve">  - Deposit type: Fixed deposit
  - Deposit sub type: Prepaid fixed deposit
</t>
    </r>
    <r>
      <rPr>
        <sz val="10"/>
        <rFont val="Arial"/>
        <family val="2"/>
      </rPr>
      <t xml:space="preserve">  - Deposit status: </t>
    </r>
    <r>
      <rPr>
        <sz val="10"/>
        <color rgb="FFFF0000"/>
        <rFont val="Arial"/>
        <family val="2"/>
      </rPr>
      <t>New</t>
    </r>
    <r>
      <rPr>
        <sz val="10"/>
        <rFont val="Arial"/>
        <family val="2"/>
      </rPr>
      <t xml:space="preserve">
</t>
    </r>
    <r>
      <rPr>
        <sz val="10"/>
        <color rgb="FFFF0000"/>
        <rFont val="Arial"/>
        <family val="2"/>
      </rPr>
      <t xml:space="preserve">  - Deposit amount &gt;= Initial deposit amount</t>
    </r>
    <r>
      <rPr>
        <sz val="10"/>
        <rFont val="Arial"/>
        <family val="2"/>
      </rPr>
      <t xml:space="preserve">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Deposit amount &gt;= Total fee</t>
    </r>
  </si>
  <si>
    <r>
      <rPr>
        <b/>
        <sz val="10"/>
        <rFont val="Arial"/>
        <family val="2"/>
      </rPr>
      <t>Deposit account</t>
    </r>
    <r>
      <rPr>
        <sz val="10"/>
        <color rgb="FF00B0F0"/>
        <rFont val="Arial"/>
        <family val="2"/>
      </rPr>
      <t xml:space="preserve">
</t>
    </r>
    <r>
      <rPr>
        <sz val="10"/>
        <color rgb="FFFF0000"/>
        <rFont val="Arial"/>
        <family val="2"/>
      </rPr>
      <t xml:space="preserve">  - Deposit type: Fixed deposit
  - Deposit sub type: Prepaid fixed deposit
</t>
    </r>
    <r>
      <rPr>
        <sz val="10"/>
        <rFont val="Arial"/>
        <family val="2"/>
      </rPr>
      <t xml:space="preserve">  - Deposit status: </t>
    </r>
    <r>
      <rPr>
        <sz val="10"/>
        <color rgb="FFFF0000"/>
        <rFont val="Arial"/>
        <family val="2"/>
      </rPr>
      <t>Normal</t>
    </r>
    <r>
      <rPr>
        <sz val="10"/>
        <rFont val="Arial"/>
        <family val="2"/>
      </rPr>
      <t xml:space="preserve">
  - </t>
    </r>
    <r>
      <rPr>
        <sz val="10"/>
        <color rgb="FFFF0000"/>
        <rFont val="Arial"/>
        <family val="2"/>
      </rPr>
      <t>Deposit amount &gt; 0</t>
    </r>
    <r>
      <rPr>
        <sz val="10"/>
        <rFont val="Arial"/>
        <family val="2"/>
      </rPr>
      <t xml:space="preserve">
  - </t>
    </r>
    <r>
      <rPr>
        <sz val="10"/>
        <color rgb="FFFF0000"/>
        <rFont val="Arial"/>
        <family val="2"/>
      </rPr>
      <t>Multiple deposit allow: Yes</t>
    </r>
    <r>
      <rPr>
        <sz val="10"/>
        <rFont val="Arial"/>
        <family val="2"/>
      </rPr>
      <t xml:space="preserve">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Deposit amount &gt;= Total fee</t>
    </r>
  </si>
  <si>
    <r>
      <rPr>
        <b/>
        <sz val="10"/>
        <rFont val="Arial"/>
        <family val="2"/>
      </rPr>
      <t>Deposit account</t>
    </r>
    <r>
      <rPr>
        <sz val="10"/>
        <color rgb="FF00B0F0"/>
        <rFont val="Arial"/>
        <family val="2"/>
      </rPr>
      <t xml:space="preserve">
</t>
    </r>
    <r>
      <rPr>
        <sz val="10"/>
        <rFont val="Arial"/>
        <family val="2"/>
      </rPr>
      <t xml:space="preserve">  - Deposit type: Current
</t>
    </r>
    <r>
      <rPr>
        <sz val="10"/>
        <color rgb="FFFF0000"/>
        <rFont val="Arial"/>
        <family val="2"/>
      </rPr>
      <t xml:space="preserve">  - Deposit status &lt;&gt;  New/ Normal
</t>
    </r>
    <r>
      <rPr>
        <sz val="10"/>
        <color rgb="FF00B0F0"/>
        <rFont val="Arial"/>
        <family val="2"/>
      </rPr>
      <t xml:space="preserve">  - </t>
    </r>
    <r>
      <rPr>
        <sz val="10"/>
        <rFont val="Arial"/>
        <family val="2"/>
      </rPr>
      <t xml:space="preserve">Deposit amount &gt; 0
</t>
    </r>
    <r>
      <rPr>
        <b/>
        <sz val="10"/>
        <rFont val="Arial"/>
        <family val="2"/>
      </rPr>
      <t>GL account</t>
    </r>
    <r>
      <rPr>
        <sz val="10"/>
        <rFont val="Arial"/>
        <family val="2"/>
      </rPr>
      <t xml:space="preserve">
  - Posting side: Debit/ Both
  - Account level: 9
  - GL currency = Deposit currency
  - Account group &lt;&gt; Cash
  - Direct posting: Yes
  - Branch account = Branch teller
</t>
    </r>
    <r>
      <rPr>
        <b/>
        <sz val="10"/>
        <rFont val="Arial"/>
        <family val="2"/>
      </rPr>
      <t>Deposit amount &gt;= Total fee</t>
    </r>
  </si>
  <si>
    <r>
      <rPr>
        <b/>
        <sz val="10"/>
        <rFont val="Arial"/>
        <family val="2"/>
      </rPr>
      <t>Deposit account</t>
    </r>
    <r>
      <rPr>
        <sz val="10"/>
        <color rgb="FF00B0F0"/>
        <rFont val="Arial"/>
        <family val="2"/>
      </rPr>
      <t xml:space="preserve">
</t>
    </r>
    <r>
      <rPr>
        <sz val="10"/>
        <rFont val="Arial"/>
        <family val="2"/>
      </rPr>
      <t xml:space="preserve">  - Deposit type: Current/ Saving/ Fixed deposit
  - Deposit sub type &lt;&gt;"Shwe cash call deposit account"
  - Deposit status: New/ Normal</t>
    </r>
    <r>
      <rPr>
        <sz val="10"/>
        <color rgb="FF00B0F0"/>
        <rFont val="Arial"/>
        <family val="2"/>
      </rPr>
      <t xml:space="preserve">
  - </t>
    </r>
    <r>
      <rPr>
        <sz val="10"/>
        <rFont val="Arial"/>
        <family val="2"/>
      </rPr>
      <t xml:space="preserve">Deposit amount &gt;= Initial deposit amount
</t>
    </r>
    <r>
      <rPr>
        <b/>
        <sz val="10"/>
        <rFont val="Arial"/>
        <family val="2"/>
      </rPr>
      <t>GL account</t>
    </r>
    <r>
      <rPr>
        <sz val="10"/>
        <rFont val="Arial"/>
        <family val="2"/>
      </rPr>
      <t xml:space="preserve">
</t>
    </r>
    <r>
      <rPr>
        <sz val="10"/>
        <color rgb="FFFF0000"/>
        <rFont val="Arial"/>
        <family val="2"/>
      </rPr>
      <t xml:space="preserve">  - Posting side &lt;&gt; Debit/ Both</t>
    </r>
    <r>
      <rPr>
        <sz val="10"/>
        <rFont val="Arial"/>
        <family val="2"/>
      </rPr>
      <t xml:space="preserve">
  - Account level: 9
  - GL currency = Deposit currency
  - Account group &lt;&gt; Cash
  - Direct posting: Yes
  - Branch account = Branch teller
</t>
    </r>
    <r>
      <rPr>
        <b/>
        <sz val="10"/>
        <rFont val="Arial"/>
        <family val="2"/>
      </rPr>
      <t>Deposit amount &gt;= Total fee</t>
    </r>
  </si>
  <si>
    <r>
      <rPr>
        <b/>
        <sz val="10"/>
        <rFont val="Arial"/>
        <family val="2"/>
      </rPr>
      <t>Deposit account</t>
    </r>
    <r>
      <rPr>
        <sz val="10"/>
        <color rgb="FF00B0F0"/>
        <rFont val="Arial"/>
        <family val="2"/>
      </rPr>
      <t xml:space="preserve">
</t>
    </r>
    <r>
      <rPr>
        <sz val="10"/>
        <rFont val="Arial"/>
        <family val="2"/>
      </rPr>
      <t xml:space="preserve">  - Deposit type: Current/ Saving/ Fixed deposit
  - Deposit sub type &lt;&gt;"Shwe cash call deposit account"
  - Deposit status: New/ Normal</t>
    </r>
    <r>
      <rPr>
        <sz val="10"/>
        <color rgb="FF00B0F0"/>
        <rFont val="Arial"/>
        <family val="2"/>
      </rPr>
      <t xml:space="preserve">
  - </t>
    </r>
    <r>
      <rPr>
        <sz val="10"/>
        <rFont val="Arial"/>
        <family val="2"/>
      </rPr>
      <t xml:space="preserve">Deposit amount &gt;= Initial deposit amount
</t>
    </r>
    <r>
      <rPr>
        <b/>
        <sz val="10"/>
        <rFont val="Arial"/>
        <family val="2"/>
      </rPr>
      <t>GL account</t>
    </r>
    <r>
      <rPr>
        <sz val="10"/>
        <rFont val="Arial"/>
        <family val="2"/>
      </rPr>
      <t xml:space="preserve">
  - Posting side: Debit/ Both
</t>
    </r>
    <r>
      <rPr>
        <sz val="10"/>
        <color rgb="FFFF0000"/>
        <rFont val="Arial"/>
        <family val="2"/>
      </rPr>
      <t xml:space="preserve">  - Account level &lt;&gt; 9</t>
    </r>
    <r>
      <rPr>
        <sz val="10"/>
        <rFont val="Arial"/>
        <family val="2"/>
      </rPr>
      <t xml:space="preserve">
  - GL currency = Deposit currency
  - Account group &lt;&gt; Cash
  - Direct posting: Yes
  - Branch account = Branch teller</t>
    </r>
  </si>
  <si>
    <r>
      <rPr>
        <b/>
        <sz val="10"/>
        <rFont val="Arial"/>
        <family val="2"/>
      </rPr>
      <t>Deposit account</t>
    </r>
    <r>
      <rPr>
        <sz val="10"/>
        <rFont val="Arial"/>
        <family val="2"/>
      </rPr>
      <t xml:space="preserve">
  - Deposit type: Current/ Saving/ Fixed deposit
  - Deposit sub type &lt;&gt;"Shwe cash call deposit account"
  - Deposit status: New/ Normal
  - Deposit amount &gt;= Initial deposit amount
</t>
    </r>
    <r>
      <rPr>
        <b/>
        <sz val="10"/>
        <rFont val="Arial"/>
        <family val="2"/>
      </rPr>
      <t>GL account</t>
    </r>
    <r>
      <rPr>
        <sz val="10"/>
        <rFont val="Arial"/>
        <family val="2"/>
      </rPr>
      <t xml:space="preserve">
  - Posting side: Debit/ Both
  - Account level: 9
  - GL currency = Deposit currency</t>
    </r>
    <r>
      <rPr>
        <b/>
        <sz val="10"/>
        <rFont val="Arial"/>
        <family val="2"/>
      </rPr>
      <t xml:space="preserve">
</t>
    </r>
    <r>
      <rPr>
        <sz val="10"/>
        <rFont val="Arial"/>
        <family val="2"/>
      </rPr>
      <t xml:space="preserve">  - Account group &lt;&gt; Cash
  - Direct posting: Yes
</t>
    </r>
    <r>
      <rPr>
        <sz val="10"/>
        <color rgb="FFFF0000"/>
        <rFont val="Arial"/>
        <family val="2"/>
      </rPr>
      <t xml:space="preserve">  - Branch account &lt;&gt; Branch teller</t>
    </r>
  </si>
  <si>
    <r>
      <rPr>
        <b/>
        <sz val="10"/>
        <rFont val="Arial"/>
        <family val="2"/>
      </rPr>
      <t>Deposit account</t>
    </r>
    <r>
      <rPr>
        <sz val="10"/>
        <color rgb="FF00B0F0"/>
        <rFont val="Arial"/>
        <family val="2"/>
      </rPr>
      <t xml:space="preserve">
</t>
    </r>
    <r>
      <rPr>
        <sz val="10"/>
        <rFont val="Arial"/>
        <family val="2"/>
      </rPr>
      <t xml:space="preserve">  - Deposit type: Current/ Saving/ Fixed deposit
  - Deposit sub type &lt;&gt;"Shwe cash call deposit account"
  - Deposit status: New/ Normal</t>
    </r>
    <r>
      <rPr>
        <sz val="10"/>
        <color rgb="FF00B0F0"/>
        <rFont val="Arial"/>
        <family val="2"/>
      </rPr>
      <t xml:space="preserve">
  - </t>
    </r>
    <r>
      <rPr>
        <sz val="10"/>
        <rFont val="Arial"/>
        <family val="2"/>
      </rPr>
      <t xml:space="preserve">Deposit amount &gt;= Initial deposit amount
</t>
    </r>
    <r>
      <rPr>
        <b/>
        <sz val="10"/>
        <rFont val="Arial"/>
        <family val="2"/>
      </rPr>
      <t>GL account</t>
    </r>
    <r>
      <rPr>
        <sz val="10"/>
        <rFont val="Arial"/>
        <family val="2"/>
      </rPr>
      <t xml:space="preserve">
  - Posting side: Debit/ Both
  - Account level: 9
  - GL currency = deposit currency
</t>
    </r>
    <r>
      <rPr>
        <sz val="10"/>
        <color rgb="FFFF0000"/>
        <rFont val="Arial"/>
        <family val="2"/>
      </rPr>
      <t>Deposit amount &lt; Total fee</t>
    </r>
  </si>
  <si>
    <r>
      <rPr>
        <b/>
        <sz val="10"/>
        <rFont val="Arial"/>
        <family val="2"/>
      </rPr>
      <t>Deposit account</t>
    </r>
    <r>
      <rPr>
        <sz val="10"/>
        <color rgb="FF00B0F0"/>
        <rFont val="Arial"/>
        <family val="2"/>
      </rPr>
      <t xml:space="preserve">
</t>
    </r>
    <r>
      <rPr>
        <sz val="10"/>
        <rFont val="Arial"/>
        <family val="2"/>
      </rPr>
      <t xml:space="preserve">  - Deposit type: Current/ Saving/ Fixed deposit
  - Deposit sub type &lt;&gt;"Shwe cash call deposit account"
  - Deposit status: New/ Normal</t>
    </r>
    <r>
      <rPr>
        <sz val="10"/>
        <color rgb="FF00B0F0"/>
        <rFont val="Arial"/>
        <family val="2"/>
      </rPr>
      <t xml:space="preserve">
  - </t>
    </r>
    <r>
      <rPr>
        <sz val="10"/>
        <rFont val="Arial"/>
        <family val="2"/>
      </rPr>
      <t xml:space="preserve">Deposit amount &gt;= Initial deposit amount
</t>
    </r>
    <r>
      <rPr>
        <b/>
        <sz val="10"/>
        <rFont val="Arial"/>
        <family val="2"/>
      </rPr>
      <t>GL account</t>
    </r>
    <r>
      <rPr>
        <sz val="10"/>
        <rFont val="Arial"/>
        <family val="2"/>
      </rPr>
      <t xml:space="preserve">
  - Posting side: Debit/ Both
  - Account level: 9
</t>
    </r>
    <r>
      <rPr>
        <sz val="10"/>
        <color rgb="FFFF0000"/>
        <rFont val="Arial"/>
        <family val="2"/>
      </rPr>
      <t xml:space="preserve">  - GL currency &lt;&gt; Deposit currency</t>
    </r>
    <r>
      <rPr>
        <b/>
        <sz val="10"/>
        <color rgb="FFFF0000"/>
        <rFont val="Arial"/>
        <family val="2"/>
      </rPr>
      <t xml:space="preserve">
</t>
    </r>
    <r>
      <rPr>
        <sz val="10"/>
        <rFont val="Arial"/>
        <family val="2"/>
      </rPr>
      <t xml:space="preserve">  - Account group &lt;&gt; Cash
  - Direct posting: Yes
  - Branch account = Branch teller</t>
    </r>
  </si>
  <si>
    <t>Withdrawal amount &lt;= 0</t>
  </si>
  <si>
    <r>
      <rPr>
        <b/>
        <sz val="10"/>
        <rFont val="Arial"/>
        <family val="2"/>
      </rPr>
      <t xml:space="preserve">Deposit account
</t>
    </r>
    <r>
      <rPr>
        <sz val="10"/>
        <color rgb="FFFF0000"/>
        <rFont val="Arial"/>
        <family val="2"/>
      </rPr>
      <t xml:space="preserve">  - Deposit type &lt;&gt; Saving</t>
    </r>
    <r>
      <rPr>
        <sz val="10"/>
        <rFont val="Arial"/>
        <family val="2"/>
      </rPr>
      <t xml:space="preserve">
  - Deposit status: Normal
  - 0 &lt; Withdrawal amount &lt;= Available balance
  - Deposit has passbook
</t>
    </r>
    <r>
      <rPr>
        <b/>
        <sz val="10"/>
        <rFont val="Arial"/>
        <family val="2"/>
      </rPr>
      <t xml:space="preserve">Teller does this transaction
</t>
    </r>
    <r>
      <rPr>
        <sz val="10"/>
        <rFont val="Arial"/>
        <family val="2"/>
      </rPr>
      <t xml:space="preserve">  - User has right to do transaction related to cash
  - User has enough cash to withdraw  </t>
    </r>
  </si>
  <si>
    <r>
      <rPr>
        <b/>
        <sz val="10"/>
        <color theme="1"/>
        <rFont val="Arial"/>
        <family val="2"/>
      </rPr>
      <t>Deposit account</t>
    </r>
    <r>
      <rPr>
        <sz val="10"/>
        <color theme="1"/>
        <rFont val="Arial"/>
        <family val="2"/>
      </rPr>
      <t xml:space="preserve">
  - Deposit type: Saving
</t>
    </r>
    <r>
      <rPr>
        <sz val="10"/>
        <color rgb="FFFF0000"/>
        <rFont val="Arial"/>
        <family val="2"/>
      </rPr>
      <t xml:space="preserve">  - Deposit status &lt;&gt; Normal/ Dormant</t>
    </r>
    <r>
      <rPr>
        <sz val="10"/>
        <color theme="1"/>
        <rFont val="Arial"/>
        <family val="2"/>
      </rPr>
      <t xml:space="preserve">
  - 0 &lt; Withdrawal amount &lt;= Available balance
  - Deposit has passbook
</t>
    </r>
    <r>
      <rPr>
        <b/>
        <sz val="10"/>
        <color theme="1"/>
        <rFont val="Arial"/>
        <family val="2"/>
      </rPr>
      <t>Teller does this transaction</t>
    </r>
    <r>
      <rPr>
        <sz val="10"/>
        <color theme="1"/>
        <rFont val="Arial"/>
        <family val="2"/>
      </rPr>
      <t xml:space="preserve">
  - User has right to do transaction related to cash
  - User has enough cash to withdraw  </t>
    </r>
  </si>
  <si>
    <r>
      <rPr>
        <b/>
        <sz val="10"/>
        <rFont val="Arial"/>
        <family val="2"/>
      </rPr>
      <t xml:space="preserve">Deposit account
</t>
    </r>
    <r>
      <rPr>
        <sz val="10"/>
        <rFont val="Arial"/>
        <family val="2"/>
      </rPr>
      <t xml:space="preserve">  - Deposit type: Saving
  - Deposit status: Normal
</t>
    </r>
    <r>
      <rPr>
        <sz val="10"/>
        <color rgb="FFFF0000"/>
        <rFont val="Arial"/>
        <family val="2"/>
      </rPr>
      <t xml:space="preserve">  - Withdrawal amount &gt; Available balance</t>
    </r>
    <r>
      <rPr>
        <sz val="10"/>
        <rFont val="Arial"/>
        <family val="2"/>
      </rPr>
      <t xml:space="preserve">
  - Deposit has passbook
</t>
    </r>
    <r>
      <rPr>
        <b/>
        <sz val="10"/>
        <rFont val="Arial"/>
        <family val="2"/>
      </rPr>
      <t xml:space="preserve">Teller does this transaction
</t>
    </r>
    <r>
      <rPr>
        <sz val="10"/>
        <rFont val="Arial"/>
        <family val="2"/>
      </rPr>
      <t xml:space="preserve">  - User has right to do transaction related to cash
  - User have enough cash to withdraw  </t>
    </r>
  </si>
  <si>
    <r>
      <rPr>
        <b/>
        <sz val="10"/>
        <rFont val="Arial"/>
        <family val="2"/>
      </rPr>
      <t xml:space="preserve">Deposit account
</t>
    </r>
    <r>
      <rPr>
        <sz val="10"/>
        <rFont val="Arial"/>
        <family val="2"/>
      </rPr>
      <t xml:space="preserve">  - Deposit type: Saving
  - Deposit status: Normal
  - 0 &lt; Withdrawal amount &lt;= Available balance
</t>
    </r>
    <r>
      <rPr>
        <sz val="10"/>
        <color rgb="FFFF0000"/>
        <rFont val="Arial"/>
        <family val="2"/>
      </rPr>
      <t xml:space="preserve">  - Deposit has NO passbook
</t>
    </r>
    <r>
      <rPr>
        <b/>
        <sz val="10"/>
        <rFont val="Arial"/>
        <family val="2"/>
      </rPr>
      <t xml:space="preserve">Teller does this transaction
</t>
    </r>
    <r>
      <rPr>
        <sz val="10"/>
        <rFont val="Arial"/>
        <family val="2"/>
      </rPr>
      <t xml:space="preserve">  - User has right to do transaction related to cash
  - User has enough cash to withdraw  </t>
    </r>
  </si>
  <si>
    <r>
      <rPr>
        <b/>
        <sz val="10"/>
        <rFont val="Arial"/>
        <family val="2"/>
      </rPr>
      <t xml:space="preserve">Deposit account
</t>
    </r>
    <r>
      <rPr>
        <sz val="10"/>
        <rFont val="Arial"/>
        <family val="2"/>
      </rPr>
      <t xml:space="preserve">  - Deposit type: Saving
  - Deposit status: Normal
  - 0 &lt; Withdrawal amount &lt;= Available balance
  - Deposit has passbook
</t>
    </r>
    <r>
      <rPr>
        <b/>
        <sz val="10"/>
        <rFont val="Arial"/>
        <family val="2"/>
      </rPr>
      <t xml:space="preserve">Teller does this transaction
</t>
    </r>
    <r>
      <rPr>
        <sz val="10"/>
        <color rgb="FFFF0000"/>
        <rFont val="Arial"/>
        <family val="2"/>
      </rPr>
      <t xml:space="preserve">  - User has NO right to do transaction related to cash</t>
    </r>
    <r>
      <rPr>
        <sz val="10"/>
        <rFont val="Arial"/>
        <family val="2"/>
      </rPr>
      <t xml:space="preserve">
  - User must have enough cash to withdraw  </t>
    </r>
  </si>
  <si>
    <r>
      <t xml:space="preserve">Deposit account
  - Deposit type: Saving
  - Deposit status: Normal
  - 0 &lt; Withdrawal amount &lt;= Available balance
  - Deposit has passbook
Teller does this transaction
  - User has right to do transaction related to cash
</t>
    </r>
    <r>
      <rPr>
        <sz val="10"/>
        <color rgb="FFFF0000"/>
        <rFont val="Arial"/>
        <family val="2"/>
      </rPr>
      <t xml:space="preserve">  - User has NOT enough cash to withdraw  </t>
    </r>
  </si>
  <si>
    <t>Withdraw amount &lt;= 0</t>
  </si>
  <si>
    <t>Credit accounting is empty</t>
  </si>
  <si>
    <t>Credit accounting does not exist</t>
  </si>
  <si>
    <r>
      <rPr>
        <b/>
        <sz val="10"/>
        <rFont val="Arial"/>
        <family val="2"/>
      </rPr>
      <t>Deposit account</t>
    </r>
    <r>
      <rPr>
        <sz val="10"/>
        <rFont val="Arial"/>
        <family val="2"/>
      </rPr>
      <t xml:space="preserve">
</t>
    </r>
    <r>
      <rPr>
        <sz val="10"/>
        <color rgb="FFFF0000"/>
        <rFont val="Arial"/>
        <family val="2"/>
      </rPr>
      <t xml:space="preserve">  - Deposit type &lt;&gt; Current/ Saving</t>
    </r>
    <r>
      <rPr>
        <sz val="10"/>
        <rFont val="Arial"/>
        <family val="2"/>
      </rPr>
      <t xml:space="preserve">
  - Deposit status: Normal/ Dormant
  - 0 &lt; Withdraw amount &lt;= Available balance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t>
    </r>
  </si>
  <si>
    <r>
      <rPr>
        <b/>
        <sz val="10"/>
        <rFont val="Arial"/>
        <family val="2"/>
      </rPr>
      <t>Deposit account</t>
    </r>
    <r>
      <rPr>
        <sz val="10"/>
        <rFont val="Arial"/>
        <family val="2"/>
      </rPr>
      <t xml:space="preserve">
  - Deposit type: Current/ Saving
</t>
    </r>
    <r>
      <rPr>
        <sz val="10"/>
        <color rgb="FFFF0000"/>
        <rFont val="Arial"/>
        <family val="2"/>
      </rPr>
      <t xml:space="preserve">  - Deposit status &lt;&gt; Normal/ Dormant
</t>
    </r>
    <r>
      <rPr>
        <sz val="10"/>
        <rFont val="Arial"/>
        <family val="2"/>
      </rPr>
      <t xml:space="preserve">  - 0 &lt; Withdrawal amount &lt;= Available balance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t>
    </r>
  </si>
  <si>
    <r>
      <rPr>
        <b/>
        <sz val="10"/>
        <rFont val="Arial"/>
        <family val="2"/>
      </rPr>
      <t>Deposit account</t>
    </r>
    <r>
      <rPr>
        <sz val="10"/>
        <rFont val="Arial"/>
        <family val="2"/>
      </rPr>
      <t xml:space="preserve">
  - Deposit type: Current/ Saving
  - Deposit status: Normal/ Dormant
</t>
    </r>
    <r>
      <rPr>
        <sz val="10"/>
        <color rgb="FFFF0000"/>
        <rFont val="Arial"/>
        <family val="2"/>
      </rPr>
      <t xml:space="preserve">  - Withdrawal amount &gt; Available balance</t>
    </r>
    <r>
      <rPr>
        <sz val="10"/>
        <rFont val="Arial"/>
        <family val="2"/>
      </rPr>
      <t xml:space="preserve">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t>
    </r>
  </si>
  <si>
    <r>
      <rPr>
        <b/>
        <sz val="10"/>
        <rFont val="Arial"/>
        <family val="2"/>
      </rPr>
      <t>Deposit account</t>
    </r>
    <r>
      <rPr>
        <sz val="10"/>
        <rFont val="Arial"/>
        <family val="2"/>
      </rPr>
      <t xml:space="preserve">
  - Deposit type: Current/ Saving
  - Deposit status: Normal/ Dormant
  - 0 &lt; Withdrawal amount &lt;= Available balance
</t>
    </r>
    <r>
      <rPr>
        <b/>
        <sz val="10"/>
        <rFont val="Arial"/>
        <family val="2"/>
      </rPr>
      <t>GL account</t>
    </r>
    <r>
      <rPr>
        <sz val="10"/>
        <rFont val="Arial"/>
        <family val="2"/>
      </rPr>
      <t xml:space="preserve">
</t>
    </r>
    <r>
      <rPr>
        <sz val="10"/>
        <color rgb="FFFF0000"/>
        <rFont val="Arial"/>
        <family val="2"/>
      </rPr>
      <t xml:space="preserve">  - Posting side &lt;&gt; Credit/ Both
</t>
    </r>
    <r>
      <rPr>
        <sz val="10"/>
        <rFont val="Arial"/>
        <family val="2"/>
      </rPr>
      <t xml:space="preserve">  - Balance + Withdrawal amount &gt;= Total fee
  - Account level: 9
  - GL currency = Deposit currency
  - Account group &lt;&gt; Cash
  - Direct posting: Yes
  - Branch account = Branch teller</t>
    </r>
  </si>
  <si>
    <r>
      <rPr>
        <b/>
        <sz val="10"/>
        <rFont val="Arial"/>
        <family val="2"/>
      </rPr>
      <t>Deposit account</t>
    </r>
    <r>
      <rPr>
        <sz val="10"/>
        <rFont val="Arial"/>
        <family val="2"/>
      </rPr>
      <t xml:space="preserve">
  - Deposit type: Current/ Saving
  - Deposit status: Normal/ Dormant
  - 0 &lt; Withdrawal amount &lt;= Available balance
</t>
    </r>
    <r>
      <rPr>
        <b/>
        <sz val="10"/>
        <rFont val="Arial"/>
        <family val="2"/>
      </rPr>
      <t>GL account</t>
    </r>
    <r>
      <rPr>
        <sz val="10"/>
        <rFont val="Arial"/>
        <family val="2"/>
      </rPr>
      <t xml:space="preserve">
</t>
    </r>
    <r>
      <rPr>
        <sz val="10"/>
        <color rgb="FFFF0000"/>
        <rFont val="Arial"/>
        <family val="2"/>
      </rPr>
      <t xml:space="preserve">  - Posting side: Credit
  - Balance + Withdrawal amount &gt;= Total fee
</t>
    </r>
    <r>
      <rPr>
        <sz val="10"/>
        <rFont val="Arial"/>
        <family val="2"/>
      </rPr>
      <t xml:space="preserve">  - Account level: 9
  - GL currency = Deposit currency
  - Account group &lt;&gt; Cash
  - Direct posting: Yes
  - Branch account = Branch teller</t>
    </r>
  </si>
  <si>
    <r>
      <rPr>
        <b/>
        <sz val="10"/>
        <rFont val="Arial"/>
        <family val="2"/>
      </rPr>
      <t>Deposit account</t>
    </r>
    <r>
      <rPr>
        <sz val="10"/>
        <rFont val="Arial"/>
        <family val="2"/>
      </rPr>
      <t xml:space="preserve">
  - Deposit type: Current/ Saving
  - Deposit status: Normal/ Dormant
  - 0 &lt; Withdraw amount &lt;= Available balance
</t>
    </r>
    <r>
      <rPr>
        <b/>
        <sz val="10"/>
        <rFont val="Arial"/>
        <family val="2"/>
      </rPr>
      <t>GL account</t>
    </r>
    <r>
      <rPr>
        <sz val="10"/>
        <rFont val="Arial"/>
        <family val="2"/>
      </rPr>
      <t xml:space="preserve">
  - Posting side: Credit/ Both
  - Balance + Withdrawal amount &gt;= Total fee
</t>
    </r>
    <r>
      <rPr>
        <sz val="10"/>
        <color rgb="FFFF0000"/>
        <rFont val="Arial"/>
        <family val="2"/>
      </rPr>
      <t xml:space="preserve">  - Account level &lt;&gt; 9</t>
    </r>
    <r>
      <rPr>
        <sz val="10"/>
        <rFont val="Arial"/>
        <family val="2"/>
      </rPr>
      <t xml:space="preserve">
  - GL currency = Deposit currency
  - Account group &lt;&gt; Cash
  - Direct posting: Yes
  - Branch account = Branch teller</t>
    </r>
  </si>
  <si>
    <r>
      <rPr>
        <b/>
        <sz val="10"/>
        <rFont val="Arial"/>
        <family val="2"/>
      </rPr>
      <t>Deposit account</t>
    </r>
    <r>
      <rPr>
        <sz val="10"/>
        <rFont val="Arial"/>
        <family val="2"/>
      </rPr>
      <t xml:space="preserve">
  - Deposit type: Current/ Saving
  - Deposit status: Normal/ Dormant
  - 0 &lt; Withdrawal amount &lt;= Available balance
</t>
    </r>
    <r>
      <rPr>
        <b/>
        <sz val="10"/>
        <rFont val="Arial"/>
        <family val="2"/>
      </rPr>
      <t>GL account</t>
    </r>
    <r>
      <rPr>
        <sz val="10"/>
        <rFont val="Arial"/>
        <family val="2"/>
      </rPr>
      <t xml:space="preserve">
  - Posting side: Credit/ Both
  - Balance + Withdrawal amount &gt;= Total fee
  - Account level: 9
</t>
    </r>
    <r>
      <rPr>
        <sz val="10"/>
        <color rgb="FFFF0000"/>
        <rFont val="Arial"/>
        <family val="2"/>
      </rPr>
      <t xml:space="preserve">  - GL currency &lt;&gt; Deposit currency
</t>
    </r>
    <r>
      <rPr>
        <sz val="10"/>
        <rFont val="Arial"/>
        <family val="2"/>
      </rPr>
      <t xml:space="preserve">  - Account group &lt;&gt; Cash
  - Direct posting: Yes
  - Branch account = Branch teller</t>
    </r>
  </si>
  <si>
    <r>
      <rPr>
        <b/>
        <sz val="10"/>
        <rFont val="Arial"/>
        <family val="2"/>
      </rPr>
      <t>Deposit account</t>
    </r>
    <r>
      <rPr>
        <sz val="10"/>
        <rFont val="Arial"/>
        <family val="2"/>
      </rPr>
      <t xml:space="preserve">
  - Deposit type: Current/ Saving
  - Deposit status: Normal/ Dormant
  - 0 &lt; Withdrawal amount &lt;= Available balance
</t>
    </r>
    <r>
      <rPr>
        <b/>
        <sz val="10"/>
        <rFont val="Arial"/>
        <family val="2"/>
      </rPr>
      <t>GL account</t>
    </r>
    <r>
      <rPr>
        <sz val="10"/>
        <rFont val="Arial"/>
        <family val="2"/>
      </rPr>
      <t xml:space="preserve">
  - Posting side: Credit/ Both
  - Balance + Withdrawal amount &gt;= Total fee
  - Account level: 9
  - GL currency = Deposit currency
</t>
    </r>
    <r>
      <rPr>
        <sz val="10"/>
        <color rgb="FFFF0000"/>
        <rFont val="Arial"/>
        <family val="2"/>
      </rPr>
      <t xml:space="preserve">  - Account group: Cash</t>
    </r>
    <r>
      <rPr>
        <sz val="10"/>
        <rFont val="Arial"/>
        <family val="2"/>
      </rPr>
      <t xml:space="preserve">
  - Direct posting: Yes
  - Branch account = Branch teller</t>
    </r>
  </si>
  <si>
    <r>
      <rPr>
        <b/>
        <sz val="10"/>
        <rFont val="Arial"/>
        <family val="2"/>
      </rPr>
      <t>Deposit account</t>
    </r>
    <r>
      <rPr>
        <sz val="10"/>
        <rFont val="Arial"/>
        <family val="2"/>
      </rPr>
      <t xml:space="preserve">
  - Deposit type: Current/ Saving
  - Deposit status: Normal/ Dormant
  - 0 &lt; Withdrawal amount &lt;= Available balance
</t>
    </r>
    <r>
      <rPr>
        <b/>
        <sz val="10"/>
        <rFont val="Arial"/>
        <family val="2"/>
      </rPr>
      <t>GL account</t>
    </r>
    <r>
      <rPr>
        <sz val="10"/>
        <rFont val="Arial"/>
        <family val="2"/>
      </rPr>
      <t xml:space="preserve">
  - Posting side: Credit/ Both
  - Balance + Withdrawal amount &gt;= Total fee
  - Account level: 9
  - GL currency = Deposit currency
  - Account group &lt;&gt; Cash
</t>
    </r>
    <r>
      <rPr>
        <sz val="10"/>
        <color rgb="FFFF0000"/>
        <rFont val="Arial"/>
        <family val="2"/>
      </rPr>
      <t xml:space="preserve">  - Direct posting &lt;&gt; Yes</t>
    </r>
    <r>
      <rPr>
        <sz val="10"/>
        <rFont val="Arial"/>
        <family val="2"/>
      </rPr>
      <t xml:space="preserve">
  - Branch account = Branch teller</t>
    </r>
  </si>
  <si>
    <r>
      <rPr>
        <b/>
        <sz val="10"/>
        <rFont val="Arial"/>
        <family val="2"/>
      </rPr>
      <t>Deposit account</t>
    </r>
    <r>
      <rPr>
        <sz val="10"/>
        <rFont val="Arial"/>
        <family val="2"/>
      </rPr>
      <t xml:space="preserve">
  - Deposit type: Current/ Saving
  - Deposit status: Normal/ Dormant
  - 0 &lt; Withdrawal amount &lt;= Available balance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t>
    </r>
    <r>
      <rPr>
        <sz val="10"/>
        <color rgb="FFFF0000"/>
        <rFont val="Arial"/>
        <family val="2"/>
      </rPr>
      <t xml:space="preserve">  - Branch account &lt;&gt; Branch teller</t>
    </r>
  </si>
  <si>
    <r>
      <rPr>
        <b/>
        <sz val="10"/>
        <rFont val="Arial"/>
        <family val="2"/>
      </rPr>
      <t>Deposit account</t>
    </r>
    <r>
      <rPr>
        <sz val="10"/>
        <rFont val="Arial"/>
        <family val="2"/>
      </rPr>
      <t xml:space="preserve">
</t>
    </r>
    <r>
      <rPr>
        <sz val="10"/>
        <color rgb="FFFF0000"/>
        <rFont val="Arial"/>
        <family val="2"/>
      </rPr>
      <t xml:space="preserve">  - Deposit type &lt;&gt; Current</t>
    </r>
    <r>
      <rPr>
        <sz val="10"/>
        <rFont val="Arial"/>
        <family val="2"/>
      </rPr>
      <t xml:space="preserve">
  - Deposit status: Normal
</t>
    </r>
    <r>
      <rPr>
        <sz val="10"/>
        <color rgb="FFFF0000"/>
        <rFont val="Arial"/>
        <family val="2"/>
      </rPr>
      <t xml:space="preserve">  - Available balance of master &lt; Withdrawal amount &lt;= Available balance of linkage
  - Has linkage account for fund transfer
</t>
    </r>
    <r>
      <rPr>
        <b/>
        <sz val="10"/>
        <rFont val="Arial"/>
        <family val="2"/>
      </rPr>
      <t>Linkage account</t>
    </r>
    <r>
      <rPr>
        <sz val="10"/>
        <rFont val="Arial"/>
        <family val="2"/>
      </rPr>
      <t xml:space="preserve">
  - Deposit type: Saving
  - Deposit status: Normal
  - Linkage class: Auto fund transfer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t>
    </r>
  </si>
  <si>
    <r>
      <rPr>
        <b/>
        <sz val="10"/>
        <rFont val="Arial"/>
        <family val="2"/>
      </rPr>
      <t>Deposit account</t>
    </r>
    <r>
      <rPr>
        <sz val="10"/>
        <rFont val="Arial"/>
        <family val="2"/>
      </rPr>
      <t xml:space="preserve">
  - Deposit type: Current
</t>
    </r>
    <r>
      <rPr>
        <sz val="10"/>
        <color rgb="FFFF0000"/>
        <rFont val="Arial"/>
        <family val="2"/>
      </rPr>
      <t xml:space="preserve">  - Deposit status &lt;&gt; Normal
  - Available balance of master &lt; Withdrawal amount &lt;= Available balance of linkage
  - Has linkage account for fund transfer
</t>
    </r>
    <r>
      <rPr>
        <b/>
        <sz val="10"/>
        <rFont val="Arial"/>
        <family val="2"/>
      </rPr>
      <t>Linkage account</t>
    </r>
    <r>
      <rPr>
        <sz val="10"/>
        <rFont val="Arial"/>
        <family val="2"/>
      </rPr>
      <t xml:space="preserve">
  - Deposit type: Saving
  - Deposit status: Normal
  - Linkage class: Auto fund transfer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t>
    </r>
  </si>
  <si>
    <r>
      <rPr>
        <b/>
        <sz val="10"/>
        <rFont val="Arial"/>
        <family val="2"/>
      </rPr>
      <t>Deposit account</t>
    </r>
    <r>
      <rPr>
        <sz val="10"/>
        <rFont val="Arial"/>
        <family val="2"/>
      </rPr>
      <t xml:space="preserve">
  - Deposit type: Current
  - Deposit status: Normal
</t>
    </r>
    <r>
      <rPr>
        <sz val="10"/>
        <color rgb="FFFF0000"/>
        <rFont val="Arial"/>
        <family val="2"/>
      </rPr>
      <t xml:space="preserve">  - Available balance of master &lt; Withdrawal amount &lt;= Available balance of linkage
  - Has linkage account for fund transfer
</t>
    </r>
    <r>
      <rPr>
        <b/>
        <sz val="10"/>
        <rFont val="Arial"/>
        <family val="2"/>
      </rPr>
      <t>Linkage account</t>
    </r>
    <r>
      <rPr>
        <sz val="10"/>
        <rFont val="Arial"/>
        <family val="2"/>
      </rPr>
      <t xml:space="preserve">
  - </t>
    </r>
    <r>
      <rPr>
        <sz val="10"/>
        <color rgb="FFFF0000"/>
        <rFont val="Arial"/>
        <family val="2"/>
      </rPr>
      <t>Deposit type &lt;&gt; Saving</t>
    </r>
    <r>
      <rPr>
        <sz val="10"/>
        <rFont val="Arial"/>
        <family val="2"/>
      </rPr>
      <t xml:space="preserve">
  - Deposit status: Normal
  - Linkage class: Auto fund transfer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t>
    </r>
  </si>
  <si>
    <r>
      <rPr>
        <b/>
        <sz val="10"/>
        <rFont val="Arial"/>
        <family val="2"/>
      </rPr>
      <t>Deposit account</t>
    </r>
    <r>
      <rPr>
        <sz val="10"/>
        <rFont val="Arial"/>
        <family val="2"/>
      </rPr>
      <t xml:space="preserve">
  - Deposit type: Current
  - Deposit status: Normal
</t>
    </r>
    <r>
      <rPr>
        <sz val="10"/>
        <color rgb="FFFF0000"/>
        <rFont val="Arial"/>
        <family val="2"/>
      </rPr>
      <t xml:space="preserve">  - Available balance of master &lt; Withdrawal amount &lt;= Available balance of linkage
  - Has linkage account for fund transfer
</t>
    </r>
    <r>
      <rPr>
        <b/>
        <sz val="10"/>
        <rFont val="Arial"/>
        <family val="2"/>
      </rPr>
      <t>Linkage account</t>
    </r>
    <r>
      <rPr>
        <sz val="10"/>
        <rFont val="Arial"/>
        <family val="2"/>
      </rPr>
      <t xml:space="preserve">
  - Deposit type: Saving
  - Deposit status: Normal
</t>
    </r>
    <r>
      <rPr>
        <sz val="10"/>
        <color rgb="FFFF0000"/>
        <rFont val="Arial"/>
        <family val="2"/>
      </rPr>
      <t xml:space="preserve">  - Linkage class &lt;&gt; Auto fund transfer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t>
    </r>
  </si>
  <si>
    <t>Debit account is empty</t>
  </si>
  <si>
    <t>Debit account does not exist</t>
  </si>
  <si>
    <t>Credit account is empty</t>
  </si>
  <si>
    <t>Credit account does not exist</t>
  </si>
  <si>
    <t>Amount &lt;= 0</t>
  </si>
  <si>
    <r>
      <rPr>
        <b/>
        <sz val="10"/>
        <rFont val="Arial"/>
        <family val="2"/>
      </rPr>
      <t>Debit account</t>
    </r>
    <r>
      <rPr>
        <sz val="10"/>
        <color rgb="FF00B0F0"/>
        <rFont val="Arial"/>
        <family val="2"/>
      </rPr>
      <t xml:space="preserve">
</t>
    </r>
    <r>
      <rPr>
        <sz val="10"/>
        <color rgb="FFFF0000"/>
        <rFont val="Arial"/>
        <family val="2"/>
      </rPr>
      <t xml:space="preserve">  - Deposit type &lt;&gt; Current/ Saving</t>
    </r>
    <r>
      <rPr>
        <sz val="10"/>
        <rFont val="Arial"/>
        <family val="2"/>
      </rPr>
      <t xml:space="preserve">
  - Deposit status: Normal
</t>
    </r>
    <r>
      <rPr>
        <sz val="10"/>
        <color rgb="FF00B0F0"/>
        <rFont val="Arial"/>
        <family val="2"/>
      </rPr>
      <t xml:space="preserve">  -</t>
    </r>
    <r>
      <rPr>
        <sz val="10"/>
        <rFont val="Arial"/>
        <family val="2"/>
      </rPr>
      <t xml:space="preserve"> 0 &lt;</t>
    </r>
    <r>
      <rPr>
        <sz val="10"/>
        <color rgb="FF00B0F0"/>
        <rFont val="Arial"/>
        <family val="2"/>
      </rPr>
      <t xml:space="preserve"> </t>
    </r>
    <r>
      <rPr>
        <sz val="10"/>
        <rFont val="Arial"/>
        <family val="2"/>
      </rPr>
      <t xml:space="preserve">Transfer amount &lt;= Available balance
  - Has no linkage account for fund transfer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t>
    </r>
  </si>
  <si>
    <r>
      <rPr>
        <b/>
        <sz val="10"/>
        <rFont val="Arial"/>
        <family val="2"/>
      </rPr>
      <t>Debit account</t>
    </r>
    <r>
      <rPr>
        <sz val="10"/>
        <color rgb="FF00B0F0"/>
        <rFont val="Arial"/>
        <family val="2"/>
      </rPr>
      <t xml:space="preserve">
</t>
    </r>
    <r>
      <rPr>
        <sz val="10"/>
        <rFont val="Arial"/>
        <family val="2"/>
      </rPr>
      <t xml:space="preserve">  - Deposit type: Current/ Saving
</t>
    </r>
    <r>
      <rPr>
        <sz val="10"/>
        <color rgb="FFFF0000"/>
        <rFont val="Arial"/>
        <family val="2"/>
      </rPr>
      <t xml:space="preserve">  - Deposit status &lt;&gt; Normal</t>
    </r>
    <r>
      <rPr>
        <sz val="10"/>
        <rFont val="Arial"/>
        <family val="2"/>
      </rPr>
      <t xml:space="preserve">
</t>
    </r>
    <r>
      <rPr>
        <sz val="10"/>
        <color rgb="FF00B0F0"/>
        <rFont val="Arial"/>
        <family val="2"/>
      </rPr>
      <t xml:space="preserve">  -</t>
    </r>
    <r>
      <rPr>
        <sz val="10"/>
        <rFont val="Arial"/>
        <family val="2"/>
      </rPr>
      <t xml:space="preserve"> 0 &lt;</t>
    </r>
    <r>
      <rPr>
        <sz val="10"/>
        <color rgb="FF00B0F0"/>
        <rFont val="Arial"/>
        <family val="2"/>
      </rPr>
      <t xml:space="preserve"> </t>
    </r>
    <r>
      <rPr>
        <sz val="10"/>
        <rFont val="Arial"/>
        <family val="2"/>
      </rPr>
      <t xml:space="preserve">Transfer amount &lt;= Available balance
  - Has no linkage account for fund transfer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t>
    </r>
  </si>
  <si>
    <r>
      <rPr>
        <b/>
        <sz val="10"/>
        <rFont val="Arial"/>
        <family val="2"/>
      </rPr>
      <t>Debit account</t>
    </r>
    <r>
      <rPr>
        <sz val="10"/>
        <color rgb="FF00B0F0"/>
        <rFont val="Arial"/>
        <family val="2"/>
      </rPr>
      <t xml:space="preserve">
</t>
    </r>
    <r>
      <rPr>
        <sz val="10"/>
        <rFont val="Arial"/>
        <family val="2"/>
      </rPr>
      <t xml:space="preserve">  - Deposit type &lt;&gt; Current/ Saving
  - Deposit status: Normal
</t>
    </r>
    <r>
      <rPr>
        <sz val="10"/>
        <color rgb="FFFF0000"/>
        <rFont val="Arial"/>
        <family val="2"/>
      </rPr>
      <t xml:space="preserve">  - Transfer amount &gt; Available balance
  - Has no linkage account for fund transfer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t>
    </r>
  </si>
  <si>
    <r>
      <rPr>
        <b/>
        <sz val="10"/>
        <rFont val="Arial"/>
        <family val="2"/>
      </rPr>
      <t>Debit account</t>
    </r>
    <r>
      <rPr>
        <sz val="10"/>
        <rFont val="Arial"/>
        <family val="2"/>
      </rPr>
      <t xml:space="preserve">
  - Deposit typ: Current/ Saving
  - Deposit status: Normal
  - 0 &lt; Transfer amount &lt;= Available balance
  - Has no linkage account for fund transfer
</t>
    </r>
    <r>
      <rPr>
        <b/>
        <sz val="10"/>
        <rFont val="Arial"/>
        <family val="2"/>
      </rPr>
      <t>Credit account</t>
    </r>
    <r>
      <rPr>
        <sz val="10"/>
        <rFont val="Arial"/>
        <family val="2"/>
      </rPr>
      <t xml:space="preserve">
  - Deposit type: Current/ Saving/ Fixed deposit
</t>
    </r>
    <r>
      <rPr>
        <sz val="10"/>
        <color rgb="FFFF0000"/>
        <rFont val="Arial"/>
        <family val="2"/>
      </rPr>
      <t xml:space="preserve">  - Deposit status: New
  - Transfer amount  &lt; Initial deposit amount
</t>
    </r>
    <r>
      <rPr>
        <sz val="10"/>
        <rFont val="Arial"/>
        <family val="2"/>
      </rPr>
      <t xml:space="preserve">  - Credit currency = Debit currency
  - Credit account &lt;&gt; Debit account</t>
    </r>
  </si>
  <si>
    <r>
      <rPr>
        <b/>
        <sz val="10"/>
        <rFont val="Arial"/>
        <family val="2"/>
      </rPr>
      <t>Debit account</t>
    </r>
    <r>
      <rPr>
        <sz val="10"/>
        <rFont val="Arial"/>
        <family val="2"/>
      </rPr>
      <t xml:space="preserve">
  - Deposit typ: Current/ Saving
  - Deposit status: Normal
  - 0 &lt; Transfer amount &lt;= Available balance
  - Has no linkage account for fund transfer
</t>
    </r>
    <r>
      <rPr>
        <b/>
        <sz val="10"/>
        <rFont val="Arial"/>
        <family val="2"/>
      </rPr>
      <t>Credit account</t>
    </r>
    <r>
      <rPr>
        <sz val="10"/>
        <rFont val="Arial"/>
        <family val="2"/>
      </rPr>
      <t xml:space="preserve">
  - Deposit type: Current/ Saving/ Fixed deposit
</t>
    </r>
    <r>
      <rPr>
        <sz val="10"/>
        <color rgb="FFFF0000"/>
        <rFont val="Arial"/>
        <family val="2"/>
      </rPr>
      <t xml:space="preserve">  - Deposit status &lt;&gt; New/ Normal</t>
    </r>
    <r>
      <rPr>
        <sz val="10"/>
        <rFont val="Arial"/>
        <family val="2"/>
      </rPr>
      <t xml:space="preserve">
  - Transfer amount  &gt;= Initial deposit amount
  - Multiple deposit allow: Yes
  - Credit currency = Debit currency
  - Credit account &lt;&gt; Debit account</t>
    </r>
  </si>
  <si>
    <r>
      <rPr>
        <b/>
        <sz val="10"/>
        <rFont val="Arial"/>
        <family val="2"/>
      </rPr>
      <t>Debit account</t>
    </r>
    <r>
      <rPr>
        <sz val="10"/>
        <rFont val="Arial"/>
        <family val="2"/>
      </rPr>
      <t xml:space="preserve">
  - Deposit typ: Current/ Saving
  - Deposit status: Normal
  - 0 &lt; Transfer amount &lt;= Available balance
  - Has no linkage account for fund transfer
</t>
    </r>
    <r>
      <rPr>
        <b/>
        <sz val="10"/>
        <rFont val="Arial"/>
        <family val="2"/>
      </rPr>
      <t>Credit account</t>
    </r>
    <r>
      <rPr>
        <sz val="10"/>
        <rFont val="Arial"/>
        <family val="2"/>
      </rPr>
      <t xml:space="preserve">
</t>
    </r>
    <r>
      <rPr>
        <sz val="10"/>
        <color rgb="FFFF0000"/>
        <rFont val="Arial"/>
        <family val="2"/>
      </rPr>
      <t xml:space="preserve">  - Deposit type: Fixed deposit
  - Deposit status: Normal
  - Multiple deposit allow &lt;&gt; Yes
</t>
    </r>
    <r>
      <rPr>
        <sz val="10"/>
        <rFont val="Arial"/>
        <family val="2"/>
      </rPr>
      <t xml:space="preserve">  - Credit currency = Debit currency</t>
    </r>
  </si>
  <si>
    <r>
      <rPr>
        <b/>
        <sz val="10"/>
        <rFont val="Arial"/>
        <family val="2"/>
      </rPr>
      <t>Debit account</t>
    </r>
    <r>
      <rPr>
        <sz val="10"/>
        <rFont val="Arial"/>
        <family val="2"/>
      </rPr>
      <t xml:space="preserve">
  - Deposit typ: Current/ Saving
  - Deposit status: Normal
  - 0 &lt; Transfer amount &lt;= Available balance
  - Has no linkage account for fund transfer
</t>
    </r>
    <r>
      <rPr>
        <b/>
        <sz val="10"/>
        <rFont val="Arial"/>
        <family val="2"/>
      </rPr>
      <t>Credit account</t>
    </r>
    <r>
      <rPr>
        <sz val="10"/>
        <rFont val="Arial"/>
        <family val="2"/>
      </rPr>
      <t xml:space="preserve">
  - Deposit type: Current/ Saving
  - Deposit sub type &lt;&gt;"Shwe cash call deposit account"
  - Deposit status: New/ Normal
  - Transfer amount  &gt;= Initial deposit amount
</t>
    </r>
    <r>
      <rPr>
        <sz val="10"/>
        <color rgb="FFFF0000"/>
        <rFont val="Arial"/>
        <family val="2"/>
      </rPr>
      <t xml:space="preserve">  - Credit currency &lt;&gt; Debit currency</t>
    </r>
    <r>
      <rPr>
        <sz val="10"/>
        <rFont val="Arial"/>
        <family val="2"/>
      </rPr>
      <t xml:space="preserve">
  - Credit account &lt;&gt; Debit account</t>
    </r>
  </si>
  <si>
    <r>
      <rPr>
        <b/>
        <sz val="10"/>
        <rFont val="Arial"/>
        <family val="2"/>
      </rPr>
      <t>Debit account</t>
    </r>
    <r>
      <rPr>
        <sz val="10"/>
        <rFont val="Arial"/>
        <family val="2"/>
      </rPr>
      <t xml:space="preserve">
  - Deposit typ: Current/ Saving
  - Deposit status: Normal
  - 0 &lt; Transfer amount &lt;= Available balance
  - Has no linkage account for fund transfer
</t>
    </r>
    <r>
      <rPr>
        <b/>
        <sz val="10"/>
        <rFont val="Arial"/>
        <family val="2"/>
      </rPr>
      <t>Credit account</t>
    </r>
    <r>
      <rPr>
        <sz val="10"/>
        <rFont val="Arial"/>
        <family val="2"/>
      </rPr>
      <t xml:space="preserve">
  - Deposit type: Current/ Saving
  - Deposit status: New/ Normal
  - Multiple deposit allow: Yes
  - Credit currency = Debit currency
</t>
    </r>
    <r>
      <rPr>
        <sz val="10"/>
        <color rgb="FFFF0000"/>
        <rFont val="Arial"/>
        <family val="2"/>
      </rPr>
      <t xml:space="preserve">  - Credit account = Debit account</t>
    </r>
  </si>
  <si>
    <r>
      <rPr>
        <b/>
        <sz val="10"/>
        <rFont val="Arial"/>
        <family val="2"/>
      </rPr>
      <t>Debit account</t>
    </r>
    <r>
      <rPr>
        <sz val="10"/>
        <rFont val="Arial"/>
        <family val="2"/>
      </rPr>
      <t xml:space="preserve">
</t>
    </r>
    <r>
      <rPr>
        <sz val="10"/>
        <color rgb="FFFF0000"/>
        <rFont val="Arial"/>
        <family val="2"/>
      </rPr>
      <t xml:space="preserve">  - Deposit type &lt;&gt; Current</t>
    </r>
    <r>
      <rPr>
        <b/>
        <sz val="10"/>
        <color rgb="FFFF0000"/>
        <rFont val="Arial"/>
        <family val="2"/>
      </rPr>
      <t xml:space="preserve">
</t>
    </r>
    <r>
      <rPr>
        <sz val="10"/>
        <rFont val="Arial"/>
        <family val="2"/>
      </rPr>
      <t xml:space="preserve">  - Deposit status: Normal
</t>
    </r>
    <r>
      <rPr>
        <sz val="10"/>
        <color rgb="FFFF0000"/>
        <rFont val="Arial"/>
        <family val="2"/>
      </rPr>
      <t xml:space="preserve">  - Available balance of master &lt; Transfer amount &lt;= Available balance of linkage
  - Has linkage account for fund transfer
</t>
    </r>
    <r>
      <rPr>
        <b/>
        <sz val="10"/>
        <rFont val="Arial"/>
        <family val="2"/>
      </rPr>
      <t>Linkage account</t>
    </r>
    <r>
      <rPr>
        <sz val="10"/>
        <rFont val="Arial"/>
        <family val="2"/>
      </rPr>
      <t xml:space="preserve">
  - Deposit type: Saving
  - Deposit status: Normal
  - Linkage class: Auto fund transfer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t>
    </r>
  </si>
  <si>
    <r>
      <rPr>
        <b/>
        <sz val="10"/>
        <rFont val="Arial"/>
        <family val="2"/>
      </rPr>
      <t>Debit account</t>
    </r>
    <r>
      <rPr>
        <sz val="10"/>
        <rFont val="Arial"/>
        <family val="2"/>
      </rPr>
      <t xml:space="preserve">
  - Deposit type: Current
</t>
    </r>
    <r>
      <rPr>
        <sz val="10"/>
        <color rgb="FFFF0000"/>
        <rFont val="Arial"/>
        <family val="2"/>
      </rPr>
      <t xml:space="preserve">  - Deposit status &lt;&gt; Normal
  - Available balance of master &lt; Transfer amount &lt;= Available balance of linkage
  - Has linkage account for fund transfer
</t>
    </r>
    <r>
      <rPr>
        <b/>
        <sz val="10"/>
        <rFont val="Arial"/>
        <family val="2"/>
      </rPr>
      <t>Linkage account</t>
    </r>
    <r>
      <rPr>
        <sz val="10"/>
        <rFont val="Arial"/>
        <family val="2"/>
      </rPr>
      <t xml:space="preserve">
  - Deposit type: Saving
  - Deposit status: Normal
  - Linkage class: Auto fund transfer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t>
    </r>
  </si>
  <si>
    <r>
      <rPr>
        <b/>
        <sz val="10"/>
        <rFont val="Arial"/>
        <family val="2"/>
      </rPr>
      <t>Debit account</t>
    </r>
    <r>
      <rPr>
        <sz val="10"/>
        <rFont val="Arial"/>
        <family val="2"/>
      </rPr>
      <t xml:space="preserve">
  - Deposit type: Current
  - Deposit status: Normal
</t>
    </r>
    <r>
      <rPr>
        <sz val="10"/>
        <color rgb="FFFF0000"/>
        <rFont val="Arial"/>
        <family val="2"/>
      </rPr>
      <t xml:space="preserve">  - Available balance of master &lt; Transfer amount &lt;= Available balance of linkage
  - Has linkage account for fund transfer
</t>
    </r>
    <r>
      <rPr>
        <b/>
        <sz val="10"/>
        <rFont val="Arial"/>
        <family val="2"/>
      </rPr>
      <t>Linkage account</t>
    </r>
    <r>
      <rPr>
        <sz val="10"/>
        <rFont val="Arial"/>
        <family val="2"/>
      </rPr>
      <t xml:space="preserve">
</t>
    </r>
    <r>
      <rPr>
        <sz val="10"/>
        <color rgb="FFFF0000"/>
        <rFont val="Arial"/>
        <family val="2"/>
      </rPr>
      <t xml:space="preserve">  - Deposit type &lt;&gt; Saving</t>
    </r>
    <r>
      <rPr>
        <sz val="10"/>
        <rFont val="Arial"/>
        <family val="2"/>
      </rPr>
      <t xml:space="preserve">
  - Deposit status: Normal
  - Linkage class: Auto fund transfer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t>
    </r>
  </si>
  <si>
    <r>
      <rPr>
        <b/>
        <sz val="10"/>
        <rFont val="Arial"/>
        <family val="2"/>
      </rPr>
      <t>Debit account</t>
    </r>
    <r>
      <rPr>
        <sz val="10"/>
        <rFont val="Arial"/>
        <family val="2"/>
      </rPr>
      <t xml:space="preserve">
  - Deposit type: Current
  - Deposit status: Normal
</t>
    </r>
    <r>
      <rPr>
        <sz val="10"/>
        <color rgb="FFFF0000"/>
        <rFont val="Arial"/>
        <family val="2"/>
      </rPr>
      <t xml:space="preserve">  - Available balance of master &lt; Transfer amount &lt;= Available balance of linkage
  - Has linkage account for fund transfer</t>
    </r>
    <r>
      <rPr>
        <sz val="10"/>
        <rFont val="Arial"/>
        <family val="2"/>
      </rPr>
      <t xml:space="preserve">
</t>
    </r>
    <r>
      <rPr>
        <b/>
        <sz val="10"/>
        <rFont val="Arial"/>
        <family val="2"/>
      </rPr>
      <t xml:space="preserve">Linkage account
</t>
    </r>
    <r>
      <rPr>
        <sz val="10"/>
        <rFont val="Arial"/>
        <family val="2"/>
      </rPr>
      <t xml:space="preserve">  - Deposit type: Saving
</t>
    </r>
    <r>
      <rPr>
        <sz val="10"/>
        <color rgb="FFFF0000"/>
        <rFont val="Arial"/>
        <family val="2"/>
      </rPr>
      <t xml:space="preserve">  - Deposit status &lt;&gt; Normal</t>
    </r>
    <r>
      <rPr>
        <sz val="10"/>
        <rFont val="Arial"/>
        <family val="2"/>
      </rPr>
      <t xml:space="preserve">
  - Linkage class: Auto fund transfer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t>
    </r>
  </si>
  <si>
    <r>
      <rPr>
        <b/>
        <sz val="10"/>
        <rFont val="Arial"/>
        <family val="2"/>
      </rPr>
      <t>Debit account</t>
    </r>
    <r>
      <rPr>
        <sz val="10"/>
        <rFont val="Arial"/>
        <family val="2"/>
      </rPr>
      <t xml:space="preserve">
  - Deposit type: Current
  - Deposit status: Normal
</t>
    </r>
    <r>
      <rPr>
        <sz val="10"/>
        <color rgb="FFFF0000"/>
        <rFont val="Arial"/>
        <family val="2"/>
      </rPr>
      <t xml:space="preserve">  - Available balance of master &lt; Transfer amount &lt;= Available balance of linkage
  - Has linkage account for fund transfer
</t>
    </r>
    <r>
      <rPr>
        <b/>
        <sz val="10"/>
        <rFont val="Arial"/>
        <family val="2"/>
      </rPr>
      <t>Linkage account</t>
    </r>
    <r>
      <rPr>
        <sz val="10"/>
        <rFont val="Arial"/>
        <family val="2"/>
      </rPr>
      <t xml:space="preserve">
  - Deposit type: Saving
  - Deposit status: Normal</t>
    </r>
    <r>
      <rPr>
        <sz val="10"/>
        <color rgb="FFFF0000"/>
        <rFont val="Arial"/>
        <family val="2"/>
      </rPr>
      <t xml:space="preserve">
  - Linkage class &lt;&gt; Auto fund transfer</t>
    </r>
    <r>
      <rPr>
        <sz val="10"/>
        <rFont val="Arial"/>
        <family val="2"/>
      </rPr>
      <t xml:space="preserve">
</t>
    </r>
    <r>
      <rPr>
        <b/>
        <sz val="10"/>
        <rFont val="Arial"/>
        <family val="2"/>
      </rPr>
      <t>Credit account</t>
    </r>
    <r>
      <rPr>
        <sz val="10"/>
        <rFont val="Arial"/>
        <family val="2"/>
      </rPr>
      <t xml:space="preserve">
  - Deposit type: Current/ Saving/ Fixed deposit
  - Deposit sub type &lt;&gt;"Shwe cash call deposit account"
  - Deposit status: New/ Normal
  - Transfer amount  &gt;= Initial deposit amount
  - Multiple deposit allow: Yes
  - Credit currency = Debit currency
  - Credit account &lt;&gt; Debit account</t>
    </r>
  </si>
  <si>
    <t>Gross paid interest amount &lt; 0</t>
  </si>
  <si>
    <r>
      <rPr>
        <b/>
        <sz val="10"/>
        <rFont val="Arial"/>
        <family val="2"/>
      </rPr>
      <t>Deposit account</t>
    </r>
    <r>
      <rPr>
        <sz val="10"/>
        <rFont val="Arial"/>
        <family val="2"/>
      </rPr>
      <t xml:space="preserve">
  - Deposit type: Current/ Saving/ Fixed deposit
</t>
    </r>
    <r>
      <rPr>
        <sz val="10"/>
        <color rgb="FFFF0000"/>
        <rFont val="Arial"/>
        <family val="2"/>
      </rPr>
      <t xml:space="preserve">  - Deposit status &lt;&gt; Normal/ Dormant/ Maturity</t>
    </r>
    <r>
      <rPr>
        <sz val="10"/>
        <rFont val="Arial"/>
        <family val="2"/>
      </rPr>
      <t xml:space="preserve">
  - Branch account = Branch teller
  - Earmark = 0
</t>
    </r>
    <r>
      <rPr>
        <b/>
        <sz val="10"/>
        <rFont val="Arial"/>
        <family val="2"/>
      </rPr>
      <t xml:space="preserve">Teller does this transaction
</t>
    </r>
    <r>
      <rPr>
        <sz val="10"/>
        <rFont val="Arial"/>
        <family val="2"/>
      </rPr>
      <t xml:space="preserve">  - User has right to do transaction related to cash
  - User has enough cash to withdraw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</si>
  <si>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t>
    </r>
    <r>
      <rPr>
        <sz val="10"/>
        <color rgb="FFFF0000"/>
        <rFont val="Arial"/>
        <family val="2"/>
      </rPr>
      <t xml:space="preserve">  - Branch account &lt;&gt; Branch teller</t>
    </r>
    <r>
      <rPr>
        <sz val="10"/>
        <rFont val="Arial"/>
        <family val="2"/>
      </rPr>
      <t xml:space="preserve">
  - Earmark = 0
</t>
    </r>
    <r>
      <rPr>
        <b/>
        <sz val="10"/>
        <rFont val="Arial"/>
        <family val="2"/>
      </rPr>
      <t xml:space="preserve">Teller does this transaction
</t>
    </r>
    <r>
      <rPr>
        <sz val="10"/>
        <rFont val="Arial"/>
        <family val="2"/>
      </rPr>
      <t xml:space="preserve">  - User has right to do transaction related to cash
  - User has enough cash to withdraw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</si>
  <si>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t>
    </r>
    <r>
      <rPr>
        <sz val="10"/>
        <color rgb="FFFF0000"/>
        <rFont val="Arial"/>
        <family val="2"/>
      </rPr>
      <t xml:space="preserve">  - Earmark &gt; 0</t>
    </r>
    <r>
      <rPr>
        <sz val="10"/>
        <rFont val="Arial"/>
        <family val="2"/>
      </rPr>
      <t xml:space="preserve">
</t>
    </r>
    <r>
      <rPr>
        <b/>
        <sz val="10"/>
        <rFont val="Arial"/>
        <family val="2"/>
      </rPr>
      <t xml:space="preserve">Teller does this transaction
</t>
    </r>
    <r>
      <rPr>
        <sz val="10"/>
        <rFont val="Arial"/>
        <family val="2"/>
      </rPr>
      <t xml:space="preserve">  - User has right to do transaction related to cash
  - User has enough cash to withdraw
</t>
    </r>
    <r>
      <rPr>
        <b/>
        <sz val="10"/>
        <rFont val="Arial"/>
        <family val="2"/>
      </rPr>
      <t>0 &lt; Gross paid interest amount &lt;= Interest re-calculate + Interest due</t>
    </r>
  </si>
  <si>
    <r>
      <rPr>
        <b/>
        <sz val="10"/>
        <rFont val="Arial"/>
        <family val="2"/>
      </rPr>
      <t>Deposit account</t>
    </r>
    <r>
      <rPr>
        <sz val="10"/>
        <rFont val="Arial"/>
        <family val="2"/>
      </rPr>
      <t xml:space="preserve">
</t>
    </r>
    <r>
      <rPr>
        <sz val="10"/>
        <color rgb="FFFF0000"/>
        <rFont val="Arial"/>
        <family val="2"/>
      </rPr>
      <t xml:space="preserve">  - Deposit type: Fixed deposit</t>
    </r>
    <r>
      <rPr>
        <sz val="10"/>
        <rFont val="Arial"/>
        <family val="2"/>
      </rPr>
      <t xml:space="preserve">
  - Deposit status: Normal/ Maturity
  - Branch account = Branch teller
  - Earmark = 0
</t>
    </r>
    <r>
      <rPr>
        <sz val="10"/>
        <color rgb="FFFF0000"/>
        <rFont val="Arial"/>
        <family val="2"/>
      </rPr>
      <t xml:space="preserve">  - Has account linkage
</t>
    </r>
    <r>
      <rPr>
        <b/>
        <sz val="10"/>
        <rFont val="Arial"/>
        <family val="2"/>
      </rPr>
      <t xml:space="preserve">Teller does this transaction
</t>
    </r>
    <r>
      <rPr>
        <sz val="10"/>
        <rFont val="Arial"/>
        <family val="2"/>
      </rPr>
      <t xml:space="preserve">  - User has right to do transaction related to cash
  - User has enough cash to withdraw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</si>
  <si>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 xml:space="preserve">Teller does this transaction
</t>
    </r>
    <r>
      <rPr>
        <sz val="10"/>
        <color rgb="FFFF0000"/>
        <rFont val="Arial"/>
        <family val="2"/>
      </rPr>
      <t xml:space="preserve">  - User has NO right to do transaction related to cash</t>
    </r>
    <r>
      <rPr>
        <sz val="10"/>
        <rFont val="Arial"/>
        <family val="2"/>
      </rPr>
      <t xml:space="preserve">
  - User has enough cash to withdraw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</si>
  <si>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 xml:space="preserve">Teller does this transaction
</t>
    </r>
    <r>
      <rPr>
        <sz val="10"/>
        <rFont val="Arial"/>
        <family val="2"/>
      </rPr>
      <t xml:space="preserve">  - User has right to do transaction related to cash
</t>
    </r>
    <r>
      <rPr>
        <sz val="10"/>
        <color rgb="FFFF0000"/>
        <rFont val="Arial"/>
        <family val="2"/>
      </rPr>
      <t xml:space="preserve">  - User has NOT enough cash to withdraw
</t>
    </r>
    <r>
      <rPr>
        <b/>
        <sz val="10"/>
        <rFont val="Arial"/>
        <family val="2"/>
      </rPr>
      <t>0 &lt; Gross paid interest amount &lt;= Interest re-calculate + Interest due</t>
    </r>
  </si>
  <si>
    <t>Another deposit account is empty</t>
  </si>
  <si>
    <t>Another deposit account does not exist</t>
  </si>
  <si>
    <r>
      <rPr>
        <b/>
        <sz val="10"/>
        <rFont val="Arial"/>
        <family val="2"/>
      </rPr>
      <t>Deposit account</t>
    </r>
    <r>
      <rPr>
        <sz val="10"/>
        <rFont val="Arial"/>
        <family val="2"/>
      </rPr>
      <t xml:space="preserve">
  - Deposit type: Current/ Saving/ Fixed deposit
</t>
    </r>
    <r>
      <rPr>
        <sz val="10"/>
        <color rgb="FFFF0000"/>
        <rFont val="Arial"/>
        <family val="2"/>
      </rPr>
      <t xml:space="preserve">  - Deposit status &lt;&gt; Normal/ Dormant/ Maturity</t>
    </r>
    <r>
      <rPr>
        <sz val="10"/>
        <rFont val="Arial"/>
        <family val="2"/>
      </rPr>
      <t xml:space="preserve">
  - Branch account = Branch teller
  - Earmark = 0
</t>
    </r>
    <r>
      <rPr>
        <b/>
        <sz val="10"/>
        <rFont val="Arial"/>
        <family val="2"/>
      </rPr>
      <t>Another deposit account</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</si>
  <si>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t>
    </r>
    <r>
      <rPr>
        <sz val="10"/>
        <color rgb="FFFF0000"/>
        <rFont val="Arial"/>
        <family val="2"/>
      </rPr>
      <t xml:space="preserve">  - Branch account &lt;&gt; Branch teller</t>
    </r>
    <r>
      <rPr>
        <sz val="10"/>
        <rFont val="Arial"/>
        <family val="2"/>
      </rPr>
      <t xml:space="preserve">
  - Earmark = 0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t>
    </r>
    <r>
      <rPr>
        <b/>
        <sz val="10"/>
        <rFont val="Arial"/>
        <family val="2"/>
      </rPr>
      <t xml:space="preserve">  - Credit account &lt;&gt; Debit account</t>
    </r>
    <r>
      <rPr>
        <sz val="10"/>
        <rFont val="Arial"/>
        <family val="2"/>
      </rPr>
      <t xml:space="preserve">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</si>
  <si>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t>
    </r>
    <r>
      <rPr>
        <sz val="10"/>
        <color rgb="FFFF0000"/>
        <rFont val="Arial"/>
        <family val="2"/>
      </rPr>
      <t xml:space="preserve">  - Earmark &gt; 0</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rFont val="Arial"/>
        <family val="2"/>
      </rPr>
      <t>0 &lt; Gross paid interest amount &lt;= Interest re-calculate + Interest due</t>
    </r>
  </si>
  <si>
    <r>
      <rPr>
        <b/>
        <sz val="10"/>
        <rFont val="Arial"/>
        <family val="2"/>
      </rPr>
      <t>Deposit account</t>
    </r>
    <r>
      <rPr>
        <sz val="10"/>
        <rFont val="Arial"/>
        <family val="2"/>
      </rPr>
      <t xml:space="preserve">
</t>
    </r>
    <r>
      <rPr>
        <sz val="10"/>
        <color rgb="FFFF0000"/>
        <rFont val="Arial"/>
        <family val="2"/>
      </rPr>
      <t xml:space="preserve">  - Deposit type: Fixed deposit</t>
    </r>
    <r>
      <rPr>
        <b/>
        <sz val="10"/>
        <color rgb="FFFF0000"/>
        <rFont val="Arial"/>
        <family val="2"/>
      </rPr>
      <t xml:space="preserve">
</t>
    </r>
    <r>
      <rPr>
        <sz val="10"/>
        <rFont val="Arial"/>
        <family val="2"/>
      </rPr>
      <t xml:space="preserve">  - Deposit status: Normal/ Maturity
  - Branch account = Branch teller
  - Earmark = 0
</t>
    </r>
    <r>
      <rPr>
        <sz val="10"/>
        <color rgb="FFFF0000"/>
        <rFont val="Arial"/>
        <family val="2"/>
      </rPr>
      <t xml:space="preserve">  - Has account linkage</t>
    </r>
    <r>
      <rPr>
        <sz val="10"/>
        <rFont val="Arial"/>
        <family val="2"/>
      </rPr>
      <t xml:space="preserve">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 Credit account &lt;&gt; Debit account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</si>
  <si>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 xml:space="preserve">Another deposit account
</t>
    </r>
    <r>
      <rPr>
        <sz val="10"/>
        <color rgb="FFFF0000"/>
        <rFont val="Arial"/>
        <family val="2"/>
      </rPr>
      <t xml:space="preserve">  - Deposit type: Fixed deposit</t>
    </r>
    <r>
      <rPr>
        <sz val="10"/>
        <rFont val="Arial"/>
        <family val="2"/>
      </rPr>
      <t xml:space="preserve">
  - Deposit sub type &lt;&gt;"Shwe cash call deposit account"
  - Deposit status: New/ Normal
  - Multiple deposit allow: Yes
  - Transfer amount &gt;= Initial deposit amount
  - Credit currency = Debit currency
  - Credit account &lt;&gt; Debit account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</si>
  <si>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 xml:space="preserve">Another deposit account
</t>
    </r>
    <r>
      <rPr>
        <sz val="10"/>
        <color rgb="FFFF0000"/>
        <rFont val="Arial"/>
        <family val="2"/>
      </rPr>
      <t xml:space="preserve">  - Deposit type: Saving
  - Deposit sub type: "Shwe cash call deposit account"
</t>
    </r>
    <r>
      <rPr>
        <sz val="10"/>
        <rFont val="Arial"/>
        <family val="2"/>
      </rPr>
      <t xml:space="preserve">  - Deposit status: New/ Normal
  - Transfer amount &gt;= Initial deposit amount
  - Credit currency = Debit currency
  - Credit account &lt;&gt; Debit account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</si>
  <si>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 xml:space="preserve">Another deposit account
</t>
    </r>
    <r>
      <rPr>
        <sz val="10"/>
        <rFont val="Arial"/>
        <family val="2"/>
      </rPr>
      <t xml:space="preserve">  - Deposit type: Current/ Saving
  - Deposit sub type &lt;&gt;"Shwe cash call deposit account"
</t>
    </r>
    <r>
      <rPr>
        <sz val="10"/>
        <color rgb="FFFF0000"/>
        <rFont val="Arial"/>
        <family val="2"/>
      </rPr>
      <t xml:space="preserve">  - Deposit status &lt;&gt; New/ Normal</t>
    </r>
    <r>
      <rPr>
        <b/>
        <sz val="10"/>
        <color rgb="FFFF0000"/>
        <rFont val="Arial"/>
        <family val="2"/>
      </rPr>
      <t xml:space="preserve">
</t>
    </r>
    <r>
      <rPr>
        <sz val="10"/>
        <rFont val="Arial"/>
        <family val="2"/>
      </rPr>
      <t xml:space="preserve">  - Transfer amount &gt;= Initial deposit amount
  - Credit currency = Debit currency
  - Credit account &lt;&gt; Debit account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</si>
  <si>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 xml:space="preserve">Another deposit account
</t>
    </r>
    <r>
      <rPr>
        <sz val="10"/>
        <rFont val="Arial"/>
        <family val="2"/>
      </rPr>
      <t xml:space="preserve">  - Deposit type: Current/ Saving
  - Deposit sub type &lt;&gt;"Shwe cash call deposit account"
</t>
    </r>
    <r>
      <rPr>
        <sz val="10"/>
        <color rgb="FFFF0000"/>
        <rFont val="Arial"/>
        <family val="2"/>
      </rPr>
      <t xml:space="preserve">  - Deposit status: New
  - Transfer amount &lt; Initial deposit amount
</t>
    </r>
    <r>
      <rPr>
        <sz val="10"/>
        <rFont val="Arial"/>
        <family val="2"/>
      </rPr>
      <t xml:space="preserve">  - Credit currency = Debit currency
  - Credit account &lt;&gt; Debit account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</si>
  <si>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t>
    </r>
    <r>
      <rPr>
        <sz val="10"/>
        <color rgb="FFFF0000"/>
        <rFont val="Arial"/>
        <family val="2"/>
      </rPr>
      <t xml:space="preserve">  - Credit currency &lt;&gt; Debit currency</t>
    </r>
    <r>
      <rPr>
        <sz val="10"/>
        <rFont val="Arial"/>
        <family val="2"/>
      </rPr>
      <t xml:space="preserve">
  - Credit account &lt;&gt; Debit account
</t>
    </r>
    <r>
      <rPr>
        <b/>
        <sz val="10"/>
        <rFont val="Arial"/>
        <family val="2"/>
      </rPr>
      <t>0 &lt; Gross paid interest amount &lt;= Interest re-calculate + Interest due</t>
    </r>
  </si>
  <si>
    <r>
      <rPr>
        <b/>
        <sz val="10"/>
        <rFont val="Arial"/>
        <family val="2"/>
      </rPr>
      <t>Deposit account</t>
    </r>
    <r>
      <rPr>
        <sz val="10"/>
        <rFont val="Arial"/>
        <family val="2"/>
      </rPr>
      <t xml:space="preserve">
  - Deposit type: Current/ Saving/ Fixed deposit
  - Deposit status: Normal/ Dormant/ Maturity
  - Branch account = Branch teller
  - Earmark = 0
</t>
    </r>
    <r>
      <rPr>
        <b/>
        <sz val="10"/>
        <rFont val="Arial"/>
        <family val="2"/>
      </rPr>
      <t xml:space="preserve">Another deposit account
</t>
    </r>
    <r>
      <rPr>
        <sz val="10"/>
        <rFont val="Arial"/>
        <family val="2"/>
      </rPr>
      <t xml:space="preserve">  - Deposit type: Current/ Saving
  - Deposit sub type &lt;&gt;"Shwe cash call deposit account"
  - Deposit status: New/ Normal
  - Transfer amount &gt;= Initial deposit amount
  - Credit currency = Debit currency
</t>
    </r>
    <r>
      <rPr>
        <sz val="10"/>
        <color rgb="FFFF0000"/>
        <rFont val="Arial"/>
        <family val="2"/>
      </rPr>
      <t xml:space="preserve">  - Credit account = Debit account</t>
    </r>
    <r>
      <rPr>
        <sz val="10"/>
        <rFont val="Arial"/>
        <family val="2"/>
      </rPr>
      <t xml:space="preserve">
</t>
    </r>
    <r>
      <rPr>
        <b/>
        <sz val="10"/>
        <rFont val="Arial"/>
        <family val="2"/>
      </rPr>
      <t>0 &lt; Gross paid interest amount &lt;= Interest re-calculate + Interest due</t>
    </r>
  </si>
  <si>
    <t>Interest amount &lt; 0</t>
  </si>
  <si>
    <t>Accounting number is empty</t>
  </si>
  <si>
    <t>Accounting number does not exist</t>
  </si>
  <si>
    <r>
      <rPr>
        <b/>
        <sz val="10"/>
        <rFont val="Arial"/>
        <family val="2"/>
      </rPr>
      <t>Deposit account</t>
    </r>
    <r>
      <rPr>
        <sz val="10"/>
        <rFont val="Arial"/>
        <family val="2"/>
      </rPr>
      <t xml:space="preserve">
  - Deposit type: Current/ Saving/ Fixed deposit</t>
    </r>
    <r>
      <rPr>
        <sz val="10"/>
        <color rgb="FFFF0000"/>
        <rFont val="Arial"/>
        <family val="2"/>
      </rPr>
      <t xml:space="preserve">
  - Deposit status &lt;&gt; Normal/ Dormant/ Maturity</t>
    </r>
    <r>
      <rPr>
        <sz val="10"/>
        <rFont val="Arial"/>
        <family val="2"/>
      </rPr>
      <t xml:space="preserve">
  - Branch account = Branch teller
  - Earmark = 0
</t>
    </r>
    <r>
      <rPr>
        <b/>
        <sz val="10"/>
        <rFont val="Arial"/>
        <family val="2"/>
      </rPr>
      <t>GL account</t>
    </r>
    <r>
      <rPr>
        <sz val="10"/>
        <rFont val="Arial"/>
        <family val="2"/>
      </rPr>
      <t xml:space="preserve">
  - Posting side: Credit/ Both
  - Account level: 9
  - GL currency = Deposit currency
  - Account group &lt;&gt; Cash
  - Direct posting: Yes
</t>
    </r>
    <r>
      <rPr>
        <b/>
        <sz val="10"/>
        <rFont val="Arial"/>
        <family val="2"/>
      </rPr>
      <t>0 &lt; Gross paid interest amount &lt;= Interest re-calculate + Interest due</t>
    </r>
  </si>
  <si>
    <t>check theo hiện trạng trên prod đang không check Posting side của GL</t>
  </si>
  <si>
    <t>success do prod không validate</t>
  </si>
  <si>
    <r>
      <rPr>
        <b/>
        <sz val="10"/>
        <rFont val="Arial"/>
        <family val="2"/>
      </rPr>
      <t>Deposit account</t>
    </r>
    <r>
      <rPr>
        <sz val="10"/>
        <rFont val="Arial"/>
        <family val="2"/>
      </rPr>
      <t xml:space="preserve">
  - Deposit type: Current/ Saving/ Fixed deposit
  - Deposit sub type &lt;&gt;"Shwe cash call deposit account"
  - Deposit status: New/ Normal
  - Deposit amount &gt;= Initial deposit amount
</t>
    </r>
    <r>
      <rPr>
        <b/>
        <sz val="10"/>
        <rFont val="Arial"/>
        <family val="2"/>
      </rPr>
      <t>GL account</t>
    </r>
    <r>
      <rPr>
        <sz val="10"/>
        <rFont val="Arial"/>
        <family val="2"/>
      </rPr>
      <t xml:space="preserve">
  - Posting side: Debit/ Both
  - Account level: 9
  - GL currency = Deposit currency</t>
    </r>
    <r>
      <rPr>
        <b/>
        <sz val="10"/>
        <rFont val="Arial"/>
        <family val="2"/>
      </rPr>
      <t xml:space="preserve">
</t>
    </r>
    <r>
      <rPr>
        <sz val="10"/>
        <color rgb="FFFF0000"/>
        <rFont val="Arial"/>
        <family val="2"/>
      </rPr>
      <t xml:space="preserve">  - Account group: Cash
  - Direct posting: No
</t>
    </r>
    <r>
      <rPr>
        <sz val="10"/>
        <rFont val="Arial"/>
        <family val="2"/>
      </rPr>
      <t xml:space="preserve">  - Branch account = Branch teller</t>
    </r>
  </si>
  <si>
    <r>
      <rPr>
        <b/>
        <sz val="10"/>
        <rFont val="Arial"/>
        <family val="2"/>
      </rPr>
      <t>Deposit account</t>
    </r>
    <r>
      <rPr>
        <sz val="10"/>
        <rFont val="Arial"/>
        <family val="2"/>
      </rPr>
      <t xml:space="preserve">
  - Deposit type: Current/ Saving/ Fixed deposit
  - Deposit sub type &lt;&gt;"Shwe cash call deposit account"
  - Deposit status: New/ Normal
  - Deposit amount &gt;= Initial deposit amount
</t>
    </r>
    <r>
      <rPr>
        <b/>
        <sz val="10"/>
        <rFont val="Arial"/>
        <family val="2"/>
      </rPr>
      <t>GL account</t>
    </r>
    <r>
      <rPr>
        <sz val="10"/>
        <rFont val="Arial"/>
        <family val="2"/>
      </rPr>
      <t xml:space="preserve">
  - Posting side: Debit/ Both
  - Account level: 9
  - GL currency = Deposit currency</t>
    </r>
    <r>
      <rPr>
        <b/>
        <sz val="10"/>
        <rFont val="Arial"/>
        <family val="2"/>
      </rPr>
      <t xml:space="preserve">
</t>
    </r>
    <r>
      <rPr>
        <sz val="10"/>
        <color rgb="FFFF0000"/>
        <rFont val="Arial"/>
        <family val="2"/>
      </rPr>
      <t xml:space="preserve">  - Account group: Cash</t>
    </r>
    <r>
      <rPr>
        <sz val="10"/>
        <rFont val="Arial"/>
        <family val="2"/>
      </rPr>
      <t xml:space="preserve">
  - Direct posting: Yes
  - Branch account = Branch teller</t>
    </r>
  </si>
  <si>
    <r>
      <rPr>
        <b/>
        <sz val="10"/>
        <rFont val="Arial"/>
        <family val="2"/>
      </rPr>
      <t>Deposit account</t>
    </r>
    <r>
      <rPr>
        <sz val="10"/>
        <rFont val="Arial"/>
        <family val="2"/>
      </rPr>
      <t xml:space="preserve">
  - Deposit type: Current/ Saving/ Fixed deposit
  - Deposit sub type &lt;&gt;"Shwe cash call deposit account"
  - Deposit status: New/ Normal
  - Deposit amount &gt;= Initial deposit amount
</t>
    </r>
    <r>
      <rPr>
        <b/>
        <sz val="10"/>
        <rFont val="Arial"/>
        <family val="2"/>
      </rPr>
      <t>GL account</t>
    </r>
    <r>
      <rPr>
        <sz val="10"/>
        <rFont val="Arial"/>
        <family val="2"/>
      </rPr>
      <t xml:space="preserve">
  - Posting side: Debit/ Both
  - Account level: 9
  - GL currency = Deposit currency</t>
    </r>
    <r>
      <rPr>
        <b/>
        <sz val="10"/>
        <rFont val="Arial"/>
        <family val="2"/>
      </rPr>
      <t xml:space="preserve">
</t>
    </r>
    <r>
      <rPr>
        <sz val="10"/>
        <rFont val="Arial"/>
        <family val="2"/>
      </rPr>
      <t xml:space="preserve">  - Account group &lt;&gt; Cash
</t>
    </r>
    <r>
      <rPr>
        <sz val="10"/>
        <color rgb="FFFF0000"/>
        <rFont val="Arial"/>
        <family val="2"/>
      </rPr>
      <t xml:space="preserve">  - Direct posting &lt;&gt; Yes</t>
    </r>
    <r>
      <rPr>
        <sz val="10"/>
        <rFont val="Arial"/>
        <family val="2"/>
      </rPr>
      <t xml:space="preserve">
  - Branch account = Branch teller</t>
    </r>
  </si>
  <si>
    <t>MDP_001_026</t>
  </si>
  <si>
    <t>MDP_001_027</t>
  </si>
  <si>
    <r>
      <rPr>
        <b/>
        <sz val="10"/>
        <rFont val="Arial"/>
        <family val="2"/>
      </rPr>
      <t>Deposit account</t>
    </r>
    <r>
      <rPr>
        <sz val="10"/>
        <rFont val="Arial"/>
        <family val="2"/>
      </rPr>
      <t xml:space="preserve">
  - Deposit type: Current
  - Deposit status: Normal
</t>
    </r>
    <r>
      <rPr>
        <sz val="10"/>
        <color rgb="FFFF0000"/>
        <rFont val="Arial"/>
        <family val="2"/>
      </rPr>
      <t xml:space="preserve">  - Available balance of master &lt; Withdrawal amount &lt;= Available balance of linkage
  - Has linkage account for fund transfer
</t>
    </r>
    <r>
      <rPr>
        <b/>
        <sz val="10"/>
        <rFont val="Arial"/>
        <family val="2"/>
      </rPr>
      <t>Linkage account</t>
    </r>
    <r>
      <rPr>
        <sz val="10"/>
        <rFont val="Arial"/>
        <family val="2"/>
      </rPr>
      <t xml:space="preserve">
  - Deposit type: Saving
</t>
    </r>
    <r>
      <rPr>
        <sz val="10"/>
        <color rgb="FFFF0000"/>
        <rFont val="Arial"/>
        <family val="2"/>
      </rPr>
      <t xml:space="preserve">  - Deposit status &lt;&gt; Normal</t>
    </r>
    <r>
      <rPr>
        <sz val="10"/>
        <rFont val="Arial"/>
        <family val="2"/>
      </rPr>
      <t xml:space="preserve">
  - Linkage class: Auto fund transfer
</t>
    </r>
    <r>
      <rPr>
        <b/>
        <sz val="10"/>
        <rFont val="Arial"/>
        <family val="2"/>
      </rPr>
      <t>GL account</t>
    </r>
    <r>
      <rPr>
        <sz val="10"/>
        <rFont val="Arial"/>
        <family val="2"/>
      </rPr>
      <t xml:space="preserve">
  - Posting side: Credit/ Both
  - Balance + Withdrawal amount &gt;= Total fee
  - Account level: 9
  - GL currency = Deposit currency
  - Account group &lt;&gt; Cash
  - Direct posting: Yes
  - Branch account = Branch teller
1. Open "Miscellaneous withdrawal" screen
2. Input Account number
3. Input Withdraw amount
4. Input Credit accounting
5. Click Accept</t>
    </r>
  </si>
  <si>
    <r>
      <rPr>
        <b/>
        <sz val="10"/>
        <color theme="1"/>
        <rFont val="Arial"/>
        <family val="2"/>
      </rPr>
      <t>Debit account</t>
    </r>
    <r>
      <rPr>
        <sz val="10"/>
        <color theme="1"/>
        <rFont val="Arial"/>
        <family val="2"/>
      </rPr>
      <t xml:space="preserve">
  - Deposit type: </t>
    </r>
    <r>
      <rPr>
        <sz val="10"/>
        <color rgb="FFFF0000"/>
        <rFont val="Arial"/>
        <family val="2"/>
      </rPr>
      <t>Current</t>
    </r>
    <r>
      <rPr>
        <sz val="10"/>
        <color theme="1"/>
        <rFont val="Arial"/>
        <family val="2"/>
      </rPr>
      <t xml:space="preserve">
  - Deposit status: </t>
    </r>
    <r>
      <rPr>
        <sz val="10"/>
        <color rgb="FFFF0000"/>
        <rFont val="Arial"/>
        <family val="2"/>
      </rPr>
      <t>Normal</t>
    </r>
    <r>
      <rPr>
        <sz val="10"/>
        <color theme="1"/>
        <rFont val="Arial"/>
        <family val="2"/>
      </rPr>
      <t xml:space="preserve">
  - 0 &lt; Transfer amount &lt;= Available balance
  - Has no linkage account for fund transfer
</t>
    </r>
    <r>
      <rPr>
        <b/>
        <sz val="10"/>
        <color theme="1"/>
        <rFont val="Arial"/>
        <family val="2"/>
      </rPr>
      <t>Credit account</t>
    </r>
    <r>
      <rPr>
        <sz val="10"/>
        <color theme="1"/>
        <rFont val="Arial"/>
        <family val="2"/>
      </rPr>
      <t xml:space="preserve">
  - Deposit type: </t>
    </r>
    <r>
      <rPr>
        <sz val="10"/>
        <color rgb="FFFF0000"/>
        <rFont val="Arial"/>
        <family val="2"/>
      </rPr>
      <t>Current</t>
    </r>
    <r>
      <rPr>
        <sz val="10"/>
        <color theme="1"/>
        <rFont val="Arial"/>
        <family val="2"/>
      </rPr>
      <t xml:space="preserve">
  - Deposit status: </t>
    </r>
    <r>
      <rPr>
        <sz val="10"/>
        <color rgb="FFFF0000"/>
        <rFont val="Arial"/>
        <family val="2"/>
      </rPr>
      <t>Dormant</t>
    </r>
    <r>
      <rPr>
        <sz val="10"/>
        <rFont val="Arial"/>
        <family val="2"/>
      </rPr>
      <t xml:space="preserve">
  - Credit currency = Debit currency
  - Credit account &lt;&gt; Debit account</t>
    </r>
    <r>
      <rPr>
        <sz val="10"/>
        <color theme="1"/>
        <rFont val="Arial"/>
        <family val="2"/>
      </rPr>
      <t xml:space="preserve">
1. Open "Transfer from deposit account to deposit account" screen
2. Input Debit account
3. Input Transfer amount
4. Input Credit account
5. Click Accept</t>
    </r>
  </si>
  <si>
    <r>
      <rPr>
        <b/>
        <sz val="10"/>
        <rFont val="Arial"/>
        <family val="2"/>
      </rPr>
      <t xml:space="preserve">Debit account
</t>
    </r>
    <r>
      <rPr>
        <sz val="10"/>
        <rFont val="Arial"/>
        <family val="2"/>
      </rPr>
      <t xml:space="preserve">  - Deposit type: </t>
    </r>
    <r>
      <rPr>
        <sz val="10"/>
        <color rgb="FFFF0000"/>
        <rFont val="Arial"/>
        <family val="2"/>
      </rPr>
      <t>Current</t>
    </r>
    <r>
      <rPr>
        <sz val="10"/>
        <rFont val="Arial"/>
        <family val="2"/>
      </rPr>
      <t xml:space="preserve">
  - Deposit status: </t>
    </r>
    <r>
      <rPr>
        <sz val="10"/>
        <color rgb="FFFF0000"/>
        <rFont val="Arial"/>
        <family val="2"/>
      </rPr>
      <t>Normal</t>
    </r>
    <r>
      <rPr>
        <sz val="10"/>
        <rFont val="Arial"/>
        <family val="2"/>
      </rPr>
      <t xml:space="preserve">
  - 0 &lt; Transfer amount &lt;= Available balance
  - Has no linkage account for fund transfer
</t>
    </r>
    <r>
      <rPr>
        <b/>
        <sz val="10"/>
        <rFont val="Arial"/>
        <family val="2"/>
      </rPr>
      <t>Credit account</t>
    </r>
    <r>
      <rPr>
        <sz val="10"/>
        <color rgb="FF00B0F0"/>
        <rFont val="Arial"/>
        <family val="2"/>
      </rPr>
      <t xml:space="preserve">
</t>
    </r>
    <r>
      <rPr>
        <sz val="10"/>
        <rFont val="Arial"/>
        <family val="2"/>
      </rPr>
      <t xml:space="preserve">  - Deposit type: </t>
    </r>
    <r>
      <rPr>
        <sz val="10"/>
        <color rgb="FFFF0000"/>
        <rFont val="Arial"/>
        <family val="2"/>
      </rPr>
      <t>Saving</t>
    </r>
    <r>
      <rPr>
        <sz val="10"/>
        <rFont val="Arial"/>
        <family val="2"/>
      </rPr>
      <t xml:space="preserve">
  - Deposit status: </t>
    </r>
    <r>
      <rPr>
        <sz val="10"/>
        <color rgb="FFFF0000"/>
        <rFont val="Arial"/>
        <family val="2"/>
      </rPr>
      <t>Dormant</t>
    </r>
    <r>
      <rPr>
        <sz val="10"/>
        <rFont val="Arial"/>
        <family val="2"/>
      </rPr>
      <t xml:space="preserve">
  - Credit currency = Debit currency
  - Credit account &lt;&gt; Debit account
1. Open "Cash deposit" screen
2. Input account number
3. Input Amount deposit
4. Click Accept</t>
    </r>
  </si>
  <si>
    <t xml:space="preserve">ApproveTransactionHistory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</si>
</sst>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yy"/>
    <numFmt numFmtId="165" formatCode="0.0"/>
    <numFmt numFmtId="166" formatCode="_-* #,##0.00_-;\-* #,##0.00_-;_-* &quot;-&quot;??_-;_-@_-"/>
  </numFmts>
  <fonts count="31" x14ac:knownFonts="1">
    <font>
      <sz val="11"/>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sz val="11"/>
      <name val="Book Antiqua"/>
      <family val="1"/>
    </font>
    <font>
      <b/>
      <sz val="16"/>
      <name val="Arial"/>
      <family val="2"/>
    </font>
    <font>
      <sz val="10"/>
      <color indexed="12"/>
      <name val="Arial"/>
      <family val="2"/>
    </font>
    <font>
      <b/>
      <sz val="10"/>
      <name val="Arial"/>
      <family val="2"/>
    </font>
    <font>
      <sz val="10"/>
      <color theme="1"/>
      <name val="Arial"/>
      <family val="2"/>
    </font>
    <font>
      <b/>
      <sz val="10"/>
      <color theme="1"/>
      <name val="Arial"/>
      <family val="2"/>
    </font>
    <font>
      <b/>
      <sz val="15"/>
      <name val="Arial"/>
      <family val="2"/>
    </font>
    <font>
      <b/>
      <sz val="10"/>
      <color theme="0"/>
      <name val="Arial"/>
      <family val="2"/>
    </font>
    <font>
      <sz val="11"/>
      <color theme="1"/>
      <name val="Arial"/>
      <family val="2"/>
    </font>
    <font>
      <sz val="11"/>
      <color theme="1"/>
      <name val="Calibri"/>
      <family val="2"/>
      <scheme val="minor"/>
    </font>
    <font>
      <sz val="10"/>
      <color theme="1"/>
      <name val="Tahoma"/>
      <family val="2"/>
    </font>
    <font>
      <b/>
      <sz val="10"/>
      <color theme="1"/>
      <name val="Tahoma"/>
      <family val="2"/>
    </font>
    <font>
      <b/>
      <sz val="11"/>
      <name val="Arial"/>
      <family val="2"/>
    </font>
    <font>
      <b/>
      <sz val="11"/>
      <color theme="0"/>
      <name val="Arial"/>
      <family val="2"/>
    </font>
    <font>
      <b/>
      <i/>
      <sz val="10"/>
      <color theme="1"/>
      <name val="Arial"/>
      <family val="2"/>
    </font>
    <font>
      <sz val="10"/>
      <color rgb="FF00B0F0"/>
      <name val="Arial"/>
      <family val="2"/>
    </font>
    <font>
      <sz val="8"/>
      <name val="Arial"/>
      <family val="2"/>
    </font>
    <font>
      <sz val="10"/>
      <color rgb="FFFF0000"/>
      <name val="Arial"/>
      <family val="2"/>
    </font>
    <font>
      <b/>
      <sz val="10"/>
      <color rgb="FFFF0000"/>
      <name val="Arial"/>
      <family val="2"/>
    </font>
    <font>
      <b/>
      <sz val="10"/>
      <color rgb="FF00B0F0"/>
      <name val="Arial"/>
      <family val="2"/>
    </font>
    <font>
      <sz val="11"/>
      <color theme="0"/>
      <name val="Calibri"/>
      <family val="2"/>
      <scheme val="minor"/>
    </font>
    <font>
      <b/>
      <sz val="11"/>
      <color theme="1"/>
      <name val="Arial"/>
      <family val="2"/>
    </font>
    <font>
      <b/>
      <sz val="14"/>
      <color theme="0"/>
      <name val="Arial"/>
      <family val="2"/>
    </font>
    <font>
      <b/>
      <sz val="14"/>
      <name val="Arial"/>
      <family val="2"/>
    </font>
  </fonts>
  <fills count="15">
    <fill>
      <patternFill patternType="none"/>
    </fill>
    <fill>
      <patternFill patternType="gray125"/>
    </fill>
    <fill>
      <patternFill patternType="solid">
        <fgColor theme="7" tint="0.39997558519241921"/>
        <bgColor indexed="64"/>
      </patternFill>
    </fill>
    <fill>
      <patternFill patternType="solid">
        <fgColor theme="0"/>
        <bgColor indexed="64"/>
      </patternFill>
    </fill>
    <fill>
      <patternFill patternType="solid">
        <fgColor rgb="FFFFCC66"/>
        <bgColor indexed="64"/>
      </patternFill>
    </fill>
    <fill>
      <patternFill patternType="solid">
        <fgColor rgb="FFF16624"/>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4"/>
        <bgColor indexed="64"/>
      </patternFill>
    </fill>
    <fill>
      <patternFill patternType="solid">
        <fgColor rgb="FFFFCC66"/>
        <bgColor rgb="FFFFCC66"/>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auto="1"/>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top/>
      <bottom/>
      <diagonal/>
    </border>
    <border>
      <left style="thin">
        <color theme="1"/>
      </left>
      <right style="thin">
        <color theme="1"/>
      </right>
      <top/>
      <bottom/>
      <diagonal/>
    </border>
    <border>
      <left style="thin">
        <color theme="1"/>
      </left>
      <right style="thin">
        <color theme="1"/>
      </right>
      <top style="thin">
        <color theme="1"/>
      </top>
      <bottom style="medium">
        <color theme="1"/>
      </bottom>
      <diagonal/>
    </border>
    <border>
      <left style="thin">
        <color theme="1"/>
      </left>
      <right style="thin">
        <color theme="1"/>
      </right>
      <top/>
      <bottom style="medium">
        <color theme="1"/>
      </bottom>
      <diagonal/>
    </border>
    <border>
      <left style="thin">
        <color theme="1"/>
      </left>
      <right style="thin">
        <color theme="1"/>
      </right>
      <top style="medium">
        <color theme="1"/>
      </top>
      <bottom/>
      <diagonal/>
    </border>
    <border>
      <left style="thin">
        <color theme="1"/>
      </left>
      <right style="thin">
        <color theme="1"/>
      </right>
      <top style="medium">
        <color theme="1"/>
      </top>
      <bottom style="thin">
        <color theme="1"/>
      </bottom>
      <diagonal/>
    </border>
    <border>
      <left style="medium">
        <color indexed="64"/>
      </left>
      <right style="thin">
        <color theme="1"/>
      </right>
      <top/>
      <bottom/>
      <diagonal/>
    </border>
    <border>
      <left style="thin">
        <color theme="1"/>
      </left>
      <right style="medium">
        <color indexed="64"/>
      </right>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bottom style="medium">
        <color theme="1"/>
      </bottom>
      <diagonal/>
    </border>
    <border>
      <left style="thin">
        <color theme="1"/>
      </left>
      <right style="medium">
        <color indexed="64"/>
      </right>
      <top style="thin">
        <color theme="1"/>
      </top>
      <bottom style="medium">
        <color theme="1"/>
      </bottom>
      <diagonal/>
    </border>
    <border>
      <left style="medium">
        <color indexed="64"/>
      </left>
      <right style="thin">
        <color theme="1"/>
      </right>
      <top style="medium">
        <color theme="1"/>
      </top>
      <bottom/>
      <diagonal/>
    </border>
    <border>
      <left style="thin">
        <color theme="1"/>
      </left>
      <right style="medium">
        <color indexed="64"/>
      </right>
      <top style="medium">
        <color theme="1"/>
      </top>
      <bottom style="thin">
        <color theme="1"/>
      </bottom>
      <diagonal/>
    </border>
    <border>
      <left style="medium">
        <color indexed="64"/>
      </left>
      <right style="thin">
        <color theme="1"/>
      </right>
      <top/>
      <bottom style="medium">
        <color indexed="64"/>
      </bottom>
      <diagonal/>
    </border>
    <border>
      <left style="thin">
        <color theme="1"/>
      </left>
      <right style="thin">
        <color theme="1"/>
      </right>
      <top/>
      <bottom style="medium">
        <color indexed="64"/>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style="thin">
        <color theme="1"/>
      </left>
      <right/>
      <top style="medium">
        <color theme="1"/>
      </top>
      <bottom/>
      <diagonal/>
    </border>
    <border>
      <left/>
      <right style="thin">
        <color theme="1"/>
      </right>
      <top style="medium">
        <color theme="1"/>
      </top>
      <bottom style="thin">
        <color theme="1"/>
      </bottom>
      <diagonal/>
    </border>
    <border>
      <left style="thin">
        <color theme="1"/>
      </left>
      <right style="thin">
        <color theme="1"/>
      </right>
      <top style="thin">
        <color theme="1"/>
      </top>
      <bottom/>
      <diagonal/>
    </border>
  </borders>
  <cellStyleXfs count="11">
    <xf numFmtId="0" fontId="0" fillId="0" borderId="0"/>
    <xf numFmtId="0" fontId="6" fillId="0" borderId="0"/>
    <xf numFmtId="0" fontId="6" fillId="0" borderId="0" applyNumberFormat="0" applyFill="0" applyBorder="0" applyAlignment="0" applyProtection="0"/>
    <xf numFmtId="0" fontId="7" fillId="0" borderId="0"/>
    <xf numFmtId="0" fontId="6" fillId="0" borderId="0"/>
    <xf numFmtId="9" fontId="15" fillId="0" borderId="0" applyFont="0" applyFill="0" applyBorder="0" applyAlignment="0" applyProtection="0"/>
    <xf numFmtId="43" fontId="16" fillId="0" borderId="0" applyFont="0" applyFill="0" applyBorder="0" applyAlignment="0" applyProtection="0"/>
    <xf numFmtId="166" fontId="16" fillId="0" borderId="0" applyFont="0" applyFill="0" applyBorder="0" applyAlignment="0" applyProtection="0"/>
    <xf numFmtId="0" fontId="27"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cellStyleXfs>
  <cellXfs count="165">
    <xf numFmtId="0" fontId="0" fillId="0" borderId="0" xfId="0"/>
    <xf numFmtId="0" fontId="9" fillId="3" borderId="0" xfId="3" applyFont="1" applyFill="1"/>
    <xf numFmtId="0" fontId="6" fillId="3" borderId="0" xfId="4" applyFont="1" applyFill="1"/>
    <xf numFmtId="165" fontId="6" fillId="3" borderId="1" xfId="2" applyNumberFormat="1" applyFont="1" applyFill="1" applyBorder="1" applyAlignment="1">
      <alignment horizontal="left" vertical="center" wrapText="1"/>
    </xf>
    <xf numFmtId="0" fontId="6" fillId="3" borderId="1" xfId="2" applyFont="1" applyFill="1" applyBorder="1" applyAlignment="1">
      <alignment horizontal="left" vertical="center" wrapText="1"/>
    </xf>
    <xf numFmtId="0" fontId="6" fillId="3" borderId="6" xfId="2" applyFont="1" applyFill="1" applyBorder="1" applyAlignment="1">
      <alignment horizontal="left" vertical="center" wrapText="1"/>
    </xf>
    <xf numFmtId="0" fontId="6" fillId="3" borderId="9" xfId="2" applyFont="1" applyFill="1" applyBorder="1" applyAlignment="1">
      <alignment horizontal="left" vertical="center" wrapText="1"/>
    </xf>
    <xf numFmtId="0" fontId="6" fillId="3" borderId="12" xfId="2" applyFont="1" applyFill="1" applyBorder="1" applyAlignment="1">
      <alignment horizontal="left" vertical="center" wrapText="1"/>
    </xf>
    <xf numFmtId="0" fontId="11" fillId="0" borderId="0" xfId="0" applyFont="1"/>
    <xf numFmtId="0" fontId="6" fillId="3" borderId="0" xfId="3" applyFont="1" applyFill="1" applyAlignment="1">
      <alignment horizontal="left"/>
    </xf>
    <xf numFmtId="0" fontId="6" fillId="3" borderId="0" xfId="2" applyFont="1" applyFill="1"/>
    <xf numFmtId="0" fontId="12" fillId="0" borderId="0" xfId="0" applyFont="1" applyAlignment="1">
      <alignment horizontal="left" vertical="center" wrapText="1"/>
    </xf>
    <xf numFmtId="0" fontId="11" fillId="0" borderId="0" xfId="0" applyFont="1" applyAlignment="1">
      <alignment horizontal="left" vertical="center"/>
    </xf>
    <xf numFmtId="0" fontId="6" fillId="0" borderId="1" xfId="2" applyFont="1" applyFill="1" applyBorder="1" applyAlignment="1">
      <alignment horizontal="left" vertical="center"/>
    </xf>
    <xf numFmtId="0" fontId="6" fillId="3" borderId="1" xfId="0" applyFont="1" applyFill="1" applyBorder="1" applyAlignment="1">
      <alignment horizontal="left" vertical="center" wrapText="1"/>
    </xf>
    <xf numFmtId="0" fontId="17" fillId="0" borderId="1" xfId="0" applyFont="1" applyBorder="1" applyAlignment="1">
      <alignment horizontal="center" vertical="center" wrapText="1"/>
    </xf>
    <xf numFmtId="0" fontId="17" fillId="0" borderId="16" xfId="0" applyFont="1" applyBorder="1" applyAlignment="1">
      <alignment horizontal="left" vertical="center" wrapText="1"/>
    </xf>
    <xf numFmtId="16" fontId="17" fillId="0" borderId="1" xfId="0" applyNumberFormat="1" applyFont="1" applyFill="1" applyBorder="1" applyAlignment="1">
      <alignment vertical="center" wrapText="1"/>
    </xf>
    <xf numFmtId="14" fontId="17" fillId="0" borderId="1" xfId="0" applyNumberFormat="1" applyFont="1" applyBorder="1" applyAlignment="1">
      <alignment horizontal="center" vertical="center"/>
    </xf>
    <xf numFmtId="0" fontId="17" fillId="0" borderId="1" xfId="0" applyFont="1" applyBorder="1" applyAlignment="1">
      <alignment horizontal="center" vertical="center"/>
    </xf>
    <xf numFmtId="0" fontId="13" fillId="0" borderId="0" xfId="1" applyNumberFormat="1" applyFont="1" applyFill="1" applyBorder="1" applyAlignment="1">
      <alignment vertical="center"/>
    </xf>
    <xf numFmtId="0" fontId="5" fillId="0" borderId="0" xfId="0" applyFont="1" applyBorder="1"/>
    <xf numFmtId="10" fontId="6" fillId="0" borderId="1" xfId="5"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4" fillId="0" borderId="0" xfId="0" applyFont="1"/>
    <xf numFmtId="0" fontId="4" fillId="0" borderId="13" xfId="0" applyFont="1" applyBorder="1"/>
    <xf numFmtId="0" fontId="4" fillId="0" borderId="0" xfId="0" applyFont="1" applyBorder="1"/>
    <xf numFmtId="0" fontId="12" fillId="4" borderId="1" xfId="0" applyFont="1" applyFill="1" applyBorder="1" applyAlignment="1">
      <alignment horizontal="center" vertical="center" wrapText="1"/>
    </xf>
    <xf numFmtId="164" fontId="6" fillId="3" borderId="5" xfId="2" applyNumberFormat="1" applyFont="1" applyFill="1" applyBorder="1" applyAlignment="1">
      <alignment horizontal="center" vertical="center" wrapText="1"/>
    </xf>
    <xf numFmtId="14" fontId="6" fillId="3" borderId="5" xfId="2" applyNumberFormat="1" applyFont="1" applyFill="1" applyBorder="1" applyAlignment="1">
      <alignment horizontal="center" vertical="center" wrapText="1"/>
    </xf>
    <xf numFmtId="14" fontId="6" fillId="3" borderId="7" xfId="2" applyNumberFormat="1" applyFont="1" applyFill="1" applyBorder="1" applyAlignment="1">
      <alignment horizontal="center" vertical="center" wrapText="1"/>
    </xf>
    <xf numFmtId="14" fontId="6" fillId="3" borderId="10" xfId="2" applyNumberFormat="1" applyFont="1" applyFill="1" applyBorder="1" applyAlignment="1">
      <alignment horizontal="center" vertical="center" wrapText="1"/>
    </xf>
    <xf numFmtId="165" fontId="6" fillId="3" borderId="1" xfId="2" applyNumberFormat="1" applyFont="1" applyFill="1" applyBorder="1" applyAlignment="1">
      <alignment horizontal="center" vertical="center" wrapText="1"/>
    </xf>
    <xf numFmtId="0" fontId="6" fillId="3" borderId="1" xfId="2" applyFont="1" applyFill="1" applyBorder="1" applyAlignment="1">
      <alignment horizontal="center" vertical="center" wrapText="1"/>
    </xf>
    <xf numFmtId="0" fontId="6" fillId="3" borderId="1" xfId="2" quotePrefix="1" applyFont="1" applyFill="1" applyBorder="1" applyAlignment="1">
      <alignment horizontal="center" vertical="center" wrapText="1"/>
    </xf>
    <xf numFmtId="0" fontId="6" fillId="3" borderId="8" xfId="2" applyFont="1" applyFill="1" applyBorder="1" applyAlignment="1">
      <alignment horizontal="center" vertical="center" wrapText="1"/>
    </xf>
    <xf numFmtId="0" fontId="6" fillId="3" borderId="8" xfId="2" quotePrefix="1" applyFont="1" applyFill="1" applyBorder="1" applyAlignment="1">
      <alignment horizontal="center" vertical="center" wrapText="1"/>
    </xf>
    <xf numFmtId="0" fontId="6" fillId="3" borderId="11" xfId="2" applyFont="1" applyFill="1" applyBorder="1" applyAlignment="1">
      <alignment horizontal="center" vertical="center" wrapText="1"/>
    </xf>
    <xf numFmtId="0" fontId="6" fillId="3" borderId="8" xfId="2" applyFont="1" applyFill="1" applyBorder="1" applyAlignment="1">
      <alignment horizontal="left" vertical="center" wrapText="1"/>
    </xf>
    <xf numFmtId="0" fontId="6" fillId="3" borderId="11" xfId="2" applyFont="1" applyFill="1" applyBorder="1" applyAlignment="1">
      <alignment horizontal="left" vertical="center" wrapText="1"/>
    </xf>
    <xf numFmtId="0" fontId="14" fillId="5" borderId="1" xfId="1" applyNumberFormat="1" applyFont="1" applyFill="1" applyBorder="1" applyAlignment="1">
      <alignment horizontal="center" vertical="center" wrapText="1"/>
    </xf>
    <xf numFmtId="0" fontId="10" fillId="6" borderId="1" xfId="2" applyFont="1" applyFill="1" applyBorder="1" applyAlignment="1">
      <alignment horizontal="left" vertical="center" wrapText="1"/>
    </xf>
    <xf numFmtId="0" fontId="10" fillId="6" borderId="1" xfId="2" applyFont="1" applyFill="1" applyBorder="1" applyAlignment="1">
      <alignment horizontal="left" vertical="center"/>
    </xf>
    <xf numFmtId="0" fontId="10" fillId="6" borderId="1" xfId="2" applyFont="1" applyFill="1" applyBorder="1" applyAlignment="1">
      <alignment horizontal="center" vertical="center"/>
    </xf>
    <xf numFmtId="0" fontId="14" fillId="5" borderId="1" xfId="1" applyNumberFormat="1" applyFont="1" applyFill="1" applyBorder="1" applyAlignment="1">
      <alignment horizontal="left" vertical="center" wrapText="1"/>
    </xf>
    <xf numFmtId="49" fontId="14" fillId="5" borderId="1" xfId="1" applyNumberFormat="1" applyFont="1" applyFill="1" applyBorder="1" applyAlignment="1">
      <alignment horizontal="left" vertical="center" wrapText="1"/>
    </xf>
    <xf numFmtId="10" fontId="10" fillId="6" borderId="1" xfId="5" applyNumberFormat="1" applyFont="1" applyFill="1" applyBorder="1" applyAlignment="1">
      <alignment horizontal="center" vertical="center"/>
    </xf>
    <xf numFmtId="14" fontId="17" fillId="0" borderId="0" xfId="0" quotePrefix="1" applyNumberFormat="1" applyFont="1" applyBorder="1" applyAlignment="1">
      <alignment horizontal="left" vertical="center"/>
    </xf>
    <xf numFmtId="0" fontId="3" fillId="0" borderId="0" xfId="0" applyFont="1" applyAlignment="1">
      <alignment horizontal="left" vertical="center"/>
    </xf>
    <xf numFmtId="0" fontId="3" fillId="0" borderId="0" xfId="0" quotePrefix="1" applyFont="1" applyAlignment="1">
      <alignment horizontal="left" vertical="center"/>
    </xf>
    <xf numFmtId="0" fontId="17" fillId="6" borderId="1" xfId="0" applyFont="1" applyFill="1" applyBorder="1" applyAlignment="1">
      <alignment vertical="center"/>
    </xf>
    <xf numFmtId="0" fontId="17" fillId="7" borderId="1" xfId="0" applyFont="1" applyFill="1" applyBorder="1" applyAlignment="1">
      <alignment vertical="center" wrapText="1"/>
    </xf>
    <xf numFmtId="0" fontId="17" fillId="7" borderId="1" xfId="0" applyFont="1" applyFill="1" applyBorder="1" applyAlignment="1">
      <alignment vertical="center"/>
    </xf>
    <xf numFmtId="0" fontId="17" fillId="9" borderId="1" xfId="0" applyFont="1" applyFill="1" applyBorder="1" applyAlignment="1">
      <alignment vertical="center"/>
    </xf>
    <xf numFmtId="0" fontId="4" fillId="9" borderId="1" xfId="0" applyFont="1" applyFill="1" applyBorder="1"/>
    <xf numFmtId="10" fontId="4" fillId="9" borderId="1" xfId="5" applyNumberFormat="1" applyFont="1" applyFill="1" applyBorder="1"/>
    <xf numFmtId="0" fontId="4" fillId="6" borderId="1" xfId="0" applyFont="1" applyFill="1" applyBorder="1"/>
    <xf numFmtId="10" fontId="4" fillId="6" borderId="1" xfId="5" applyNumberFormat="1" applyFont="1" applyFill="1" applyBorder="1"/>
    <xf numFmtId="10" fontId="4" fillId="8" borderId="1" xfId="5" applyNumberFormat="1" applyFont="1" applyFill="1" applyBorder="1"/>
    <xf numFmtId="10" fontId="4" fillId="7" borderId="1" xfId="5" applyNumberFormat="1" applyFont="1" applyFill="1" applyBorder="1"/>
    <xf numFmtId="0" fontId="20" fillId="5" borderId="2" xfId="1" applyNumberFormat="1" applyFont="1" applyFill="1" applyBorder="1" applyAlignment="1">
      <alignment horizontal="left" vertical="center" wrapText="1"/>
    </xf>
    <xf numFmtId="0" fontId="20" fillId="5" borderId="3" xfId="1" applyNumberFormat="1" applyFont="1" applyFill="1" applyBorder="1" applyAlignment="1">
      <alignment horizontal="left" vertical="center" wrapText="1"/>
    </xf>
    <xf numFmtId="0" fontId="20" fillId="5" borderId="4" xfId="1" applyNumberFormat="1" applyFont="1" applyFill="1" applyBorder="1" applyAlignment="1">
      <alignment horizontal="left" vertical="center" wrapText="1"/>
    </xf>
    <xf numFmtId="0" fontId="3" fillId="8" borderId="1" xfId="0" applyFont="1" applyFill="1" applyBorder="1"/>
    <xf numFmtId="0" fontId="3" fillId="7" borderId="1" xfId="0" applyFont="1" applyFill="1" applyBorder="1"/>
    <xf numFmtId="0" fontId="3" fillId="9" borderId="1" xfId="0" applyFont="1" applyFill="1" applyBorder="1"/>
    <xf numFmtId="0" fontId="14" fillId="10" borderId="1" xfId="0" applyFont="1" applyFill="1" applyBorder="1" applyAlignment="1">
      <alignment horizontal="center" vertical="center" wrapText="1"/>
    </xf>
    <xf numFmtId="0" fontId="10" fillId="3" borderId="1" xfId="2" applyFont="1" applyFill="1" applyBorder="1" applyAlignment="1">
      <alignment horizontal="left" vertical="center" wrapText="1"/>
    </xf>
    <xf numFmtId="0" fontId="6" fillId="0" borderId="1" xfId="2" applyNumberFormat="1" applyFont="1" applyFill="1" applyBorder="1" applyAlignment="1">
      <alignment horizontal="center" vertical="center"/>
    </xf>
    <xf numFmtId="0" fontId="10" fillId="6" borderId="1" xfId="2" applyNumberFormat="1" applyFont="1" applyFill="1" applyBorder="1" applyAlignment="1">
      <alignment horizontal="center" vertical="center"/>
    </xf>
    <xf numFmtId="0" fontId="11" fillId="0" borderId="0" xfId="0" applyNumberFormat="1" applyFont="1"/>
    <xf numFmtId="165" fontId="6" fillId="3" borderId="5" xfId="2" applyNumberFormat="1" applyFont="1" applyFill="1" applyBorder="1" applyAlignment="1">
      <alignment horizontal="center" vertical="center" wrapText="1"/>
    </xf>
    <xf numFmtId="0" fontId="10" fillId="0" borderId="1" xfId="2" applyFont="1" applyFill="1" applyBorder="1" applyAlignment="1">
      <alignment horizontal="left" vertical="center" wrapText="1"/>
    </xf>
    <xf numFmtId="0" fontId="2" fillId="0" borderId="18" xfId="0" applyFont="1" applyBorder="1" applyAlignment="1">
      <alignment horizontal="left" vertical="center" wrapText="1"/>
    </xf>
    <xf numFmtId="0" fontId="2" fillId="0" borderId="18" xfId="0" applyFont="1" applyBorder="1" applyAlignment="1">
      <alignment horizontal="left" vertical="center"/>
    </xf>
    <xf numFmtId="0" fontId="6" fillId="0" borderId="18" xfId="0" applyFont="1" applyBorder="1" applyAlignment="1">
      <alignment horizontal="left" vertical="center" wrapText="1"/>
    </xf>
    <xf numFmtId="0" fontId="25" fillId="0" borderId="18" xfId="0" applyFont="1" applyBorder="1" applyAlignment="1">
      <alignment horizontal="left" vertical="center" wrapText="1"/>
    </xf>
    <xf numFmtId="0" fontId="2" fillId="0" borderId="1" xfId="0" quotePrefix="1" applyFont="1" applyBorder="1" applyAlignment="1">
      <alignment vertical="center" wrapText="1"/>
    </xf>
    <xf numFmtId="0" fontId="26" fillId="0" borderId="18" xfId="0" applyFont="1" applyBorder="1" applyAlignment="1">
      <alignment horizontal="left" vertical="center" wrapText="1"/>
    </xf>
    <xf numFmtId="0" fontId="2" fillId="0" borderId="19" xfId="0" quotePrefix="1" applyFont="1" applyBorder="1" applyAlignment="1">
      <alignment vertical="center" wrapText="1"/>
    </xf>
    <xf numFmtId="0" fontId="12" fillId="11" borderId="20" xfId="0" applyFont="1" applyFill="1" applyBorder="1" applyAlignment="1">
      <alignment horizontal="center" vertical="center" wrapText="1"/>
    </xf>
    <xf numFmtId="14" fontId="6" fillId="3" borderId="1" xfId="2" applyNumberFormat="1" applyFont="1" applyFill="1" applyBorder="1" applyAlignment="1">
      <alignment horizontal="center" vertical="center" wrapText="1"/>
    </xf>
    <xf numFmtId="0" fontId="6" fillId="0" borderId="18" xfId="2" applyBorder="1" applyAlignment="1">
      <alignment horizontal="left" vertical="center" wrapText="1"/>
    </xf>
    <xf numFmtId="0" fontId="2" fillId="0" borderId="0" xfId="0" applyFont="1"/>
    <xf numFmtId="0" fontId="10" fillId="0" borderId="0" xfId="1" applyFont="1" applyAlignment="1">
      <alignment horizontal="left" vertical="center"/>
    </xf>
    <xf numFmtId="0" fontId="2" fillId="0" borderId="0" xfId="0" applyFont="1" applyAlignment="1">
      <alignment horizontal="left" vertical="center" wrapText="1"/>
    </xf>
    <xf numFmtId="14" fontId="6" fillId="0" borderId="0" xfId="1" applyNumberFormat="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13" fillId="0" borderId="0" xfId="1" applyFont="1" applyAlignment="1">
      <alignment vertical="center"/>
    </xf>
    <xf numFmtId="0" fontId="19" fillId="0" borderId="0" xfId="1" applyFont="1" applyAlignment="1">
      <alignment vertical="center"/>
    </xf>
    <xf numFmtId="49" fontId="6" fillId="0" borderId="0" xfId="1" applyNumberFormat="1" applyAlignment="1">
      <alignment horizontal="left" vertical="center" wrapText="1"/>
    </xf>
    <xf numFmtId="0" fontId="6" fillId="0" borderId="0" xfId="1" applyAlignment="1">
      <alignment horizontal="left" vertical="center" wrapText="1"/>
    </xf>
    <xf numFmtId="0" fontId="14" fillId="10" borderId="1" xfId="1" applyFont="1" applyFill="1" applyBorder="1" applyAlignment="1">
      <alignment horizontal="center" vertical="center" wrapText="1"/>
    </xf>
    <xf numFmtId="0" fontId="6" fillId="0" borderId="1" xfId="2" applyFill="1" applyBorder="1" applyAlignment="1">
      <alignment horizontal="left" vertical="center" wrapText="1"/>
    </xf>
    <xf numFmtId="0" fontId="6" fillId="0" borderId="1" xfId="2" quotePrefix="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4" fontId="6" fillId="0" borderId="1" xfId="0" applyNumberFormat="1" applyFont="1" applyBorder="1" applyAlignment="1">
      <alignment horizontal="left" vertical="center" wrapText="1"/>
    </xf>
    <xf numFmtId="0" fontId="2" fillId="0" borderId="0" xfId="0" applyFont="1" applyAlignment="1">
      <alignment vertical="center"/>
    </xf>
    <xf numFmtId="0" fontId="6" fillId="0" borderId="1" xfId="2" applyBorder="1" applyAlignment="1">
      <alignment horizontal="left" vertical="center"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xf numFmtId="0" fontId="0" fillId="0" borderId="21" xfId="0" applyBorder="1" applyAlignment="1">
      <alignment vertical="top" wrapText="1"/>
    </xf>
    <xf numFmtId="0" fontId="0" fillId="0" borderId="21" xfId="0" applyBorder="1" applyAlignment="1">
      <alignment vertical="top"/>
    </xf>
    <xf numFmtId="0" fontId="0" fillId="0" borderId="21" xfId="0" applyBorder="1"/>
    <xf numFmtId="0" fontId="0" fillId="0" borderId="24" xfId="0" applyBorder="1" applyAlignment="1">
      <alignment vertical="top" wrapText="1"/>
    </xf>
    <xf numFmtId="0" fontId="0" fillId="0" borderId="24" xfId="0" quotePrefix="1" applyBorder="1" applyAlignment="1">
      <alignment vertical="top" wrapText="1"/>
    </xf>
    <xf numFmtId="0" fontId="0" fillId="0" borderId="27" xfId="0" applyBorder="1"/>
    <xf numFmtId="0" fontId="0" fillId="0" borderId="27" xfId="0" applyBorder="1" applyAlignment="1">
      <alignment vertical="top"/>
    </xf>
    <xf numFmtId="0" fontId="0" fillId="0" borderId="26" xfId="0" applyFill="1" applyBorder="1" applyAlignment="1">
      <alignment vertical="top"/>
    </xf>
    <xf numFmtId="0" fontId="0" fillId="0" borderId="21" xfId="0" applyFill="1" applyBorder="1" applyAlignment="1">
      <alignment vertical="top"/>
    </xf>
    <xf numFmtId="0" fontId="0" fillId="0" borderId="30" xfId="0" applyBorder="1" applyAlignment="1">
      <alignment vertical="top" wrapText="1"/>
    </xf>
    <xf numFmtId="0" fontId="0" fillId="0" borderId="30" xfId="0" quotePrefix="1" applyBorder="1" applyAlignment="1">
      <alignment vertical="top" wrapText="1"/>
    </xf>
    <xf numFmtId="0" fontId="30" fillId="13" borderId="1" xfId="9" applyFont="1" applyBorder="1" applyAlignment="1">
      <alignment vertical="center"/>
    </xf>
    <xf numFmtId="0" fontId="0" fillId="0" borderId="23" xfId="0" applyBorder="1" applyAlignment="1">
      <alignment vertical="top" wrapText="1"/>
    </xf>
    <xf numFmtId="0" fontId="0" fillId="0" borderId="22" xfId="0" applyBorder="1" applyAlignment="1">
      <alignment vertical="top"/>
    </xf>
    <xf numFmtId="0" fontId="0" fillId="0" borderId="22" xfId="0" applyBorder="1"/>
    <xf numFmtId="0" fontId="0" fillId="0" borderId="28" xfId="0" applyBorder="1"/>
    <xf numFmtId="0" fontId="30" fillId="13" borderId="6" xfId="9" applyFont="1" applyBorder="1" applyAlignment="1">
      <alignment vertical="center"/>
    </xf>
    <xf numFmtId="0" fontId="0" fillId="0" borderId="32" xfId="0" applyBorder="1" applyAlignment="1">
      <alignment vertical="top" wrapText="1"/>
    </xf>
    <xf numFmtId="0" fontId="0" fillId="0" borderId="33" xfId="0" applyBorder="1" applyAlignment="1">
      <alignment vertical="top"/>
    </xf>
    <xf numFmtId="0" fontId="0" fillId="0" borderId="35" xfId="0" applyBorder="1" applyAlignment="1">
      <alignment vertical="top"/>
    </xf>
    <xf numFmtId="0" fontId="0" fillId="0" borderId="33" xfId="0" applyBorder="1" applyAlignment="1">
      <alignment vertical="top" wrapText="1"/>
    </xf>
    <xf numFmtId="0" fontId="0" fillId="0" borderId="37" xfId="0" applyBorder="1" applyAlignment="1">
      <alignment vertical="top" wrapText="1"/>
    </xf>
    <xf numFmtId="0" fontId="0" fillId="0" borderId="33" xfId="0" applyBorder="1"/>
    <xf numFmtId="0" fontId="0" fillId="0" borderId="40" xfId="0" applyBorder="1"/>
    <xf numFmtId="0" fontId="0" fillId="0" borderId="41" xfId="0" applyBorder="1" applyAlignment="1">
      <alignment vertical="top"/>
    </xf>
    <xf numFmtId="0" fontId="0" fillId="0" borderId="43" xfId="0" applyBorder="1" applyAlignment="1">
      <alignment vertical="top" wrapText="1"/>
    </xf>
    <xf numFmtId="0" fontId="0" fillId="0" borderId="44" xfId="0" applyBorder="1"/>
    <xf numFmtId="0" fontId="0" fillId="0" borderId="24" xfId="0" applyBorder="1"/>
    <xf numFmtId="0" fontId="13" fillId="0" borderId="0" xfId="1" applyFont="1" applyAlignment="1">
      <alignment horizontal="center" vertical="center"/>
    </xf>
    <xf numFmtId="14" fontId="6" fillId="0" borderId="1" xfId="0" applyNumberFormat="1" applyFont="1" applyBorder="1" applyAlignment="1">
      <alignment horizontal="center" vertical="center" wrapText="1"/>
    </xf>
    <xf numFmtId="0" fontId="2" fillId="0" borderId="0" xfId="0" applyFont="1" applyAlignment="1">
      <alignment horizontal="center"/>
    </xf>
    <xf numFmtId="0" fontId="8" fillId="3" borderId="0" xfId="3" applyFont="1" applyFill="1" applyAlignment="1">
      <alignment horizontal="center"/>
    </xf>
    <xf numFmtId="0" fontId="18" fillId="0" borderId="14" xfId="0" applyFont="1" applyBorder="1" applyAlignment="1">
      <alignment horizontal="center" vertical="center"/>
    </xf>
    <xf numFmtId="0" fontId="18" fillId="0" borderId="17" xfId="0" applyFont="1" applyBorder="1" applyAlignment="1">
      <alignment horizontal="center" vertical="center"/>
    </xf>
    <xf numFmtId="0" fontId="18" fillId="0" borderId="15" xfId="0" applyFont="1" applyBorder="1" applyAlignment="1">
      <alignment horizontal="center" vertical="center"/>
    </xf>
    <xf numFmtId="0" fontId="18" fillId="0" borderId="1" xfId="0" applyFont="1" applyBorder="1" applyAlignment="1">
      <alignment horizontal="center" vertical="center"/>
    </xf>
    <xf numFmtId="0" fontId="12" fillId="0" borderId="14" xfId="0" applyFont="1" applyBorder="1" applyAlignment="1">
      <alignment horizontal="center"/>
    </xf>
    <xf numFmtId="0" fontId="12" fillId="0" borderId="15" xfId="0" applyFont="1" applyBorder="1" applyAlignment="1">
      <alignment horizontal="center"/>
    </xf>
    <xf numFmtId="0" fontId="18" fillId="6" borderId="14" xfId="0" applyFont="1" applyFill="1" applyBorder="1" applyAlignment="1">
      <alignment horizontal="center"/>
    </xf>
    <xf numFmtId="0" fontId="18" fillId="6" borderId="15" xfId="0" applyFont="1" applyFill="1" applyBorder="1" applyAlignment="1">
      <alignment horizontal="center"/>
    </xf>
    <xf numFmtId="0" fontId="10" fillId="7" borderId="14" xfId="1" applyNumberFormat="1" applyFont="1" applyFill="1" applyBorder="1" applyAlignment="1">
      <alignment horizontal="left" vertical="center" wrapText="1"/>
    </xf>
    <xf numFmtId="0" fontId="14" fillId="7" borderId="17" xfId="1" applyNumberFormat="1" applyFont="1" applyFill="1" applyBorder="1" applyAlignment="1">
      <alignment horizontal="left" vertical="center" wrapText="1"/>
    </xf>
    <xf numFmtId="0" fontId="14" fillId="7" borderId="15" xfId="1" applyNumberFormat="1" applyFont="1" applyFill="1" applyBorder="1" applyAlignment="1">
      <alignment horizontal="left" vertical="center" wrapText="1"/>
    </xf>
    <xf numFmtId="0" fontId="29" fillId="12" borderId="3" xfId="8" applyFont="1" applyBorder="1" applyAlignment="1">
      <alignment horizontal="center" vertical="center"/>
    </xf>
    <xf numFmtId="0" fontId="29" fillId="12" borderId="4" xfId="8" applyFont="1" applyBorder="1" applyAlignment="1">
      <alignment horizontal="center" vertical="center"/>
    </xf>
    <xf numFmtId="0" fontId="30" fillId="14" borderId="1" xfId="10" applyFont="1" applyBorder="1" applyAlignment="1">
      <alignment horizontal="center" vertical="center"/>
    </xf>
    <xf numFmtId="0" fontId="30" fillId="14" borderId="6" xfId="10" applyFont="1" applyBorder="1" applyAlignment="1">
      <alignment horizontal="center" vertical="center"/>
    </xf>
    <xf numFmtId="0" fontId="29" fillId="12" borderId="2" xfId="8" applyFont="1" applyBorder="1" applyAlignment="1">
      <alignment horizontal="center" vertical="center"/>
    </xf>
    <xf numFmtId="0" fontId="29" fillId="12" borderId="5" xfId="8" applyFont="1" applyBorder="1" applyAlignment="1">
      <alignment horizontal="center" vertical="center"/>
    </xf>
    <xf numFmtId="0" fontId="29" fillId="12" borderId="1" xfId="8" applyFont="1" applyBorder="1" applyAlignment="1">
      <alignment horizontal="center" vertical="center"/>
    </xf>
    <xf numFmtId="0" fontId="0" fillId="0" borderId="25" xfId="0" quotePrefix="1" applyBorder="1" applyAlignment="1">
      <alignment horizontal="left" vertical="top" wrapText="1"/>
    </xf>
    <xf numFmtId="0" fontId="0" fillId="0" borderId="28" xfId="0" quotePrefix="1" applyBorder="1" applyAlignment="1">
      <alignment horizontal="left" vertical="top" wrapText="1"/>
    </xf>
    <xf numFmtId="0" fontId="0" fillId="0" borderId="31" xfId="0" applyBorder="1" applyAlignment="1">
      <alignment horizontal="left" vertical="top" wrapText="1"/>
    </xf>
    <xf numFmtId="0" fontId="0" fillId="0" borderId="34" xfId="0" applyBorder="1" applyAlignment="1">
      <alignment horizontal="left" vertical="top" wrapText="1"/>
    </xf>
    <xf numFmtId="0" fontId="0" fillId="0" borderId="36" xfId="0" applyBorder="1" applyAlignment="1">
      <alignment horizontal="left" vertical="top" wrapText="1"/>
    </xf>
    <xf numFmtId="0" fontId="0" fillId="0" borderId="29" xfId="0" quotePrefix="1" applyBorder="1" applyAlignment="1">
      <alignment horizontal="left" vertical="top" wrapText="1"/>
    </xf>
    <xf numFmtId="0" fontId="0" fillId="0" borderId="26" xfId="0" quotePrefix="1" applyBorder="1" applyAlignment="1">
      <alignment horizontal="left" vertical="top" wrapText="1"/>
    </xf>
    <xf numFmtId="0" fontId="0" fillId="0" borderId="26" xfId="0" quotePrefix="1" applyBorder="1" applyAlignment="1">
      <alignment horizontal="left" vertical="top"/>
    </xf>
    <xf numFmtId="0" fontId="0" fillId="0" borderId="39" xfId="0" quotePrefix="1" applyBorder="1" applyAlignment="1">
      <alignment horizontal="left" vertical="top"/>
    </xf>
    <xf numFmtId="0" fontId="0" fillId="0" borderId="38" xfId="0" applyBorder="1" applyAlignment="1">
      <alignment horizontal="left" vertical="top" wrapText="1"/>
    </xf>
    <xf numFmtId="0" fontId="0" fillId="0" borderId="42" xfId="0" quotePrefix="1" applyBorder="1" applyAlignment="1">
      <alignment horizontal="left" vertical="top" wrapText="1"/>
    </xf>
  </cellXfs>
  <cellStyles count="11">
    <cellStyle name="20% - Accent1" xfId="9" builtinId="30"/>
    <cellStyle name="60% - Accent1" xfId="10" builtinId="32"/>
    <cellStyle name="Accent1" xfId="8" builtinId="29"/>
    <cellStyle name="Comma 2" xfId="6" xr:uid="{00000000-0005-0000-0000-000000000000}"/>
    <cellStyle name="Comma 3" xfId="7" xr:uid="{00000000-0005-0000-0000-000001000000}"/>
    <cellStyle name="Normal" xfId="0" builtinId="0"/>
    <cellStyle name="Normal 2" xfId="2" xr:uid="{00000000-0005-0000-0000-000003000000}"/>
    <cellStyle name="Normal_Copy of Sample Product Test Scenarios and Conditions" xfId="1" xr:uid="{00000000-0005-0000-0000-000004000000}"/>
    <cellStyle name="Normal_Cover Sheet" xfId="3" xr:uid="{00000000-0005-0000-0000-000005000000}"/>
    <cellStyle name="Normal_fitgapanalysis-template-1" xfId="4" xr:uid="{00000000-0005-0000-0000-000006000000}"/>
    <cellStyle name="Percent" xfId="5" builtinId="5"/>
  </cellStyles>
  <dxfs count="0"/>
  <tableStyles count="0" defaultTableStyle="TableStyleMedium2" defaultPivotStyle="PivotStyleLight16"/>
  <colors>
    <mruColors>
      <color rgb="FF00CCFF"/>
      <color rgb="FF6699FF"/>
      <color rgb="FF3399FF"/>
      <color rgb="FFF16624"/>
      <color rgb="FFED7D31"/>
      <color rgb="FFFFCC66"/>
      <color rgb="FFEE6112"/>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JITS\Working\Markets\Myanmar\TF\Testing\TF_Test%20Case_%20ILC%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sheetName val="Scenario Test"/>
      <sheetName val="Data"/>
      <sheetName val="Common"/>
      <sheetName val="Test Case_ILC"/>
      <sheetName val="Summary"/>
    </sheetNames>
    <sheetDataSet>
      <sheetData sheetId="0" refreshError="1"/>
      <sheetData sheetId="1" refreshError="1"/>
      <sheetData sheetId="2" refreshError="1"/>
      <sheetData sheetId="3" refreshError="1"/>
      <sheetData sheetId="4">
        <row r="13">
          <cell r="H13" t="str">
            <v>Pass</v>
          </cell>
        </row>
      </sheetData>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F14"/>
  <sheetViews>
    <sheetView showGridLines="0" workbookViewId="0">
      <selection activeCell="L11" sqref="L11"/>
    </sheetView>
  </sheetViews>
  <sheetFormatPr defaultColWidth="9" defaultRowHeight="13.2" x14ac:dyDescent="0.25"/>
  <cols>
    <col min="1" max="1" width="11.69921875" style="8" bestFit="1" customWidth="1"/>
    <col min="2" max="2" width="11.09765625" style="8" customWidth="1"/>
    <col min="3" max="3" width="13.5" style="8" bestFit="1" customWidth="1"/>
    <col min="4" max="4" width="9.59765625" style="8" bestFit="1" customWidth="1"/>
    <col min="5" max="5" width="13.5" style="8" bestFit="1" customWidth="1"/>
    <col min="6" max="6" width="32" style="8" customWidth="1"/>
    <col min="7" max="16384" width="9" style="8"/>
  </cols>
  <sheetData>
    <row r="4" spans="1:6" ht="21" x14ac:dyDescent="0.4">
      <c r="A4" s="135" t="s">
        <v>64</v>
      </c>
      <c r="B4" s="135"/>
      <c r="C4" s="135"/>
      <c r="D4" s="135"/>
      <c r="E4" s="135"/>
      <c r="F4" s="135"/>
    </row>
    <row r="5" spans="1:6" x14ac:dyDescent="0.25">
      <c r="A5" s="1"/>
      <c r="B5" s="2"/>
      <c r="C5" s="2"/>
      <c r="D5" s="9"/>
    </row>
    <row r="6" spans="1:6" x14ac:dyDescent="0.25">
      <c r="A6" s="10"/>
      <c r="B6" s="10"/>
      <c r="C6" s="10"/>
      <c r="D6" s="9" t="s">
        <v>65</v>
      </c>
    </row>
    <row r="7" spans="1:6" ht="13.8" thickBot="1" x14ac:dyDescent="0.3">
      <c r="A7" s="10" t="s">
        <v>5</v>
      </c>
      <c r="B7" s="10"/>
      <c r="C7" s="10"/>
      <c r="D7" s="10"/>
    </row>
    <row r="8" spans="1:6" ht="13.8" x14ac:dyDescent="0.25">
      <c r="A8" s="60" t="s">
        <v>40</v>
      </c>
      <c r="B8" s="61" t="s">
        <v>35</v>
      </c>
      <c r="C8" s="61" t="s">
        <v>36</v>
      </c>
      <c r="D8" s="61" t="s">
        <v>37</v>
      </c>
      <c r="E8" s="61" t="s">
        <v>38</v>
      </c>
      <c r="F8" s="62" t="s">
        <v>39</v>
      </c>
    </row>
    <row r="9" spans="1:6" x14ac:dyDescent="0.25">
      <c r="A9" s="71">
        <v>1</v>
      </c>
      <c r="B9" s="3" t="s">
        <v>66</v>
      </c>
      <c r="C9" s="81">
        <v>45614</v>
      </c>
      <c r="D9" s="12"/>
      <c r="E9" s="32"/>
      <c r="F9" s="5" t="s">
        <v>67</v>
      </c>
    </row>
    <row r="10" spans="1:6" x14ac:dyDescent="0.25">
      <c r="A10" s="28"/>
      <c r="B10" s="3"/>
      <c r="C10" s="32"/>
      <c r="D10" s="3"/>
      <c r="E10" s="33"/>
      <c r="F10" s="5"/>
    </row>
    <row r="11" spans="1:6" x14ac:dyDescent="0.25">
      <c r="A11" s="29"/>
      <c r="B11" s="4"/>
      <c r="C11" s="33"/>
      <c r="D11" s="4"/>
      <c r="E11" s="34"/>
      <c r="F11" s="5"/>
    </row>
    <row r="12" spans="1:6" x14ac:dyDescent="0.25">
      <c r="A12" s="30"/>
      <c r="B12" s="38"/>
      <c r="C12" s="35"/>
      <c r="D12" s="38"/>
      <c r="E12" s="36"/>
      <c r="F12" s="6"/>
    </row>
    <row r="13" spans="1:6" x14ac:dyDescent="0.25">
      <c r="A13" s="30"/>
      <c r="B13" s="38"/>
      <c r="C13" s="35"/>
      <c r="D13" s="38"/>
      <c r="E13" s="36"/>
      <c r="F13" s="6"/>
    </row>
    <row r="14" spans="1:6" ht="13.8" thickBot="1" x14ac:dyDescent="0.3">
      <c r="A14" s="31"/>
      <c r="B14" s="39"/>
      <c r="C14" s="37"/>
      <c r="D14" s="39"/>
      <c r="E14" s="37"/>
      <c r="F14" s="7"/>
    </row>
  </sheetData>
  <mergeCells count="1">
    <mergeCell ref="A4:F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41"/>
  <sheetViews>
    <sheetView showGridLines="0" topLeftCell="A7" workbookViewId="0">
      <selection activeCell="C19" sqref="C19:I25"/>
    </sheetView>
  </sheetViews>
  <sheetFormatPr defaultColWidth="9" defaultRowHeight="13.2" x14ac:dyDescent="0.25"/>
  <cols>
    <col min="1" max="1" width="9" style="24"/>
    <col min="2" max="2" width="20.3984375" style="24" bestFit="1" customWidth="1"/>
    <col min="3" max="3" width="9.5" style="24" bestFit="1" customWidth="1"/>
    <col min="4" max="16384" width="9" style="24"/>
  </cols>
  <sheetData>
    <row r="2" spans="2:9" x14ac:dyDescent="0.25">
      <c r="B2" s="139" t="s">
        <v>16</v>
      </c>
      <c r="C2" s="139"/>
    </row>
    <row r="3" spans="2:9" x14ac:dyDescent="0.25">
      <c r="B3" s="15" t="s">
        <v>17</v>
      </c>
      <c r="C3" s="18">
        <v>43375</v>
      </c>
    </row>
    <row r="4" spans="2:9" x14ac:dyDescent="0.25">
      <c r="B4" s="15" t="s">
        <v>18</v>
      </c>
      <c r="C4" s="19" t="s">
        <v>19</v>
      </c>
    </row>
    <row r="5" spans="2:9" x14ac:dyDescent="0.25">
      <c r="B5" s="15" t="s">
        <v>32</v>
      </c>
      <c r="C5" s="19">
        <f>'Scenario Test'!J33</f>
        <v>352</v>
      </c>
    </row>
    <row r="6" spans="2:9" x14ac:dyDescent="0.25">
      <c r="B6" s="25"/>
      <c r="C6" s="25"/>
      <c r="D6" s="25"/>
      <c r="F6" s="25"/>
      <c r="G6" s="26"/>
      <c r="H6" s="26"/>
    </row>
    <row r="7" spans="2:9" x14ac:dyDescent="0.25">
      <c r="B7" s="136" t="s">
        <v>24</v>
      </c>
      <c r="C7" s="137"/>
      <c r="D7" s="137"/>
      <c r="E7" s="137"/>
      <c r="F7" s="137"/>
      <c r="G7" s="137"/>
      <c r="H7" s="137"/>
      <c r="I7" s="138"/>
    </row>
    <row r="8" spans="2:9" ht="39.6" x14ac:dyDescent="0.25">
      <c r="B8" s="16" t="s">
        <v>26</v>
      </c>
      <c r="C8" s="17">
        <v>43374</v>
      </c>
      <c r="D8" s="17">
        <v>43375</v>
      </c>
      <c r="E8" s="17">
        <v>43376</v>
      </c>
      <c r="F8" s="17">
        <v>43377</v>
      </c>
      <c r="G8" s="17">
        <v>43378</v>
      </c>
      <c r="H8" s="17">
        <v>43379</v>
      </c>
      <c r="I8" s="17">
        <v>43380</v>
      </c>
    </row>
    <row r="9" spans="2:9" x14ac:dyDescent="0.25">
      <c r="B9" s="50" t="s">
        <v>9</v>
      </c>
      <c r="C9" s="50"/>
      <c r="D9" s="50"/>
      <c r="E9" s="50"/>
      <c r="F9" s="50"/>
      <c r="G9" s="50"/>
      <c r="H9" s="50"/>
      <c r="I9" s="50"/>
    </row>
    <row r="10" spans="2:9" x14ac:dyDescent="0.25">
      <c r="B10" s="50" t="s">
        <v>10</v>
      </c>
      <c r="C10" s="50"/>
      <c r="D10" s="50"/>
      <c r="E10" s="50"/>
      <c r="F10" s="50"/>
      <c r="G10" s="50"/>
      <c r="H10" s="50"/>
      <c r="I10" s="50"/>
    </row>
    <row r="11" spans="2:9" x14ac:dyDescent="0.25">
      <c r="B11" s="50" t="s">
        <v>15</v>
      </c>
      <c r="C11" s="50"/>
      <c r="D11" s="50"/>
      <c r="E11" s="50"/>
      <c r="F11" s="50"/>
      <c r="G11" s="50"/>
      <c r="H11" s="50"/>
      <c r="I11" s="50"/>
    </row>
    <row r="12" spans="2:9" x14ac:dyDescent="0.25">
      <c r="B12" s="50" t="s">
        <v>42</v>
      </c>
      <c r="C12" s="50"/>
      <c r="D12" s="50"/>
      <c r="E12" s="50"/>
      <c r="F12" s="50"/>
      <c r="G12" s="50"/>
      <c r="H12" s="50"/>
      <c r="I12" s="50"/>
    </row>
    <row r="13" spans="2:9" x14ac:dyDescent="0.25">
      <c r="B13" s="50" t="s">
        <v>43</v>
      </c>
      <c r="C13" s="50"/>
      <c r="D13" s="50"/>
      <c r="E13" s="50"/>
      <c r="F13" s="50"/>
      <c r="G13" s="50"/>
      <c r="H13" s="50"/>
      <c r="I13" s="50"/>
    </row>
    <row r="14" spans="2:9" x14ac:dyDescent="0.25">
      <c r="B14" s="51" t="s">
        <v>20</v>
      </c>
      <c r="C14" s="52"/>
      <c r="D14" s="52"/>
      <c r="E14" s="52"/>
      <c r="F14" s="52"/>
      <c r="G14" s="52"/>
      <c r="H14" s="52"/>
      <c r="I14" s="52"/>
    </row>
    <row r="15" spans="2:9" x14ac:dyDescent="0.25">
      <c r="B15" s="53" t="s">
        <v>21</v>
      </c>
      <c r="C15" s="53"/>
      <c r="D15" s="53"/>
      <c r="E15" s="53"/>
      <c r="F15" s="53"/>
      <c r="G15" s="53"/>
      <c r="H15" s="53"/>
      <c r="I15" s="53"/>
    </row>
    <row r="17" spans="2:9" x14ac:dyDescent="0.25">
      <c r="B17" s="136" t="s">
        <v>25</v>
      </c>
      <c r="C17" s="137"/>
      <c r="D17" s="137"/>
      <c r="E17" s="137"/>
      <c r="F17" s="137"/>
      <c r="G17" s="137"/>
      <c r="H17" s="137"/>
      <c r="I17" s="138"/>
    </row>
    <row r="18" spans="2:9" ht="39.6" x14ac:dyDescent="0.25">
      <c r="B18" s="16" t="s">
        <v>26</v>
      </c>
      <c r="C18" s="17">
        <v>43374</v>
      </c>
      <c r="D18" s="17">
        <v>43375</v>
      </c>
      <c r="E18" s="17">
        <v>43376</v>
      </c>
      <c r="F18" s="17">
        <v>43377</v>
      </c>
      <c r="G18" s="17">
        <v>43378</v>
      </c>
      <c r="H18" s="17">
        <v>43379</v>
      </c>
      <c r="I18" s="17">
        <v>43380</v>
      </c>
    </row>
    <row r="19" spans="2:9" x14ac:dyDescent="0.25">
      <c r="B19" s="50" t="s">
        <v>9</v>
      </c>
      <c r="C19" s="50"/>
      <c r="D19" s="50"/>
      <c r="E19" s="50"/>
      <c r="F19" s="50"/>
      <c r="G19" s="50"/>
      <c r="H19" s="50"/>
      <c r="I19" s="50"/>
    </row>
    <row r="20" spans="2:9" x14ac:dyDescent="0.25">
      <c r="B20" s="50" t="s">
        <v>10</v>
      </c>
      <c r="C20" s="50"/>
      <c r="D20" s="50"/>
      <c r="E20" s="50"/>
      <c r="F20" s="50"/>
      <c r="G20" s="50"/>
      <c r="H20" s="50"/>
      <c r="I20" s="50"/>
    </row>
    <row r="21" spans="2:9" x14ac:dyDescent="0.25">
      <c r="B21" s="50" t="s">
        <v>15</v>
      </c>
      <c r="C21" s="50"/>
      <c r="D21" s="50"/>
      <c r="E21" s="50"/>
      <c r="F21" s="50"/>
      <c r="G21" s="50"/>
      <c r="H21" s="50"/>
      <c r="I21" s="50"/>
    </row>
    <row r="22" spans="2:9" x14ac:dyDescent="0.25">
      <c r="B22" s="50" t="s">
        <v>42</v>
      </c>
      <c r="C22" s="50"/>
      <c r="D22" s="50"/>
      <c r="E22" s="50"/>
      <c r="F22" s="50"/>
      <c r="G22" s="50"/>
      <c r="H22" s="50"/>
      <c r="I22" s="50"/>
    </row>
    <row r="23" spans="2:9" x14ac:dyDescent="0.25">
      <c r="B23" s="50" t="s">
        <v>43</v>
      </c>
      <c r="C23" s="50"/>
      <c r="D23" s="50"/>
      <c r="E23" s="50"/>
      <c r="F23" s="50"/>
      <c r="G23" s="50"/>
      <c r="H23" s="50"/>
      <c r="I23" s="50"/>
    </row>
    <row r="24" spans="2:9" x14ac:dyDescent="0.25">
      <c r="B24" s="51" t="s">
        <v>20</v>
      </c>
      <c r="C24" s="52"/>
      <c r="D24" s="52"/>
      <c r="E24" s="52"/>
      <c r="F24" s="52"/>
      <c r="G24" s="52"/>
      <c r="H24" s="52"/>
      <c r="I24" s="52"/>
    </row>
    <row r="25" spans="2:9" x14ac:dyDescent="0.25">
      <c r="B25" s="53" t="s">
        <v>21</v>
      </c>
      <c r="C25" s="53"/>
      <c r="D25" s="53"/>
      <c r="E25" s="53"/>
      <c r="F25" s="53"/>
      <c r="G25" s="53"/>
      <c r="H25" s="53"/>
      <c r="I25" s="53"/>
    </row>
    <row r="27" spans="2:9" x14ac:dyDescent="0.25">
      <c r="B27" s="140" t="s">
        <v>30</v>
      </c>
      <c r="C27" s="141"/>
    </row>
    <row r="28" spans="2:9" x14ac:dyDescent="0.25">
      <c r="B28" s="56" t="s">
        <v>27</v>
      </c>
      <c r="C28" s="57">
        <f>'Scenario Test'!K33</f>
        <v>0</v>
      </c>
    </row>
    <row r="29" spans="2:9" x14ac:dyDescent="0.25">
      <c r="B29" s="56" t="s">
        <v>28</v>
      </c>
      <c r="C29" s="57">
        <f>'Scenario Test'!L33</f>
        <v>0</v>
      </c>
    </row>
    <row r="30" spans="2:9" x14ac:dyDescent="0.25">
      <c r="B30" s="64" t="s">
        <v>56</v>
      </c>
      <c r="C30" s="59">
        <f>'Scenario Test'!N33</f>
        <v>0</v>
      </c>
    </row>
    <row r="31" spans="2:9" x14ac:dyDescent="0.25">
      <c r="B31" s="64" t="s">
        <v>53</v>
      </c>
      <c r="C31" s="59">
        <f>'Scenario Test'!O33</f>
        <v>0</v>
      </c>
    </row>
    <row r="32" spans="2:9" x14ac:dyDescent="0.25">
      <c r="B32" s="63" t="s">
        <v>55</v>
      </c>
      <c r="C32" s="58">
        <f>'Scenario Test'!P33</f>
        <v>0</v>
      </c>
    </row>
    <row r="33" spans="2:3" x14ac:dyDescent="0.25">
      <c r="B33" s="65" t="s">
        <v>52</v>
      </c>
      <c r="C33" s="55">
        <f>'Scenario Test'!M33</f>
        <v>1</v>
      </c>
    </row>
    <row r="35" spans="2:3" x14ac:dyDescent="0.25">
      <c r="B35" s="140" t="s">
        <v>31</v>
      </c>
      <c r="C35" s="141"/>
    </row>
    <row r="36" spans="2:3" x14ac:dyDescent="0.25">
      <c r="B36" s="56" t="s">
        <v>9</v>
      </c>
      <c r="C36" s="56">
        <f>'Scenario Test'!C33</f>
        <v>0</v>
      </c>
    </row>
    <row r="37" spans="2:3" x14ac:dyDescent="0.25">
      <c r="B37" s="56" t="s">
        <v>10</v>
      </c>
      <c r="C37" s="56">
        <f>'Scenario Test'!D33</f>
        <v>0</v>
      </c>
    </row>
    <row r="38" spans="2:3" x14ac:dyDescent="0.25">
      <c r="B38" s="64" t="s">
        <v>15</v>
      </c>
      <c r="C38" s="64">
        <f>'Scenario Test'!F33</f>
        <v>0</v>
      </c>
    </row>
    <row r="39" spans="2:3" x14ac:dyDescent="0.25">
      <c r="B39" s="64" t="s">
        <v>42</v>
      </c>
      <c r="C39" s="64">
        <f>'Scenario Test'!G33</f>
        <v>0</v>
      </c>
    </row>
    <row r="40" spans="2:3" x14ac:dyDescent="0.25">
      <c r="B40" s="63" t="s">
        <v>43</v>
      </c>
      <c r="C40" s="63">
        <f>'Scenario Test'!H33</f>
        <v>0</v>
      </c>
    </row>
    <row r="41" spans="2:3" x14ac:dyDescent="0.25">
      <c r="B41" s="54" t="s">
        <v>57</v>
      </c>
      <c r="C41" s="54">
        <f>'Scenario Test'!E33</f>
        <v>352</v>
      </c>
    </row>
  </sheetData>
  <mergeCells count="5">
    <mergeCell ref="B7:I7"/>
    <mergeCell ref="B2:C2"/>
    <mergeCell ref="B17:I17"/>
    <mergeCell ref="B27:C27"/>
    <mergeCell ref="B35:C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T42"/>
  <sheetViews>
    <sheetView showGridLines="0" topLeftCell="A4" workbookViewId="0">
      <selection activeCell="E27" sqref="E27"/>
    </sheetView>
  </sheetViews>
  <sheetFormatPr defaultColWidth="13.5" defaultRowHeight="13.2" x14ac:dyDescent="0.25"/>
  <cols>
    <col min="1" max="1" width="12.69921875" style="8" customWidth="1"/>
    <col min="2" max="2" width="45.19921875" style="8" bestFit="1" customWidth="1"/>
    <col min="3" max="3" width="9.09765625" style="70" bestFit="1" customWidth="1"/>
    <col min="4" max="6" width="5.59765625" style="70" bestFit="1" customWidth="1"/>
    <col min="7" max="7" width="7.5" style="70" bestFit="1" customWidth="1"/>
    <col min="8" max="8" width="9.5" style="70" bestFit="1" customWidth="1"/>
    <col min="9" max="9" width="5.59765625" style="70" bestFit="1" customWidth="1"/>
    <col min="10" max="10" width="9" style="70" customWidth="1"/>
    <col min="11" max="11" width="7" style="8" bestFit="1" customWidth="1"/>
    <col min="12" max="12" width="7" style="8" customWidth="1"/>
    <col min="13" max="13" width="7.8984375" style="8" bestFit="1" customWidth="1"/>
    <col min="14" max="14" width="7" style="8" customWidth="1"/>
    <col min="15" max="15" width="9.3984375" style="8" customWidth="1"/>
    <col min="16" max="16" width="10" style="8" bestFit="1" customWidth="1"/>
    <col min="17" max="17" width="22" style="8" customWidth="1"/>
    <col min="18" max="18" width="7.5" style="8" customWidth="1"/>
    <col min="19" max="19" width="8.19921875" style="8" bestFit="1" customWidth="1"/>
    <col min="20" max="20" width="20.3984375" style="8" bestFit="1" customWidth="1"/>
    <col min="21" max="16384" width="13.5" style="8"/>
  </cols>
  <sheetData>
    <row r="3" spans="1:20" ht="19.2" x14ac:dyDescent="0.25">
      <c r="A3" s="20" t="s">
        <v>13</v>
      </c>
      <c r="B3" s="20"/>
      <c r="C3" s="20"/>
      <c r="D3" s="20"/>
      <c r="E3" s="20"/>
      <c r="F3" s="20"/>
      <c r="G3" s="20"/>
      <c r="H3" s="20"/>
      <c r="I3" s="20"/>
      <c r="J3" s="20"/>
      <c r="K3" s="20"/>
      <c r="L3" s="20"/>
      <c r="M3" s="20"/>
      <c r="N3" s="20"/>
      <c r="O3" s="20"/>
      <c r="P3" s="20"/>
      <c r="Q3" s="20"/>
    </row>
    <row r="5" spans="1:20" ht="39.6" x14ac:dyDescent="0.25">
      <c r="A5" s="44" t="s">
        <v>6</v>
      </c>
      <c r="B5" s="44" t="s">
        <v>8</v>
      </c>
      <c r="C5" s="40" t="s">
        <v>9</v>
      </c>
      <c r="D5" s="40" t="s">
        <v>10</v>
      </c>
      <c r="E5" s="40" t="s">
        <v>4</v>
      </c>
      <c r="F5" s="40" t="s">
        <v>15</v>
      </c>
      <c r="G5" s="40" t="s">
        <v>42</v>
      </c>
      <c r="H5" s="40" t="s">
        <v>43</v>
      </c>
      <c r="I5" s="40" t="s">
        <v>22</v>
      </c>
      <c r="J5" s="40" t="s">
        <v>11</v>
      </c>
      <c r="K5" s="40" t="s">
        <v>27</v>
      </c>
      <c r="L5" s="40" t="s">
        <v>28</v>
      </c>
      <c r="M5" s="40" t="s">
        <v>54</v>
      </c>
      <c r="N5" s="40" t="s">
        <v>29</v>
      </c>
      <c r="O5" s="40" t="s">
        <v>53</v>
      </c>
      <c r="P5" s="40" t="s">
        <v>55</v>
      </c>
      <c r="Q5" s="45" t="s">
        <v>7</v>
      </c>
    </row>
    <row r="6" spans="1:20" x14ac:dyDescent="0.25">
      <c r="A6" s="144" t="s">
        <v>69</v>
      </c>
      <c r="B6" s="145"/>
      <c r="C6" s="145"/>
      <c r="D6" s="145"/>
      <c r="E6" s="145"/>
      <c r="F6" s="145"/>
      <c r="G6" s="145"/>
      <c r="H6" s="145"/>
      <c r="I6" s="145"/>
      <c r="J6" s="145"/>
      <c r="K6" s="145"/>
      <c r="L6" s="145"/>
      <c r="M6" s="145"/>
      <c r="N6" s="145"/>
      <c r="O6" s="145"/>
      <c r="P6" s="145"/>
      <c r="Q6" s="146"/>
    </row>
    <row r="7" spans="1:20" x14ac:dyDescent="0.25">
      <c r="A7" s="73" t="s">
        <v>70</v>
      </c>
      <c r="B7" s="74" t="s">
        <v>68</v>
      </c>
      <c r="C7" s="68">
        <f>COUNTIFS(TestCase!$A:$A,$A7,TestCase!$G:$G,C$5)</f>
        <v>0</v>
      </c>
      <c r="D7" s="68">
        <f>COUNTIFS(TestCase!$A:$A,$A7,TestCase!$G:$G,D$5)</f>
        <v>0</v>
      </c>
      <c r="E7" s="68">
        <f>COUNTIFS(TestCase!$A:$A,$A7,TestCase!$G:$G,E$5)</f>
        <v>26</v>
      </c>
      <c r="F7" s="68">
        <f>COUNTIFS(TestCase!$A:$A,$A7,TestCase!$G:$G,F$5)</f>
        <v>0</v>
      </c>
      <c r="G7" s="68">
        <f>COUNTIFS(TestCase!$A:$A,$A7,TestCase!$G:$G,G$5)</f>
        <v>0</v>
      </c>
      <c r="H7" s="68">
        <f>COUNTIFS(TestCase!$A:$A,$A7,TestCase!$G:$G,H$5)</f>
        <v>0</v>
      </c>
      <c r="I7" s="68">
        <f>COUNTIFS(TestCase!$A:$A,$A7,TestCase!$G:$G,I$5)</f>
        <v>0</v>
      </c>
      <c r="J7" s="68">
        <f t="shared" ref="J7:J19" si="0">SUM(C7:H7)</f>
        <v>26</v>
      </c>
      <c r="K7" s="22">
        <f>IFERROR(ROUND(C7/J7,4),0)</f>
        <v>0</v>
      </c>
      <c r="L7" s="22">
        <f>IFERROR(ROUND(D7/J7,4),0)</f>
        <v>0</v>
      </c>
      <c r="M7" s="22">
        <f>IFERROR(ROUND(E7/J7,4),0)</f>
        <v>1</v>
      </c>
      <c r="N7" s="22">
        <f>IFERROR(ROUND(F7/J7,4),0)</f>
        <v>0</v>
      </c>
      <c r="O7" s="22">
        <f>IFERROR(ROUND(G7/J7,4),0)</f>
        <v>0</v>
      </c>
      <c r="P7" s="22">
        <f>IFERROR(ROUND(H7/J7,4),0)</f>
        <v>0</v>
      </c>
      <c r="Q7" s="13"/>
      <c r="T7" s="21"/>
    </row>
    <row r="8" spans="1:20" x14ac:dyDescent="0.25">
      <c r="A8" s="73" t="s">
        <v>131</v>
      </c>
      <c r="B8" s="74" t="s">
        <v>132</v>
      </c>
      <c r="C8" s="68">
        <f>COUNTIFS(TestCase!$A:$A,$A8,TestCase!$G:$G,C$5)</f>
        <v>0</v>
      </c>
      <c r="D8" s="68">
        <f>COUNTIFS(TestCase!$A:$A,$A8,TestCase!$G:$G,D$5)</f>
        <v>0</v>
      </c>
      <c r="E8" s="68">
        <f>COUNTIFS(TestCase!$A:$A,$A8,TestCase!$G:$G,E$5)</f>
        <v>5</v>
      </c>
      <c r="F8" s="68">
        <f>COUNTIFS(TestCase!$A:$A,$A8,TestCase!$G:$G,F$5)</f>
        <v>0</v>
      </c>
      <c r="G8" s="68">
        <f>COUNTIFS(TestCase!$A:$A,$A8,TestCase!$G:$G,G$5)</f>
        <v>0</v>
      </c>
      <c r="H8" s="68">
        <f>COUNTIFS(TestCase!$A:$A,$A8,TestCase!$G:$G,H$5)</f>
        <v>0</v>
      </c>
      <c r="I8" s="68">
        <f>COUNTIFS(TestCase!$A:$A,$A8,TestCase!$G:$G,I$5)</f>
        <v>0</v>
      </c>
      <c r="J8" s="68">
        <f t="shared" ref="J8:J9" si="1">SUM(C8:H8)</f>
        <v>5</v>
      </c>
      <c r="K8" s="22">
        <f t="shared" ref="K8:K9" si="2">IFERROR(ROUND(C8/J8,4),0)</f>
        <v>0</v>
      </c>
      <c r="L8" s="22">
        <f t="shared" ref="L8:L9" si="3">IFERROR(ROUND(D8/J8,4),0)</f>
        <v>0</v>
      </c>
      <c r="M8" s="22">
        <f t="shared" ref="M8:M9" si="4">IFERROR(ROUND(E8/J8,4),0)</f>
        <v>1</v>
      </c>
      <c r="N8" s="22">
        <f t="shared" ref="N8:N9" si="5">IFERROR(ROUND(F8/J8,4),0)</f>
        <v>0</v>
      </c>
      <c r="O8" s="22">
        <f t="shared" ref="O8:O9" si="6">IFERROR(ROUND(G8/J8,4),0)</f>
        <v>0</v>
      </c>
      <c r="P8" s="22">
        <f t="shared" ref="P8:P9" si="7">IFERROR(ROUND(H8/J8,4),0)</f>
        <v>0</v>
      </c>
      <c r="Q8" s="13"/>
      <c r="T8" s="21"/>
    </row>
    <row r="9" spans="1:20" x14ac:dyDescent="0.25">
      <c r="A9" s="73" t="s">
        <v>133</v>
      </c>
      <c r="B9" s="74" t="s">
        <v>134</v>
      </c>
      <c r="C9" s="68">
        <f>COUNTIFS(TestCase!$A:$A,$A9,TestCase!$G:$G,C$5)</f>
        <v>0</v>
      </c>
      <c r="D9" s="68">
        <f>COUNTIFS(TestCase!$A:$A,$A9,TestCase!$G:$G,D$5)</f>
        <v>0</v>
      </c>
      <c r="E9" s="68">
        <f>COUNTIFS(TestCase!$A:$A,$A9,TestCase!$G:$G,E$5)</f>
        <v>4</v>
      </c>
      <c r="F9" s="68">
        <f>COUNTIFS(TestCase!$A:$A,$A9,TestCase!$G:$G,F$5)</f>
        <v>0</v>
      </c>
      <c r="G9" s="68">
        <f>COUNTIFS(TestCase!$A:$A,$A9,TestCase!$G:$G,G$5)</f>
        <v>0</v>
      </c>
      <c r="H9" s="68">
        <f>COUNTIFS(TestCase!$A:$A,$A9,TestCase!$G:$G,H$5)</f>
        <v>0</v>
      </c>
      <c r="I9" s="68">
        <f>COUNTIFS(TestCase!$A:$A,$A9,TestCase!$G:$G,I$5)</f>
        <v>0</v>
      </c>
      <c r="J9" s="68">
        <f t="shared" si="1"/>
        <v>4</v>
      </c>
      <c r="K9" s="22">
        <f t="shared" si="2"/>
        <v>0</v>
      </c>
      <c r="L9" s="22">
        <f t="shared" si="3"/>
        <v>0</v>
      </c>
      <c r="M9" s="22">
        <f t="shared" si="4"/>
        <v>1</v>
      </c>
      <c r="N9" s="22">
        <f t="shared" si="5"/>
        <v>0</v>
      </c>
      <c r="O9" s="22">
        <f t="shared" si="6"/>
        <v>0</v>
      </c>
      <c r="P9" s="22">
        <f t="shared" si="7"/>
        <v>0</v>
      </c>
      <c r="Q9" s="13"/>
      <c r="T9" s="21"/>
    </row>
    <row r="10" spans="1:20" x14ac:dyDescent="0.25">
      <c r="A10" s="73" t="s">
        <v>71</v>
      </c>
      <c r="B10" s="74" t="s">
        <v>72</v>
      </c>
      <c r="C10" s="68">
        <f>COUNTIFS(TestCase!$A:$A,$A10,TestCase!$G:$G,C$5)</f>
        <v>0</v>
      </c>
      <c r="D10" s="68">
        <f>COUNTIFS(TestCase!$A:$A,$A10,TestCase!$G:$G,D$5)</f>
        <v>0</v>
      </c>
      <c r="E10" s="68">
        <f>COUNTIFS(TestCase!$A:$A,$A10,TestCase!$G:$G,E$5)</f>
        <v>22</v>
      </c>
      <c r="F10" s="68">
        <f>COUNTIFS(TestCase!$A:$A,$A10,TestCase!$G:$G,F$5)</f>
        <v>0</v>
      </c>
      <c r="G10" s="68">
        <f>COUNTIFS(TestCase!$A:$A,$A10,TestCase!$G:$G,G$5)</f>
        <v>0</v>
      </c>
      <c r="H10" s="68">
        <f>COUNTIFS(TestCase!$A:$A,$A10,TestCase!$G:$G,H$5)</f>
        <v>0</v>
      </c>
      <c r="I10" s="68">
        <f>COUNTIFS(TestCase!$A:$A,$A10,TestCase!$G:$G,I$5)</f>
        <v>0</v>
      </c>
      <c r="J10" s="68">
        <f t="shared" si="0"/>
        <v>22</v>
      </c>
      <c r="K10" s="22">
        <f t="shared" ref="K10:K13" si="8">IFERROR(ROUND(C10/J10,4),0)</f>
        <v>0</v>
      </c>
      <c r="L10" s="22">
        <f t="shared" ref="L10:L13" si="9">IFERROR(ROUND(D10/J10,4),0)</f>
        <v>0</v>
      </c>
      <c r="M10" s="22">
        <f t="shared" ref="M10:M13" si="10">IFERROR(ROUND(E10/J10,4),0)</f>
        <v>1</v>
      </c>
      <c r="N10" s="22">
        <f t="shared" ref="N10:N13" si="11">IFERROR(ROUND(F10/J10,4),0)</f>
        <v>0</v>
      </c>
      <c r="O10" s="22">
        <f t="shared" ref="O10:O13" si="12">IFERROR(ROUND(G10/J10,4),0)</f>
        <v>0</v>
      </c>
      <c r="P10" s="22">
        <f t="shared" ref="P10:P13" si="13">IFERROR(ROUND(H10/J10,4),0)</f>
        <v>0</v>
      </c>
      <c r="Q10" s="13"/>
      <c r="T10" s="21"/>
    </row>
    <row r="11" spans="1:20" x14ac:dyDescent="0.25">
      <c r="A11" s="73" t="s">
        <v>73</v>
      </c>
      <c r="B11" s="74" t="s">
        <v>74</v>
      </c>
      <c r="C11" s="68">
        <f>COUNTIFS(TestCase!$A:$A,$A11,TestCase!$G:$G,C$5)</f>
        <v>0</v>
      </c>
      <c r="D11" s="68">
        <f>COUNTIFS(TestCase!$A:$A,$A11,TestCase!$G:$G,D$5)</f>
        <v>0</v>
      </c>
      <c r="E11" s="68">
        <f>COUNTIFS(TestCase!$A:$A,$A11,TestCase!$G:$G,E$5)</f>
        <v>27</v>
      </c>
      <c r="F11" s="68">
        <f>COUNTIFS(TestCase!$A:$A,$A11,TestCase!$G:$G,F$5)</f>
        <v>0</v>
      </c>
      <c r="G11" s="68">
        <f>COUNTIFS(TestCase!$A:$A,$A11,TestCase!$G:$G,G$5)</f>
        <v>0</v>
      </c>
      <c r="H11" s="68">
        <f>COUNTIFS(TestCase!$A:$A,$A11,TestCase!$G:$G,H$5)</f>
        <v>0</v>
      </c>
      <c r="I11" s="68">
        <f>COUNTIFS(TestCase!$A:$A,$A11,TestCase!$G:$G,I$5)</f>
        <v>0</v>
      </c>
      <c r="J11" s="68">
        <f t="shared" si="0"/>
        <v>27</v>
      </c>
      <c r="K11" s="22">
        <f t="shared" si="8"/>
        <v>0</v>
      </c>
      <c r="L11" s="22">
        <f t="shared" si="9"/>
        <v>0</v>
      </c>
      <c r="M11" s="22">
        <f t="shared" si="10"/>
        <v>1</v>
      </c>
      <c r="N11" s="22">
        <f t="shared" si="11"/>
        <v>0</v>
      </c>
      <c r="O11" s="22">
        <f t="shared" si="12"/>
        <v>0</v>
      </c>
      <c r="P11" s="22">
        <f t="shared" si="13"/>
        <v>0</v>
      </c>
      <c r="Q11" s="13"/>
      <c r="T11" s="21"/>
    </row>
    <row r="12" spans="1:20" x14ac:dyDescent="0.25">
      <c r="A12" s="73" t="s">
        <v>75</v>
      </c>
      <c r="B12" s="74" t="s">
        <v>76</v>
      </c>
      <c r="C12" s="68">
        <f>COUNTIFS(TestCase!$A:$A,$A12,TestCase!$G:$G,C$5)</f>
        <v>0</v>
      </c>
      <c r="D12" s="68">
        <f>COUNTIFS(TestCase!$A:$A,$A12,TestCase!$G:$G,D$5)</f>
        <v>0</v>
      </c>
      <c r="E12" s="68">
        <f>COUNTIFS(TestCase!$A:$A,$A12,TestCase!$G:$G,E$5)</f>
        <v>14</v>
      </c>
      <c r="F12" s="68">
        <f>COUNTIFS(TestCase!$A:$A,$A12,TestCase!$G:$G,F$5)</f>
        <v>0</v>
      </c>
      <c r="G12" s="68">
        <f>COUNTIFS(TestCase!$A:$A,$A12,TestCase!$G:$G,G$5)</f>
        <v>0</v>
      </c>
      <c r="H12" s="68">
        <f>COUNTIFS(TestCase!$A:$A,$A12,TestCase!$G:$G,H$5)</f>
        <v>0</v>
      </c>
      <c r="I12" s="68">
        <f>COUNTIFS(TestCase!$A:$A,$A12,TestCase!$G:$G,I$5)</f>
        <v>0</v>
      </c>
      <c r="J12" s="68">
        <f t="shared" si="0"/>
        <v>14</v>
      </c>
      <c r="K12" s="22">
        <f t="shared" ref="K12" si="14">IFERROR(ROUND(C12/J12,4),0)</f>
        <v>0</v>
      </c>
      <c r="L12" s="22">
        <f t="shared" ref="L12" si="15">IFERROR(ROUND(D12/J12,4),0)</f>
        <v>0</v>
      </c>
      <c r="M12" s="22">
        <f t="shared" ref="M12" si="16">IFERROR(ROUND(E12/J12,4),0)</f>
        <v>1</v>
      </c>
      <c r="N12" s="22">
        <f t="shared" ref="N12" si="17">IFERROR(ROUND(F12/J12,4),0)</f>
        <v>0</v>
      </c>
      <c r="O12" s="22">
        <f t="shared" ref="O12" si="18">IFERROR(ROUND(G12/J12,4),0)</f>
        <v>0</v>
      </c>
      <c r="P12" s="22">
        <f t="shared" ref="P12" si="19">IFERROR(ROUND(H12/J12,4),0)</f>
        <v>0</v>
      </c>
      <c r="Q12" s="13"/>
      <c r="T12" s="21"/>
    </row>
    <row r="13" spans="1:20" x14ac:dyDescent="0.25">
      <c r="A13" s="73" t="s">
        <v>77</v>
      </c>
      <c r="B13" s="74" t="s">
        <v>78</v>
      </c>
      <c r="C13" s="68">
        <f>COUNTIFS(TestCase!$A:$A,$A13,TestCase!$G:$G,C$5)</f>
        <v>0</v>
      </c>
      <c r="D13" s="68">
        <f>COUNTIFS(TestCase!$A:$A,$A13,TestCase!$G:$G,D$5)</f>
        <v>0</v>
      </c>
      <c r="E13" s="68">
        <f>COUNTIFS(TestCase!$A:$A,$A13,TestCase!$G:$G,E$5)</f>
        <v>29</v>
      </c>
      <c r="F13" s="68">
        <f>COUNTIFS(TestCase!$A:$A,$A13,TestCase!$G:$G,F$5)</f>
        <v>0</v>
      </c>
      <c r="G13" s="68">
        <f>COUNTIFS(TestCase!$A:$A,$A13,TestCase!$G:$G,G$5)</f>
        <v>0</v>
      </c>
      <c r="H13" s="68">
        <f>COUNTIFS(TestCase!$A:$A,$A13,TestCase!$G:$G,H$5)</f>
        <v>0</v>
      </c>
      <c r="I13" s="68">
        <f>COUNTIFS(TestCase!$A:$A,$A13,TestCase!$G:$G,I$5)</f>
        <v>0</v>
      </c>
      <c r="J13" s="68">
        <f t="shared" si="0"/>
        <v>29</v>
      </c>
      <c r="K13" s="22">
        <f t="shared" si="8"/>
        <v>0</v>
      </c>
      <c r="L13" s="22">
        <f t="shared" si="9"/>
        <v>0</v>
      </c>
      <c r="M13" s="22">
        <f t="shared" si="10"/>
        <v>1</v>
      </c>
      <c r="N13" s="22">
        <f t="shared" si="11"/>
        <v>0</v>
      </c>
      <c r="O13" s="22">
        <f t="shared" si="12"/>
        <v>0</v>
      </c>
      <c r="P13" s="22">
        <f t="shared" si="13"/>
        <v>0</v>
      </c>
      <c r="Q13" s="13"/>
      <c r="T13" s="21"/>
    </row>
    <row r="14" spans="1:20" x14ac:dyDescent="0.25">
      <c r="A14" s="73" t="s">
        <v>79</v>
      </c>
      <c r="B14" s="74" t="s">
        <v>80</v>
      </c>
      <c r="C14" s="68">
        <f>COUNTIFS(TestCase!$A:$A,$A14,TestCase!$G:$G,C$5)</f>
        <v>0</v>
      </c>
      <c r="D14" s="68">
        <f>COUNTIFS(TestCase!$A:$A,$A14,TestCase!$G:$G,D$5)</f>
        <v>0</v>
      </c>
      <c r="E14" s="68">
        <f>COUNTIFS(TestCase!$A:$A,$A14,TestCase!$G:$G,E$5)</f>
        <v>43</v>
      </c>
      <c r="F14" s="68">
        <f>COUNTIFS(TestCase!$A:$A,$A14,TestCase!$G:$G,F$5)</f>
        <v>0</v>
      </c>
      <c r="G14" s="68">
        <f>COUNTIFS(TestCase!$A:$A,$A14,TestCase!$G:$G,G$5)</f>
        <v>0</v>
      </c>
      <c r="H14" s="68">
        <f>COUNTIFS(TestCase!$A:$A,$A14,TestCase!$G:$G,H$5)</f>
        <v>0</v>
      </c>
      <c r="I14" s="68">
        <f>COUNTIFS(TestCase!$A:$A,$A14,TestCase!$G:$G,I$5)</f>
        <v>0</v>
      </c>
      <c r="J14" s="68">
        <f t="shared" si="0"/>
        <v>43</v>
      </c>
      <c r="K14" s="22">
        <f t="shared" ref="K14:K15" si="20">IFERROR(ROUND(C14/J14,4),0)</f>
        <v>0</v>
      </c>
      <c r="L14" s="22">
        <f t="shared" ref="L14:L15" si="21">IFERROR(ROUND(D14/J14,4),0)</f>
        <v>0</v>
      </c>
      <c r="M14" s="22">
        <f t="shared" ref="M14:M15" si="22">IFERROR(ROUND(E14/J14,4),0)</f>
        <v>1</v>
      </c>
      <c r="N14" s="22">
        <f t="shared" ref="N14:N15" si="23">IFERROR(ROUND(F14/J14,4),0)</f>
        <v>0</v>
      </c>
      <c r="O14" s="22">
        <f t="shared" ref="O14:O15" si="24">IFERROR(ROUND(G14/J14,4),0)</f>
        <v>0</v>
      </c>
      <c r="P14" s="22">
        <f t="shared" ref="P14:P15" si="25">IFERROR(ROUND(H14/J14,4),0)</f>
        <v>0</v>
      </c>
      <c r="Q14" s="13"/>
      <c r="T14" s="21"/>
    </row>
    <row r="15" spans="1:20" x14ac:dyDescent="0.25">
      <c r="A15" s="73" t="s">
        <v>81</v>
      </c>
      <c r="B15" s="74" t="s">
        <v>82</v>
      </c>
      <c r="C15" s="68">
        <f>COUNTIFS(TestCase!$A:$A,$A15,TestCase!$G:$G,C$5)</f>
        <v>0</v>
      </c>
      <c r="D15" s="68">
        <f>COUNTIFS(TestCase!$A:$A,$A15,TestCase!$G:$G,D$5)</f>
        <v>0</v>
      </c>
      <c r="E15" s="68">
        <f>COUNTIFS(TestCase!$A:$A,$A15,TestCase!$G:$G,E$5)</f>
        <v>0</v>
      </c>
      <c r="F15" s="68">
        <f>COUNTIFS(TestCase!$A:$A,$A15,TestCase!$G:$G,F$5)</f>
        <v>0</v>
      </c>
      <c r="G15" s="68">
        <f>COUNTIFS(TestCase!$A:$A,$A15,TestCase!$G:$G,G$5)</f>
        <v>0</v>
      </c>
      <c r="H15" s="68">
        <f>COUNTIFS(TestCase!$A:$A,$A15,TestCase!$G:$G,H$5)</f>
        <v>0</v>
      </c>
      <c r="I15" s="68">
        <f>COUNTIFS(TestCase!$A:$A,$A15,TestCase!$G:$G,I$5)</f>
        <v>0</v>
      </c>
      <c r="J15" s="68">
        <f t="shared" si="0"/>
        <v>0</v>
      </c>
      <c r="K15" s="22">
        <f t="shared" si="20"/>
        <v>0</v>
      </c>
      <c r="L15" s="22">
        <f t="shared" si="21"/>
        <v>0</v>
      </c>
      <c r="M15" s="22">
        <f t="shared" si="22"/>
        <v>0</v>
      </c>
      <c r="N15" s="22">
        <f t="shared" si="23"/>
        <v>0</v>
      </c>
      <c r="O15" s="22">
        <f t="shared" si="24"/>
        <v>0</v>
      </c>
      <c r="P15" s="22">
        <f t="shared" si="25"/>
        <v>0</v>
      </c>
      <c r="Q15" s="13"/>
      <c r="T15" s="21"/>
    </row>
    <row r="16" spans="1:20" x14ac:dyDescent="0.25">
      <c r="A16" s="73" t="s">
        <v>83</v>
      </c>
      <c r="B16" s="74" t="s">
        <v>84</v>
      </c>
      <c r="C16" s="68">
        <f>COUNTIFS(TestCase!$A:$A,$A16,TestCase!$G:$G,C$5)</f>
        <v>0</v>
      </c>
      <c r="D16" s="68">
        <f>COUNTIFS(TestCase!$A:$A,$A16,TestCase!$G:$G,D$5)</f>
        <v>0</v>
      </c>
      <c r="E16" s="68">
        <f>COUNTIFS(TestCase!$A:$A,$A16,TestCase!$G:$G,E$5)</f>
        <v>0</v>
      </c>
      <c r="F16" s="68">
        <f>COUNTIFS(TestCase!$A:$A,$A16,TestCase!$G:$G,F$5)</f>
        <v>0</v>
      </c>
      <c r="G16" s="68">
        <f>COUNTIFS(TestCase!$A:$A,$A16,TestCase!$G:$G,G$5)</f>
        <v>0</v>
      </c>
      <c r="H16" s="68">
        <f>COUNTIFS(TestCase!$A:$A,$A16,TestCase!$G:$G,H$5)</f>
        <v>0</v>
      </c>
      <c r="I16" s="68">
        <f>COUNTIFS(TestCase!$A:$A,$A16,TestCase!$G:$G,I$5)</f>
        <v>0</v>
      </c>
      <c r="J16" s="68">
        <f t="shared" si="0"/>
        <v>0</v>
      </c>
      <c r="K16" s="22">
        <f t="shared" ref="K16" si="26">IFERROR(ROUND(C16/J16,4),0)</f>
        <v>0</v>
      </c>
      <c r="L16" s="22">
        <f t="shared" ref="L16" si="27">IFERROR(ROUND(D16/J16,4),0)</f>
        <v>0</v>
      </c>
      <c r="M16" s="22">
        <f t="shared" ref="M16" si="28">IFERROR(ROUND(E16/J16,4),0)</f>
        <v>0</v>
      </c>
      <c r="N16" s="22">
        <f t="shared" ref="N16" si="29">IFERROR(ROUND(F16/J16,4),0)</f>
        <v>0</v>
      </c>
      <c r="O16" s="22">
        <f t="shared" ref="O16" si="30">IFERROR(ROUND(G16/J16,4),0)</f>
        <v>0</v>
      </c>
      <c r="P16" s="22">
        <f t="shared" ref="P16" si="31">IFERROR(ROUND(H16/J16,4),0)</f>
        <v>0</v>
      </c>
      <c r="Q16" s="13"/>
      <c r="T16" s="21"/>
    </row>
    <row r="17" spans="1:20" x14ac:dyDescent="0.25">
      <c r="A17" s="73" t="s">
        <v>85</v>
      </c>
      <c r="B17" s="74" t="s">
        <v>86</v>
      </c>
      <c r="C17" s="68">
        <f>COUNTIFS(TestCase!$A:$A,$A17,TestCase!$G:$G,C$5)</f>
        <v>0</v>
      </c>
      <c r="D17" s="68">
        <f>COUNTIFS(TestCase!$A:$A,$A17,TestCase!$G:$G,D$5)</f>
        <v>0</v>
      </c>
      <c r="E17" s="68">
        <f>COUNTIFS(TestCase!$A:$A,$A17,TestCase!$G:$G,E$5)</f>
        <v>0</v>
      </c>
      <c r="F17" s="68">
        <f>COUNTIFS(TestCase!$A:$A,$A17,TestCase!$G:$G,F$5)</f>
        <v>0</v>
      </c>
      <c r="G17" s="68">
        <f>COUNTIFS(TestCase!$A:$A,$A17,TestCase!$G:$G,G$5)</f>
        <v>0</v>
      </c>
      <c r="H17" s="68">
        <f>COUNTIFS(TestCase!$A:$A,$A17,TestCase!$G:$G,H$5)</f>
        <v>0</v>
      </c>
      <c r="I17" s="68">
        <f>COUNTIFS(TestCase!$A:$A,$A17,TestCase!$G:$G,I$5)</f>
        <v>0</v>
      </c>
      <c r="J17" s="68">
        <f t="shared" si="0"/>
        <v>0</v>
      </c>
      <c r="K17" s="22">
        <f t="shared" ref="K17" si="32">IFERROR(ROUND(C17/J17,4),0)</f>
        <v>0</v>
      </c>
      <c r="L17" s="22">
        <f t="shared" ref="L17" si="33">IFERROR(ROUND(D17/J17,4),0)</f>
        <v>0</v>
      </c>
      <c r="M17" s="22">
        <f t="shared" ref="M17" si="34">IFERROR(ROUND(E17/J17,4),0)</f>
        <v>0</v>
      </c>
      <c r="N17" s="22">
        <f t="shared" ref="N17" si="35">IFERROR(ROUND(F17/J17,4),0)</f>
        <v>0</v>
      </c>
      <c r="O17" s="22">
        <f t="shared" ref="O17" si="36">IFERROR(ROUND(G17/J17,4),0)</f>
        <v>0</v>
      </c>
      <c r="P17" s="22">
        <f t="shared" ref="P17" si="37">IFERROR(ROUND(H17/J17,4),0)</f>
        <v>0</v>
      </c>
      <c r="Q17" s="13"/>
      <c r="T17" s="21"/>
    </row>
    <row r="18" spans="1:20" x14ac:dyDescent="0.25">
      <c r="A18" s="73" t="s">
        <v>87</v>
      </c>
      <c r="B18" s="74" t="s">
        <v>88</v>
      </c>
      <c r="C18" s="68">
        <f>COUNTIFS(TestCase!$A:$A,$A18,TestCase!$G:$G,C$5)</f>
        <v>0</v>
      </c>
      <c r="D18" s="68">
        <f>COUNTIFS(TestCase!$A:$A,$A18,TestCase!$G:$G,D$5)</f>
        <v>0</v>
      </c>
      <c r="E18" s="68">
        <f>COUNTIFS(TestCase!$A:$A,$A18,TestCase!$G:$G,E$5)</f>
        <v>0</v>
      </c>
      <c r="F18" s="68">
        <f>COUNTIFS(TestCase!$A:$A,$A18,TestCase!$G:$G,F$5)</f>
        <v>0</v>
      </c>
      <c r="G18" s="68">
        <f>COUNTIFS(TestCase!$A:$A,$A18,TestCase!$G:$G,G$5)</f>
        <v>0</v>
      </c>
      <c r="H18" s="68">
        <f>COUNTIFS(TestCase!$A:$A,$A18,TestCase!$G:$G,H$5)</f>
        <v>0</v>
      </c>
      <c r="I18" s="68">
        <f>COUNTIFS(TestCase!$A:$A,$A18,TestCase!$G:$G,I$5)</f>
        <v>0</v>
      </c>
      <c r="J18" s="68">
        <f t="shared" si="0"/>
        <v>0</v>
      </c>
      <c r="K18" s="22">
        <f t="shared" ref="K18" si="38">IFERROR(ROUND(C18/J18,4),0)</f>
        <v>0</v>
      </c>
      <c r="L18" s="22">
        <f t="shared" ref="L18" si="39">IFERROR(ROUND(D18/J18,4),0)</f>
        <v>0</v>
      </c>
      <c r="M18" s="22">
        <f t="shared" ref="M18" si="40">IFERROR(ROUND(E18/J18,4),0)</f>
        <v>0</v>
      </c>
      <c r="N18" s="22">
        <f t="shared" ref="N18" si="41">IFERROR(ROUND(F18/J18,4),0)</f>
        <v>0</v>
      </c>
      <c r="O18" s="22">
        <f t="shared" ref="O18" si="42">IFERROR(ROUND(G18/J18,4),0)</f>
        <v>0</v>
      </c>
      <c r="P18" s="22">
        <f t="shared" ref="P18" si="43">IFERROR(ROUND(H18/J18,4),0)</f>
        <v>0</v>
      </c>
      <c r="Q18" s="13"/>
      <c r="T18" s="21"/>
    </row>
    <row r="19" spans="1:20" x14ac:dyDescent="0.25">
      <c r="A19" s="73" t="s">
        <v>89</v>
      </c>
      <c r="B19" s="74" t="s">
        <v>90</v>
      </c>
      <c r="C19" s="68">
        <f>COUNTIFS(TestCase!$A:$A,$A19,TestCase!$G:$G,C$5)</f>
        <v>0</v>
      </c>
      <c r="D19" s="68">
        <f>COUNTIFS(TestCase!$A:$A,$A19,TestCase!$G:$G,D$5)</f>
        <v>0</v>
      </c>
      <c r="E19" s="68">
        <f>COUNTIFS(TestCase!$A:$A,$A19,TestCase!$G:$G,E$5)</f>
        <v>0</v>
      </c>
      <c r="F19" s="68">
        <f>COUNTIFS(TestCase!$A:$A,$A19,TestCase!$G:$G,F$5)</f>
        <v>0</v>
      </c>
      <c r="G19" s="68">
        <f>COUNTIFS(TestCase!$A:$A,$A19,TestCase!$G:$G,G$5)</f>
        <v>0</v>
      </c>
      <c r="H19" s="68">
        <f>COUNTIFS(TestCase!$A:$A,$A19,TestCase!$G:$G,H$5)</f>
        <v>0</v>
      </c>
      <c r="I19" s="68">
        <f>COUNTIFS(TestCase!$A:$A,$A19,TestCase!$G:$G,I$5)</f>
        <v>0</v>
      </c>
      <c r="J19" s="68">
        <f t="shared" si="0"/>
        <v>0</v>
      </c>
      <c r="K19" s="22">
        <f t="shared" ref="K19:K22" si="44">IFERROR(ROUND(C19/J19,4),0)</f>
        <v>0</v>
      </c>
      <c r="L19" s="22">
        <f t="shared" ref="L19:L22" si="45">IFERROR(ROUND(D19/J19,4),0)</f>
        <v>0</v>
      </c>
      <c r="M19" s="22">
        <f t="shared" ref="M19:M22" si="46">IFERROR(ROUND(E19/J19,4),0)</f>
        <v>0</v>
      </c>
      <c r="N19" s="22">
        <f t="shared" ref="N19:N22" si="47">IFERROR(ROUND(F19/J19,4),0)</f>
        <v>0</v>
      </c>
      <c r="O19" s="22">
        <f t="shared" ref="O19:O22" si="48">IFERROR(ROUND(G19/J19,4),0)</f>
        <v>0</v>
      </c>
      <c r="P19" s="22">
        <f t="shared" ref="P19:P22" si="49">IFERROR(ROUND(H19/J19,4),0)</f>
        <v>0</v>
      </c>
      <c r="Q19" s="13"/>
      <c r="T19" s="21"/>
    </row>
    <row r="20" spans="1:20" x14ac:dyDescent="0.25">
      <c r="A20" s="73" t="s">
        <v>91</v>
      </c>
      <c r="B20" s="74" t="s">
        <v>92</v>
      </c>
      <c r="C20" s="68">
        <f>COUNTIFS(TestCase!$A:$A,$A20,TestCase!$G:$G,C$5)</f>
        <v>0</v>
      </c>
      <c r="D20" s="68">
        <f>COUNTIFS(TestCase!$A:$A,$A20,TestCase!$G:$G,D$5)</f>
        <v>0</v>
      </c>
      <c r="E20" s="68">
        <f>COUNTIFS(TestCase!$A:$A,$A20,TestCase!$G:$G,E$5)</f>
        <v>0</v>
      </c>
      <c r="F20" s="68">
        <f>COUNTIFS(TestCase!$A:$A,$A20,TestCase!$G:$G,F$5)</f>
        <v>0</v>
      </c>
      <c r="G20" s="68">
        <f>COUNTIFS(TestCase!$A:$A,$A20,TestCase!$G:$G,G$5)</f>
        <v>0</v>
      </c>
      <c r="H20" s="68">
        <f>COUNTIFS(TestCase!$A:$A,$A20,TestCase!$G:$G,H$5)</f>
        <v>0</v>
      </c>
      <c r="I20" s="68">
        <f>COUNTIFS(TestCase!$A:$A,$A20,TestCase!$G:$G,I$5)</f>
        <v>0</v>
      </c>
      <c r="J20" s="68">
        <f t="shared" ref="J20:J32" si="50">SUM(C20:H20)</f>
        <v>0</v>
      </c>
      <c r="K20" s="22">
        <f t="shared" si="44"/>
        <v>0</v>
      </c>
      <c r="L20" s="22">
        <f t="shared" si="45"/>
        <v>0</v>
      </c>
      <c r="M20" s="22">
        <f t="shared" si="46"/>
        <v>0</v>
      </c>
      <c r="N20" s="22">
        <f t="shared" si="47"/>
        <v>0</v>
      </c>
      <c r="O20" s="22">
        <f t="shared" si="48"/>
        <v>0</v>
      </c>
      <c r="P20" s="22">
        <f t="shared" si="49"/>
        <v>0</v>
      </c>
      <c r="Q20" s="13"/>
      <c r="T20" s="21"/>
    </row>
    <row r="21" spans="1:20" x14ac:dyDescent="0.25">
      <c r="A21" s="73" t="s">
        <v>93</v>
      </c>
      <c r="B21" s="74" t="s">
        <v>59</v>
      </c>
      <c r="C21" s="68">
        <f>COUNTIFS(TestCase!$A:$A,$A21,TestCase!$G:$G,C$5)</f>
        <v>0</v>
      </c>
      <c r="D21" s="68">
        <f>COUNTIFS(TestCase!$A:$A,$A21,TestCase!$G:$G,D$5)</f>
        <v>0</v>
      </c>
      <c r="E21" s="68">
        <f>COUNTIFS(TestCase!$A:$A,$A21,TestCase!$G:$G,E$5)</f>
        <v>0</v>
      </c>
      <c r="F21" s="68">
        <f>COUNTIFS(TestCase!$A:$A,$A21,TestCase!$G:$G,F$5)</f>
        <v>0</v>
      </c>
      <c r="G21" s="68">
        <f>COUNTIFS(TestCase!$A:$A,$A21,TestCase!$G:$G,G$5)</f>
        <v>0</v>
      </c>
      <c r="H21" s="68">
        <f>COUNTIFS(TestCase!$A:$A,$A21,TestCase!$G:$G,H$5)</f>
        <v>0</v>
      </c>
      <c r="I21" s="68">
        <f>COUNTIFS(TestCase!$A:$A,$A21,TestCase!$G:$G,I$5)</f>
        <v>0</v>
      </c>
      <c r="J21" s="68">
        <f t="shared" si="50"/>
        <v>0</v>
      </c>
      <c r="K21" s="22">
        <f t="shared" si="44"/>
        <v>0</v>
      </c>
      <c r="L21" s="22">
        <f t="shared" si="45"/>
        <v>0</v>
      </c>
      <c r="M21" s="22">
        <f t="shared" si="46"/>
        <v>0</v>
      </c>
      <c r="N21" s="22">
        <f t="shared" si="47"/>
        <v>0</v>
      </c>
      <c r="O21" s="22">
        <f t="shared" si="48"/>
        <v>0</v>
      </c>
      <c r="P21" s="22">
        <f t="shared" si="49"/>
        <v>0</v>
      </c>
      <c r="Q21" s="13"/>
      <c r="T21" s="21"/>
    </row>
    <row r="22" spans="1:20" x14ac:dyDescent="0.25">
      <c r="A22" s="73" t="s">
        <v>94</v>
      </c>
      <c r="B22" s="74" t="s">
        <v>60</v>
      </c>
      <c r="C22" s="68">
        <f>COUNTIFS(TestCase!$A:$A,$A22,TestCase!$G:$G,C$5)</f>
        <v>0</v>
      </c>
      <c r="D22" s="68">
        <f>COUNTIFS(TestCase!$A:$A,$A22,TestCase!$G:$G,D$5)</f>
        <v>0</v>
      </c>
      <c r="E22" s="68">
        <f>COUNTIFS(TestCase!$A:$A,$A22,TestCase!$G:$G,E$5)</f>
        <v>0</v>
      </c>
      <c r="F22" s="68">
        <f>COUNTIFS(TestCase!$A:$A,$A22,TestCase!$G:$G,F$5)</f>
        <v>0</v>
      </c>
      <c r="G22" s="68">
        <f>COUNTIFS(TestCase!$A:$A,$A22,TestCase!$G:$G,G$5)</f>
        <v>0</v>
      </c>
      <c r="H22" s="68">
        <f>COUNTIFS(TestCase!$A:$A,$A22,TestCase!$G:$G,H$5)</f>
        <v>0</v>
      </c>
      <c r="I22" s="68">
        <f>COUNTIFS(TestCase!$A:$A,$A22,TestCase!$G:$G,I$5)</f>
        <v>0</v>
      </c>
      <c r="J22" s="68">
        <f t="shared" si="50"/>
        <v>0</v>
      </c>
      <c r="K22" s="22">
        <f t="shared" si="44"/>
        <v>0</v>
      </c>
      <c r="L22" s="22">
        <f t="shared" si="45"/>
        <v>0</v>
      </c>
      <c r="M22" s="22">
        <f t="shared" si="46"/>
        <v>0</v>
      </c>
      <c r="N22" s="22">
        <f t="shared" si="47"/>
        <v>0</v>
      </c>
      <c r="O22" s="22">
        <f t="shared" si="48"/>
        <v>0</v>
      </c>
      <c r="P22" s="22">
        <f t="shared" si="49"/>
        <v>0</v>
      </c>
      <c r="Q22" s="13"/>
      <c r="T22" s="21"/>
    </row>
    <row r="23" spans="1:20" x14ac:dyDescent="0.25">
      <c r="A23" s="73" t="s">
        <v>95</v>
      </c>
      <c r="B23" s="74" t="s">
        <v>96</v>
      </c>
      <c r="C23" s="68">
        <f>COUNTIFS(TestCase!$A:$A,$A23,TestCase!$G:$G,C$5)</f>
        <v>0</v>
      </c>
      <c r="D23" s="68">
        <f>COUNTIFS(TestCase!$A:$A,$A23,TestCase!$G:$G,D$5)</f>
        <v>0</v>
      </c>
      <c r="E23" s="68">
        <f>COUNTIFS(TestCase!$A:$A,$A23,TestCase!$G:$G,E$5)</f>
        <v>0</v>
      </c>
      <c r="F23" s="68">
        <f>COUNTIFS(TestCase!$A:$A,$A23,TestCase!$G:$G,F$5)</f>
        <v>0</v>
      </c>
      <c r="G23" s="68">
        <f>COUNTIFS(TestCase!$A:$A,$A23,TestCase!$G:$G,G$5)</f>
        <v>0</v>
      </c>
      <c r="H23" s="68">
        <f>COUNTIFS(TestCase!$A:$A,$A23,TestCase!$G:$G,H$5)</f>
        <v>0</v>
      </c>
      <c r="I23" s="68">
        <f>COUNTIFS(TestCase!$A:$A,$A23,TestCase!$G:$G,I$5)</f>
        <v>0</v>
      </c>
      <c r="J23" s="68">
        <f t="shared" si="50"/>
        <v>0</v>
      </c>
      <c r="K23" s="22">
        <f t="shared" ref="K23:K32" si="51">IFERROR(ROUND(C23/J23,4),0)</f>
        <v>0</v>
      </c>
      <c r="L23" s="22">
        <f t="shared" ref="L23:L32" si="52">IFERROR(ROUND(D23/J23,4),0)</f>
        <v>0</v>
      </c>
      <c r="M23" s="22">
        <f t="shared" ref="M23:M32" si="53">IFERROR(ROUND(E23/J23,4),0)</f>
        <v>0</v>
      </c>
      <c r="N23" s="22">
        <f t="shared" ref="N23:N32" si="54">IFERROR(ROUND(F23/J23,4),0)</f>
        <v>0</v>
      </c>
      <c r="O23" s="22">
        <f t="shared" ref="O23:O32" si="55">IFERROR(ROUND(G23/J23,4),0)</f>
        <v>0</v>
      </c>
      <c r="P23" s="22">
        <f t="shared" ref="P23:P32" si="56">IFERROR(ROUND(H23/J23,4),0)</f>
        <v>0</v>
      </c>
      <c r="Q23" s="13"/>
      <c r="T23" s="21"/>
    </row>
    <row r="24" spans="1:20" x14ac:dyDescent="0.25">
      <c r="A24" s="73" t="s">
        <v>97</v>
      </c>
      <c r="B24" s="74" t="s">
        <v>98</v>
      </c>
      <c r="C24" s="68">
        <f>COUNTIFS(TestCase!$A:$A,$A24,TestCase!$G:$G,C$5)</f>
        <v>0</v>
      </c>
      <c r="D24" s="68">
        <f>COUNTIFS(TestCase!$A:$A,$A24,TestCase!$G:$G,D$5)</f>
        <v>0</v>
      </c>
      <c r="E24" s="68">
        <f>COUNTIFS(TestCase!$A:$A,$A24,TestCase!$G:$G,E$5)</f>
        <v>0</v>
      </c>
      <c r="F24" s="68">
        <f>COUNTIFS(TestCase!$A:$A,$A24,TestCase!$G:$G,F$5)</f>
        <v>0</v>
      </c>
      <c r="G24" s="68">
        <f>COUNTIFS(TestCase!$A:$A,$A24,TestCase!$G:$G,G$5)</f>
        <v>0</v>
      </c>
      <c r="H24" s="68">
        <f>COUNTIFS(TestCase!$A:$A,$A24,TestCase!$G:$G,H$5)</f>
        <v>0</v>
      </c>
      <c r="I24" s="68">
        <f>COUNTIFS(TestCase!$A:$A,$A24,TestCase!$G:$G,I$5)</f>
        <v>0</v>
      </c>
      <c r="J24" s="68">
        <f t="shared" si="50"/>
        <v>0</v>
      </c>
      <c r="K24" s="22">
        <f t="shared" si="51"/>
        <v>0</v>
      </c>
      <c r="L24" s="22">
        <f t="shared" si="52"/>
        <v>0</v>
      </c>
      <c r="M24" s="22">
        <f t="shared" si="53"/>
        <v>0</v>
      </c>
      <c r="N24" s="22">
        <f t="shared" si="54"/>
        <v>0</v>
      </c>
      <c r="O24" s="22">
        <f t="shared" si="55"/>
        <v>0</v>
      </c>
      <c r="P24" s="22">
        <f t="shared" si="56"/>
        <v>0</v>
      </c>
      <c r="Q24" s="13"/>
      <c r="T24" s="21"/>
    </row>
    <row r="25" spans="1:20" x14ac:dyDescent="0.25">
      <c r="A25" s="73" t="s">
        <v>99</v>
      </c>
      <c r="B25" s="74" t="s">
        <v>100</v>
      </c>
      <c r="C25" s="68">
        <f>COUNTIFS(TestCase!$A:$A,$A25,TestCase!$G:$G,C$5)</f>
        <v>0</v>
      </c>
      <c r="D25" s="68">
        <f>COUNTIFS(TestCase!$A:$A,$A25,TestCase!$G:$G,D$5)</f>
        <v>0</v>
      </c>
      <c r="E25" s="68">
        <f>COUNTIFS(TestCase!$A:$A,$A25,TestCase!$G:$G,E$5)</f>
        <v>0</v>
      </c>
      <c r="F25" s="68">
        <f>COUNTIFS(TestCase!$A:$A,$A25,TestCase!$G:$G,F$5)</f>
        <v>0</v>
      </c>
      <c r="G25" s="68">
        <f>COUNTIFS(TestCase!$A:$A,$A25,TestCase!$G:$G,G$5)</f>
        <v>0</v>
      </c>
      <c r="H25" s="68">
        <f>COUNTIFS(TestCase!$A:$A,$A25,TestCase!$G:$G,H$5)</f>
        <v>0</v>
      </c>
      <c r="I25" s="68">
        <f>COUNTIFS(TestCase!$A:$A,$A25,TestCase!$G:$G,I$5)</f>
        <v>0</v>
      </c>
      <c r="J25" s="68">
        <f t="shared" si="50"/>
        <v>0</v>
      </c>
      <c r="K25" s="22">
        <f t="shared" si="51"/>
        <v>0</v>
      </c>
      <c r="L25" s="22">
        <f t="shared" si="52"/>
        <v>0</v>
      </c>
      <c r="M25" s="22">
        <f t="shared" si="53"/>
        <v>0</v>
      </c>
      <c r="N25" s="22">
        <f t="shared" si="54"/>
        <v>0</v>
      </c>
      <c r="O25" s="22">
        <f t="shared" si="55"/>
        <v>0</v>
      </c>
      <c r="P25" s="22">
        <f t="shared" si="56"/>
        <v>0</v>
      </c>
      <c r="Q25" s="13"/>
      <c r="T25" s="21"/>
    </row>
    <row r="26" spans="1:20" x14ac:dyDescent="0.25">
      <c r="A26" s="73" t="s">
        <v>101</v>
      </c>
      <c r="B26" s="74" t="s">
        <v>102</v>
      </c>
      <c r="C26" s="68">
        <f>COUNTIFS(TestCase!$A:$A,$A26,TestCase!$G:$G,C$5)</f>
        <v>0</v>
      </c>
      <c r="D26" s="68">
        <f>COUNTIFS(TestCase!$A:$A,$A26,TestCase!$G:$G,D$5)</f>
        <v>0</v>
      </c>
      <c r="E26" s="68">
        <f>COUNTIFS(TestCase!$A:$A,$A26,TestCase!$G:$G,E$5)</f>
        <v>32</v>
      </c>
      <c r="F26" s="68">
        <f>COUNTIFS(TestCase!$A:$A,$A26,TestCase!$G:$G,F$5)</f>
        <v>0</v>
      </c>
      <c r="G26" s="68">
        <f>COUNTIFS(TestCase!$A:$A,$A26,TestCase!$G:$G,G$5)</f>
        <v>0</v>
      </c>
      <c r="H26" s="68">
        <f>COUNTIFS(TestCase!$A:$A,$A26,TestCase!$G:$G,H$5)</f>
        <v>0</v>
      </c>
      <c r="I26" s="68">
        <f>COUNTIFS(TestCase!$A:$A,$A26,TestCase!$G:$G,I$5)</f>
        <v>0</v>
      </c>
      <c r="J26" s="68">
        <f>SUM(C26:H26)</f>
        <v>32</v>
      </c>
      <c r="K26" s="22">
        <f t="shared" si="51"/>
        <v>0</v>
      </c>
      <c r="L26" s="22">
        <f t="shared" si="52"/>
        <v>0</v>
      </c>
      <c r="M26" s="22">
        <f t="shared" si="53"/>
        <v>1</v>
      </c>
      <c r="N26" s="22">
        <f t="shared" si="54"/>
        <v>0</v>
      </c>
      <c r="O26" s="22">
        <f t="shared" si="55"/>
        <v>0</v>
      </c>
      <c r="P26" s="22">
        <f>IFERROR(ROUND(H26/J26,4),0)</f>
        <v>0</v>
      </c>
      <c r="Q26" s="13"/>
      <c r="T26" s="21"/>
    </row>
    <row r="27" spans="1:20" x14ac:dyDescent="0.25">
      <c r="A27" s="73" t="s">
        <v>103</v>
      </c>
      <c r="B27" s="74" t="s">
        <v>104</v>
      </c>
      <c r="C27" s="68">
        <f>COUNTIFS(TestCase!$A:$A,$A27,TestCase!$G:$G,C$5)</f>
        <v>0</v>
      </c>
      <c r="D27" s="68">
        <f>COUNTIFS(TestCase!$A:$A,$A27,TestCase!$G:$G,D$5)</f>
        <v>0</v>
      </c>
      <c r="E27" s="68">
        <f>COUNTIFS(TestCase!$A:$A,$A27,TestCase!$G:$G,E$5)</f>
        <v>36</v>
      </c>
      <c r="F27" s="68">
        <f>COUNTIFS(TestCase!$A:$A,$A27,TestCase!$G:$G,F$5)</f>
        <v>0</v>
      </c>
      <c r="G27" s="68">
        <f>COUNTIFS(TestCase!$A:$A,$A27,TestCase!$G:$G,G$5)</f>
        <v>0</v>
      </c>
      <c r="H27" s="68">
        <f>COUNTIFS(TestCase!$A:$A,$A27,TestCase!$G:$G,H$5)</f>
        <v>0</v>
      </c>
      <c r="I27" s="68">
        <f>COUNTIFS(TestCase!$A:$A,$A27,TestCase!$G:$G,I$5)</f>
        <v>0</v>
      </c>
      <c r="J27" s="68">
        <f t="shared" si="50"/>
        <v>36</v>
      </c>
      <c r="K27" s="22">
        <f t="shared" si="51"/>
        <v>0</v>
      </c>
      <c r="L27" s="22">
        <f t="shared" si="52"/>
        <v>0</v>
      </c>
      <c r="M27" s="22">
        <f t="shared" si="53"/>
        <v>1</v>
      </c>
      <c r="N27" s="22">
        <f t="shared" si="54"/>
        <v>0</v>
      </c>
      <c r="O27" s="22">
        <f t="shared" si="55"/>
        <v>0</v>
      </c>
      <c r="P27" s="22">
        <f t="shared" si="56"/>
        <v>0</v>
      </c>
      <c r="Q27" s="13"/>
      <c r="T27" s="21"/>
    </row>
    <row r="28" spans="1:20" x14ac:dyDescent="0.25">
      <c r="A28" s="73" t="s">
        <v>105</v>
      </c>
      <c r="B28" s="74" t="s">
        <v>106</v>
      </c>
      <c r="C28" s="68">
        <f>COUNTIFS(TestCase!$A:$A,$A28,TestCase!$G:$G,C$5)</f>
        <v>0</v>
      </c>
      <c r="D28" s="68">
        <f>COUNTIFS(TestCase!$A:$A,$A28,TestCase!$G:$G,D$5)</f>
        <v>0</v>
      </c>
      <c r="E28" s="68">
        <f>COUNTIFS(TestCase!$A:$A,$A28,TestCase!$G:$G,E$5)</f>
        <v>36</v>
      </c>
      <c r="F28" s="68">
        <f>COUNTIFS(TestCase!$A:$A,$A28,TestCase!$G:$G,F$5)</f>
        <v>0</v>
      </c>
      <c r="G28" s="68">
        <f>COUNTIFS(TestCase!$A:$A,$A28,TestCase!$G:$G,G$5)</f>
        <v>0</v>
      </c>
      <c r="H28" s="68">
        <f>COUNTIFS(TestCase!$A:$A,$A28,TestCase!$G:$G,H$5)</f>
        <v>0</v>
      </c>
      <c r="I28" s="68">
        <f>COUNTIFS(TestCase!$A:$A,$A28,TestCase!$G:$G,I$5)</f>
        <v>0</v>
      </c>
      <c r="J28" s="68">
        <f t="shared" si="50"/>
        <v>36</v>
      </c>
      <c r="K28" s="22">
        <f t="shared" si="51"/>
        <v>0</v>
      </c>
      <c r="L28" s="22">
        <f t="shared" si="52"/>
        <v>0</v>
      </c>
      <c r="M28" s="22">
        <f t="shared" si="53"/>
        <v>1</v>
      </c>
      <c r="N28" s="22">
        <f t="shared" si="54"/>
        <v>0</v>
      </c>
      <c r="O28" s="22">
        <f t="shared" si="55"/>
        <v>0</v>
      </c>
      <c r="P28" s="22">
        <f t="shared" si="56"/>
        <v>0</v>
      </c>
      <c r="Q28" s="13"/>
      <c r="T28" s="21"/>
    </row>
    <row r="29" spans="1:20" x14ac:dyDescent="0.25">
      <c r="A29" s="73" t="s">
        <v>324</v>
      </c>
      <c r="B29" s="74" t="s">
        <v>325</v>
      </c>
      <c r="C29" s="68">
        <f>COUNTIFS(TestCase!$A:$A,$A29,TestCase!$G:$G,C$5)</f>
        <v>0</v>
      </c>
      <c r="D29" s="68">
        <f>COUNTIFS(TestCase!$A:$A,$A29,TestCase!$G:$G,D$5)</f>
        <v>0</v>
      </c>
      <c r="E29" s="68">
        <f>COUNTIFS(TestCase!$A:$A,$A29,TestCase!$G:$G,E$5)</f>
        <v>26</v>
      </c>
      <c r="F29" s="68">
        <f>COUNTIFS(TestCase!$A:$A,$A29,TestCase!$G:$G,F$5)</f>
        <v>0</v>
      </c>
      <c r="G29" s="68">
        <f>COUNTIFS(TestCase!$A:$A,$A29,TestCase!$G:$G,G$5)</f>
        <v>0</v>
      </c>
      <c r="H29" s="68">
        <f>COUNTIFS(TestCase!$A:$A,$A29,TestCase!$G:$G,H$5)</f>
        <v>0</v>
      </c>
      <c r="I29" s="68">
        <f>COUNTIFS(TestCase!$A:$A,$A29,TestCase!$G:$G,I$5)</f>
        <v>0</v>
      </c>
      <c r="J29" s="68">
        <f t="shared" ref="J29:J31" si="57">SUM(C29:H29)</f>
        <v>26</v>
      </c>
      <c r="K29" s="22">
        <f t="shared" ref="K29:K31" si="58">IFERROR(ROUND(C29/J29,4),0)</f>
        <v>0</v>
      </c>
      <c r="L29" s="22">
        <f t="shared" ref="L29:L31" si="59">IFERROR(ROUND(D29/J29,4),0)</f>
        <v>0</v>
      </c>
      <c r="M29" s="22">
        <f t="shared" ref="M29:M31" si="60">IFERROR(ROUND(E29/J29,4),0)</f>
        <v>1</v>
      </c>
      <c r="N29" s="22">
        <f t="shared" ref="N29:N31" si="61">IFERROR(ROUND(F29/J29,4),0)</f>
        <v>0</v>
      </c>
      <c r="O29" s="22">
        <f t="shared" ref="O29:O31" si="62">IFERROR(ROUND(G29/J29,4),0)</f>
        <v>0</v>
      </c>
      <c r="P29" s="22">
        <f>IFERROR(ROUND(H29/J29,4),0)</f>
        <v>0</v>
      </c>
      <c r="Q29" s="13"/>
      <c r="T29" s="21"/>
    </row>
    <row r="30" spans="1:20" x14ac:dyDescent="0.25">
      <c r="A30" s="73" t="s">
        <v>326</v>
      </c>
      <c r="B30" s="74" t="s">
        <v>327</v>
      </c>
      <c r="C30" s="68">
        <f>COUNTIFS(TestCase!$A:$A,$A30,TestCase!$G:$G,C$5)</f>
        <v>0</v>
      </c>
      <c r="D30" s="68">
        <f>COUNTIFS(TestCase!$A:$A,$A30,TestCase!$G:$G,D$5)</f>
        <v>0</v>
      </c>
      <c r="E30" s="68">
        <f>COUNTIFS(TestCase!$A:$A,$A30,TestCase!$G:$G,E$5)</f>
        <v>26</v>
      </c>
      <c r="F30" s="68">
        <f>COUNTIFS(TestCase!$A:$A,$A30,TestCase!$G:$G,F$5)</f>
        <v>0</v>
      </c>
      <c r="G30" s="68">
        <f>COUNTIFS(TestCase!$A:$A,$A30,TestCase!$G:$G,G$5)</f>
        <v>0</v>
      </c>
      <c r="H30" s="68">
        <f>COUNTIFS(TestCase!$A:$A,$A30,TestCase!$G:$G,H$5)</f>
        <v>0</v>
      </c>
      <c r="I30" s="68">
        <f>COUNTIFS(TestCase!$A:$A,$A30,TestCase!$G:$G,I$5)</f>
        <v>0</v>
      </c>
      <c r="J30" s="68">
        <f t="shared" si="57"/>
        <v>26</v>
      </c>
      <c r="K30" s="22">
        <f t="shared" si="58"/>
        <v>0</v>
      </c>
      <c r="L30" s="22">
        <f t="shared" si="59"/>
        <v>0</v>
      </c>
      <c r="M30" s="22">
        <f t="shared" si="60"/>
        <v>1</v>
      </c>
      <c r="N30" s="22">
        <f t="shared" si="61"/>
        <v>0</v>
      </c>
      <c r="O30" s="22">
        <f t="shared" si="62"/>
        <v>0</v>
      </c>
      <c r="P30" s="22">
        <f t="shared" ref="P30:P31" si="63">IFERROR(ROUND(H30/J30,4),0)</f>
        <v>0</v>
      </c>
      <c r="Q30" s="13"/>
      <c r="T30" s="21"/>
    </row>
    <row r="31" spans="1:20" x14ac:dyDescent="0.25">
      <c r="A31" s="73" t="s">
        <v>328</v>
      </c>
      <c r="B31" s="74" t="s">
        <v>329</v>
      </c>
      <c r="C31" s="68">
        <f>COUNTIFS(TestCase!$A:$A,$A31,TestCase!$G:$G,C$5)</f>
        <v>0</v>
      </c>
      <c r="D31" s="68">
        <f>COUNTIFS(TestCase!$A:$A,$A31,TestCase!$G:$G,D$5)</f>
        <v>0</v>
      </c>
      <c r="E31" s="68">
        <f>COUNTIFS(TestCase!$A:$A,$A31,TestCase!$G:$G,E$5)</f>
        <v>26</v>
      </c>
      <c r="F31" s="68">
        <f>COUNTIFS(TestCase!$A:$A,$A31,TestCase!$G:$G,F$5)</f>
        <v>0</v>
      </c>
      <c r="G31" s="68">
        <f>COUNTIFS(TestCase!$A:$A,$A31,TestCase!$G:$G,G$5)</f>
        <v>0</v>
      </c>
      <c r="H31" s="68">
        <f>COUNTIFS(TestCase!$A:$A,$A31,TestCase!$G:$G,H$5)</f>
        <v>0</v>
      </c>
      <c r="I31" s="68">
        <f>COUNTIFS(TestCase!$A:$A,$A31,TestCase!$G:$G,I$5)</f>
        <v>0</v>
      </c>
      <c r="J31" s="68">
        <f t="shared" si="57"/>
        <v>26</v>
      </c>
      <c r="K31" s="22">
        <f t="shared" si="58"/>
        <v>0</v>
      </c>
      <c r="L31" s="22">
        <f t="shared" si="59"/>
        <v>0</v>
      </c>
      <c r="M31" s="22">
        <f t="shared" si="60"/>
        <v>1</v>
      </c>
      <c r="N31" s="22">
        <f t="shared" si="61"/>
        <v>0</v>
      </c>
      <c r="O31" s="22">
        <f t="shared" si="62"/>
        <v>0</v>
      </c>
      <c r="P31" s="22">
        <f t="shared" si="63"/>
        <v>0</v>
      </c>
      <c r="Q31" s="13"/>
      <c r="T31" s="21"/>
    </row>
    <row r="32" spans="1:20" x14ac:dyDescent="0.25">
      <c r="A32" s="73" t="s">
        <v>107</v>
      </c>
      <c r="B32" s="74" t="s">
        <v>108</v>
      </c>
      <c r="C32" s="68">
        <f>COUNTIFS(TestCase!$A:$A,$A32,TestCase!$G:$G,C$5)</f>
        <v>0</v>
      </c>
      <c r="D32" s="68">
        <f>COUNTIFS(TestCase!$A:$A,$A32,TestCase!$G:$G,D$5)</f>
        <v>0</v>
      </c>
      <c r="E32" s="68">
        <f>COUNTIFS(TestCase!$A:$A,$A32,TestCase!$G:$G,E$5)</f>
        <v>0</v>
      </c>
      <c r="F32" s="68">
        <f>COUNTIFS(TestCase!$A:$A,$A32,TestCase!$G:$G,F$5)</f>
        <v>0</v>
      </c>
      <c r="G32" s="68">
        <f>COUNTIFS(TestCase!$A:$A,$A32,TestCase!$G:$G,G$5)</f>
        <v>0</v>
      </c>
      <c r="H32" s="68">
        <f>COUNTIFS(TestCase!$A:$A,$A32,TestCase!$G:$G,H$5)</f>
        <v>0</v>
      </c>
      <c r="I32" s="68">
        <f>COUNTIFS(TestCase!$A:$A,$A32,TestCase!$G:$G,I$5)</f>
        <v>0</v>
      </c>
      <c r="J32" s="68">
        <f t="shared" si="50"/>
        <v>0</v>
      </c>
      <c r="K32" s="22">
        <f t="shared" si="51"/>
        <v>0</v>
      </c>
      <c r="L32" s="22">
        <f t="shared" si="52"/>
        <v>0</v>
      </c>
      <c r="M32" s="22">
        <f t="shared" si="53"/>
        <v>0</v>
      </c>
      <c r="N32" s="22">
        <f t="shared" si="54"/>
        <v>0</v>
      </c>
      <c r="O32" s="22">
        <f t="shared" si="55"/>
        <v>0</v>
      </c>
      <c r="P32" s="22">
        <f t="shared" si="56"/>
        <v>0</v>
      </c>
      <c r="Q32" s="13"/>
      <c r="T32" s="21"/>
    </row>
    <row r="33" spans="1:20" x14ac:dyDescent="0.25">
      <c r="A33" s="142" t="s">
        <v>11</v>
      </c>
      <c r="B33" s="143"/>
      <c r="C33" s="69">
        <f>SUM(C7:C32)</f>
        <v>0</v>
      </c>
      <c r="D33" s="69">
        <f>SUM(D7:D32)</f>
        <v>0</v>
      </c>
      <c r="E33" s="69">
        <f>SUM(E7:E32)</f>
        <v>352</v>
      </c>
      <c r="F33" s="69">
        <f t="shared" ref="F33:J33" si="64">SUM(F7:F32)</f>
        <v>0</v>
      </c>
      <c r="G33" s="69">
        <f t="shared" si="64"/>
        <v>0</v>
      </c>
      <c r="H33" s="69">
        <f t="shared" si="64"/>
        <v>0</v>
      </c>
      <c r="I33" s="69">
        <f t="shared" si="64"/>
        <v>0</v>
      </c>
      <c r="J33" s="69">
        <f t="shared" si="64"/>
        <v>352</v>
      </c>
      <c r="K33" s="46">
        <f>IFERROR(100%-SUM(L33:P33),0)</f>
        <v>0</v>
      </c>
      <c r="L33" s="46">
        <f t="shared" ref="L33:O33" si="65">IFERROR(ROUND(D33/$J$33,4),0)</f>
        <v>0</v>
      </c>
      <c r="M33" s="46">
        <f>IFERROR(ROUND(E33/$J$33,4),0)</f>
        <v>1</v>
      </c>
      <c r="N33" s="46">
        <f>IFERROR(ROUND(F33/$J$33,4),0)</f>
        <v>0</v>
      </c>
      <c r="O33" s="46">
        <f t="shared" si="65"/>
        <v>0</v>
      </c>
      <c r="P33" s="46">
        <f>IFERROR(ROUND(H33/$J$33,4),0)</f>
        <v>0</v>
      </c>
      <c r="Q33" s="42"/>
      <c r="T33" s="21"/>
    </row>
    <row r="34" spans="1:20" x14ac:dyDescent="0.25">
      <c r="T34" s="21"/>
    </row>
    <row r="35" spans="1:20" x14ac:dyDescent="0.25">
      <c r="A35" s="48" t="s">
        <v>44</v>
      </c>
      <c r="T35" s="21"/>
    </row>
    <row r="36" spans="1:20" x14ac:dyDescent="0.25">
      <c r="A36" s="49" t="s">
        <v>45</v>
      </c>
    </row>
    <row r="37" spans="1:20" x14ac:dyDescent="0.25">
      <c r="A37" s="49" t="s">
        <v>46</v>
      </c>
    </row>
    <row r="38" spans="1:20" x14ac:dyDescent="0.25">
      <c r="A38" s="49" t="s">
        <v>47</v>
      </c>
    </row>
    <row r="39" spans="1:20" x14ac:dyDescent="0.25">
      <c r="A39" s="47" t="s">
        <v>48</v>
      </c>
    </row>
    <row r="40" spans="1:20" x14ac:dyDescent="0.25">
      <c r="A40" s="49" t="s">
        <v>49</v>
      </c>
    </row>
    <row r="41" spans="1:20" x14ac:dyDescent="0.25">
      <c r="A41" s="49" t="s">
        <v>50</v>
      </c>
    </row>
    <row r="42" spans="1:20" x14ac:dyDescent="0.25">
      <c r="A42" s="49" t="s">
        <v>51</v>
      </c>
    </row>
  </sheetData>
  <mergeCells count="2">
    <mergeCell ref="A33:B33"/>
    <mergeCell ref="A6:Q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48D14-AC34-43B0-9291-955597CB0BF8}">
  <dimension ref="A1:O371"/>
  <sheetViews>
    <sheetView topLeftCell="F1" zoomScale="60" zoomScaleNormal="60" workbookViewId="0">
      <pane ySplit="5" topLeftCell="A277" activePane="bottomLeft" state="frozen"/>
      <selection pane="bottomLeft" activeCell="N283" sqref="N283"/>
    </sheetView>
  </sheetViews>
  <sheetFormatPr defaultColWidth="9" defaultRowHeight="13.2" x14ac:dyDescent="0.25"/>
  <cols>
    <col min="1" max="1" width="16.8984375" style="83" bestFit="1" customWidth="1"/>
    <col min="2" max="2" width="44.19921875" style="83" customWidth="1"/>
    <col min="3" max="3" width="13.59765625" style="83" bestFit="1" customWidth="1"/>
    <col min="4" max="4" width="15.09765625" style="83" bestFit="1" customWidth="1"/>
    <col min="5" max="5" width="68.19921875" style="83" customWidth="1"/>
    <col min="6" max="6" width="101" style="83" customWidth="1"/>
    <col min="7" max="7" width="10.8984375" style="83" bestFit="1" customWidth="1"/>
    <col min="8" max="8" width="22.59765625" style="83" customWidth="1"/>
    <col min="9" max="9" width="15.09765625" style="134" bestFit="1" customWidth="1"/>
    <col min="10" max="10" width="13.5" style="83" bestFit="1" customWidth="1"/>
    <col min="11" max="11" width="13.5" style="83" customWidth="1"/>
    <col min="12" max="12" width="13.5" style="83" bestFit="1" customWidth="1"/>
    <col min="13" max="13" width="13.5" style="83" customWidth="1"/>
    <col min="14" max="15" width="21.59765625" style="83" customWidth="1"/>
    <col min="16" max="16384" width="9" style="83"/>
  </cols>
  <sheetData>
    <row r="1" spans="1:15" x14ac:dyDescent="0.25">
      <c r="A1" s="84"/>
      <c r="B1" s="11"/>
      <c r="C1" s="85"/>
      <c r="D1" s="85"/>
      <c r="E1" s="86"/>
      <c r="F1" s="86"/>
      <c r="G1" s="87"/>
      <c r="H1" s="88"/>
      <c r="I1" s="87"/>
      <c r="J1" s="87"/>
      <c r="K1" s="87"/>
      <c r="L1" s="87"/>
      <c r="M1" s="87"/>
      <c r="N1" s="88"/>
      <c r="O1" s="88"/>
    </row>
    <row r="2" spans="1:15" ht="19.2" x14ac:dyDescent="0.25">
      <c r="A2" s="89" t="s">
        <v>12</v>
      </c>
      <c r="B2" s="89"/>
      <c r="C2" s="89"/>
      <c r="D2" s="89"/>
      <c r="E2" s="89"/>
      <c r="F2" s="89"/>
      <c r="G2" s="89"/>
      <c r="H2" s="89"/>
      <c r="I2" s="132"/>
      <c r="J2" s="89"/>
      <c r="K2" s="89"/>
      <c r="L2" s="89"/>
      <c r="M2" s="89"/>
      <c r="N2" s="89"/>
      <c r="O2" s="89"/>
    </row>
    <row r="3" spans="1:15" ht="19.2" x14ac:dyDescent="0.25">
      <c r="A3" s="90" t="s">
        <v>33</v>
      </c>
      <c r="B3" s="89"/>
      <c r="C3" s="89"/>
      <c r="D3" s="89"/>
      <c r="E3" s="89"/>
      <c r="F3" s="89"/>
      <c r="G3" s="89"/>
      <c r="H3" s="89"/>
      <c r="I3" s="132"/>
      <c r="J3" s="89"/>
      <c r="K3" s="89"/>
      <c r="L3" s="89"/>
      <c r="M3" s="89"/>
      <c r="N3" s="89"/>
      <c r="O3" s="89"/>
    </row>
    <row r="4" spans="1:15" x14ac:dyDescent="0.25">
      <c r="A4" s="91"/>
      <c r="B4" s="91"/>
      <c r="C4" s="92"/>
      <c r="D4" s="92"/>
      <c r="E4" s="92"/>
      <c r="F4" s="92"/>
      <c r="G4" s="87"/>
      <c r="H4" s="88"/>
      <c r="I4" s="87"/>
      <c r="J4" s="87"/>
      <c r="K4" s="87"/>
      <c r="L4" s="87"/>
      <c r="M4" s="87"/>
      <c r="N4" s="88"/>
      <c r="O4" s="88"/>
    </row>
    <row r="5" spans="1:15" s="87" customFormat="1" ht="26.4" x14ac:dyDescent="0.25">
      <c r="A5" s="66" t="s">
        <v>6</v>
      </c>
      <c r="B5" s="66" t="s">
        <v>8</v>
      </c>
      <c r="C5" s="93" t="s">
        <v>34</v>
      </c>
      <c r="D5" s="93" t="s">
        <v>23</v>
      </c>
      <c r="E5" s="23" t="s">
        <v>0</v>
      </c>
      <c r="F5" s="23" t="s">
        <v>1</v>
      </c>
      <c r="G5" s="27" t="s">
        <v>2</v>
      </c>
      <c r="H5" s="27" t="s">
        <v>3</v>
      </c>
      <c r="I5" s="27" t="s">
        <v>14</v>
      </c>
      <c r="J5" s="80" t="s">
        <v>199</v>
      </c>
      <c r="K5" s="80" t="s">
        <v>200</v>
      </c>
      <c r="L5" s="80" t="s">
        <v>201</v>
      </c>
      <c r="M5" s="27" t="s">
        <v>58</v>
      </c>
      <c r="N5" s="80" t="s">
        <v>198</v>
      </c>
      <c r="O5" s="27" t="s">
        <v>41</v>
      </c>
    </row>
    <row r="6" spans="1:15" x14ac:dyDescent="0.25">
      <c r="A6" s="41" t="str">
        <f>'Scenario Test'!$A$7</f>
        <v>DPT_OPN</v>
      </c>
      <c r="B6" s="42" t="str">
        <f>VLOOKUP(TestCase!A6,'Scenario Test'!$A$5:$B$129,2,0)</f>
        <v>Open new deposit account</v>
      </c>
      <c r="C6" s="41"/>
      <c r="D6" s="41"/>
      <c r="E6" s="41"/>
      <c r="F6" s="41"/>
      <c r="G6" s="43"/>
      <c r="H6" s="42"/>
      <c r="I6" s="43"/>
      <c r="J6" s="42"/>
      <c r="K6" s="42"/>
      <c r="L6" s="42"/>
      <c r="M6" s="42"/>
      <c r="N6" s="42"/>
      <c r="O6" s="42"/>
    </row>
    <row r="7" spans="1:15" s="99" customFormat="1" ht="171.6" x14ac:dyDescent="0.25">
      <c r="A7" s="67" t="str">
        <f>'Scenario Test'!$A$7</f>
        <v>DPT_OPN</v>
      </c>
      <c r="B7" s="14" t="str">
        <f>VLOOKUP(TestCase!A7,'Scenario Test'!$A$5:$B$129,2,0)</f>
        <v>Open new deposit account</v>
      </c>
      <c r="C7" s="94" t="s">
        <v>61</v>
      </c>
      <c r="D7" s="94"/>
      <c r="E7" s="75" t="s">
        <v>121</v>
      </c>
      <c r="F7" s="95" t="s">
        <v>151</v>
      </c>
      <c r="G7" s="96" t="s">
        <v>4</v>
      </c>
      <c r="H7" s="97"/>
      <c r="I7" s="133">
        <v>45617</v>
      </c>
      <c r="J7" s="98"/>
      <c r="K7" s="98"/>
      <c r="L7" s="98"/>
      <c r="M7" s="98"/>
      <c r="N7" s="96" t="s">
        <v>66</v>
      </c>
      <c r="O7" s="97"/>
    </row>
    <row r="8" spans="1:15" s="99" customFormat="1" ht="171.6" x14ac:dyDescent="0.25">
      <c r="A8" s="67" t="str">
        <f>'Scenario Test'!$A$7</f>
        <v>DPT_OPN</v>
      </c>
      <c r="B8" s="14" t="str">
        <f>VLOOKUP(TestCase!A8,'Scenario Test'!$A$5:$B$129,2,0)</f>
        <v>Open new deposit account</v>
      </c>
      <c r="C8" s="94" t="s">
        <v>62</v>
      </c>
      <c r="D8" s="94"/>
      <c r="E8" s="75" t="s">
        <v>122</v>
      </c>
      <c r="F8" s="95" t="s">
        <v>123</v>
      </c>
      <c r="G8" s="96" t="s">
        <v>4</v>
      </c>
      <c r="H8" s="97"/>
      <c r="I8" s="133">
        <v>45617</v>
      </c>
      <c r="J8" s="98"/>
      <c r="K8" s="98"/>
      <c r="L8" s="98"/>
      <c r="M8" s="98"/>
      <c r="N8" s="96" t="s">
        <v>66</v>
      </c>
      <c r="O8" s="97"/>
    </row>
    <row r="9" spans="1:15" s="99" customFormat="1" ht="264" x14ac:dyDescent="0.25">
      <c r="A9" s="67" t="str">
        <f>'Scenario Test'!$A$7</f>
        <v>DPT_OPN</v>
      </c>
      <c r="B9" s="14" t="str">
        <f>VLOOKUP(TestCase!A9,'Scenario Test'!$A$5:$B$129,2,0)</f>
        <v>Open new deposit account</v>
      </c>
      <c r="C9" s="94" t="s">
        <v>63</v>
      </c>
      <c r="D9" s="94"/>
      <c r="E9" s="75" t="s">
        <v>478</v>
      </c>
      <c r="F9" s="95" t="s">
        <v>125</v>
      </c>
      <c r="G9" s="96" t="s">
        <v>4</v>
      </c>
      <c r="H9" s="97"/>
      <c r="I9" s="133">
        <v>45617</v>
      </c>
      <c r="J9" s="98"/>
      <c r="K9" s="98"/>
      <c r="L9" s="98"/>
      <c r="M9" s="98"/>
      <c r="N9" s="96" t="s">
        <v>66</v>
      </c>
      <c r="O9" s="97"/>
    </row>
    <row r="10" spans="1:15" s="99" customFormat="1" ht="264" x14ac:dyDescent="0.25">
      <c r="A10" s="67" t="str">
        <f>'Scenario Test'!$A$7</f>
        <v>DPT_OPN</v>
      </c>
      <c r="B10" s="14" t="str">
        <f>VLOOKUP(TestCase!A10,'Scenario Test'!$A$5:$B$129,2,0)</f>
        <v>Open new deposit account</v>
      </c>
      <c r="C10" s="94" t="s">
        <v>109</v>
      </c>
      <c r="D10" s="94"/>
      <c r="E10" s="75" t="s">
        <v>291</v>
      </c>
      <c r="F10" s="95" t="s">
        <v>151</v>
      </c>
      <c r="G10" s="96" t="s">
        <v>4</v>
      </c>
      <c r="H10" s="97"/>
      <c r="I10" s="133">
        <v>45617</v>
      </c>
      <c r="J10" s="98"/>
      <c r="K10" s="98"/>
      <c r="L10" s="98"/>
      <c r="M10" s="98"/>
      <c r="N10" s="96" t="s">
        <v>66</v>
      </c>
      <c r="O10" s="97"/>
    </row>
    <row r="11" spans="1:15" s="99" customFormat="1" ht="184.8" x14ac:dyDescent="0.25">
      <c r="A11" s="67" t="str">
        <f>'Scenario Test'!$A$7</f>
        <v>DPT_OPN</v>
      </c>
      <c r="B11" s="14" t="str">
        <f>VLOOKUP(TestCase!A11,'Scenario Test'!$A$5:$B$129,2,0)</f>
        <v>Open new deposit account</v>
      </c>
      <c r="C11" s="94" t="s">
        <v>110</v>
      </c>
      <c r="D11" s="94"/>
      <c r="E11" s="75" t="s">
        <v>124</v>
      </c>
      <c r="F11" s="95" t="s">
        <v>151</v>
      </c>
      <c r="G11" s="96" t="s">
        <v>4</v>
      </c>
      <c r="H11" s="97"/>
      <c r="I11" s="133">
        <v>45617</v>
      </c>
      <c r="J11" s="98"/>
      <c r="K11" s="98"/>
      <c r="L11" s="98"/>
      <c r="M11" s="98"/>
      <c r="N11" s="96" t="s">
        <v>66</v>
      </c>
      <c r="O11" s="97"/>
    </row>
    <row r="12" spans="1:15" s="99" customFormat="1" ht="198" x14ac:dyDescent="0.25">
      <c r="A12" s="67" t="str">
        <f>'Scenario Test'!$A$7</f>
        <v>DPT_OPN</v>
      </c>
      <c r="B12" s="14" t="str">
        <f>VLOOKUP(TestCase!A12,'Scenario Test'!$A$5:$B$129,2,0)</f>
        <v>Open new deposit account</v>
      </c>
      <c r="C12" s="94" t="s">
        <v>111</v>
      </c>
      <c r="D12" s="94"/>
      <c r="E12" s="75" t="s">
        <v>203</v>
      </c>
      <c r="F12" s="95" t="s">
        <v>125</v>
      </c>
      <c r="G12" s="96" t="s">
        <v>4</v>
      </c>
      <c r="H12" s="97"/>
      <c r="I12" s="133">
        <v>45617</v>
      </c>
      <c r="J12" s="98"/>
      <c r="K12" s="98"/>
      <c r="L12" s="98"/>
      <c r="M12" s="98"/>
      <c r="N12" s="96" t="s">
        <v>66</v>
      </c>
      <c r="O12" s="97"/>
    </row>
    <row r="13" spans="1:15" s="99" customFormat="1" ht="198" x14ac:dyDescent="0.25">
      <c r="A13" s="67" t="str">
        <f>'Scenario Test'!$A$7</f>
        <v>DPT_OPN</v>
      </c>
      <c r="B13" s="14" t="str">
        <f>VLOOKUP(TestCase!A13,'Scenario Test'!$A$5:$B$129,2,0)</f>
        <v>Open new deposit account</v>
      </c>
      <c r="C13" s="94" t="s">
        <v>112</v>
      </c>
      <c r="D13" s="94"/>
      <c r="E13" s="75" t="s">
        <v>137</v>
      </c>
      <c r="F13" s="95" t="s">
        <v>125</v>
      </c>
      <c r="G13" s="96" t="s">
        <v>4</v>
      </c>
      <c r="H13" s="97"/>
      <c r="I13" s="133">
        <v>45617</v>
      </c>
      <c r="J13" s="98"/>
      <c r="K13" s="98"/>
      <c r="L13" s="98"/>
      <c r="M13" s="98"/>
      <c r="N13" s="96" t="s">
        <v>66</v>
      </c>
      <c r="O13" s="97"/>
    </row>
    <row r="14" spans="1:15" s="99" customFormat="1" ht="198" x14ac:dyDescent="0.25">
      <c r="A14" s="67" t="str">
        <f>'Scenario Test'!$A$7</f>
        <v>DPT_OPN</v>
      </c>
      <c r="B14" s="14" t="str">
        <f>VLOOKUP(TestCase!A14,'Scenario Test'!$A$5:$B$129,2,0)</f>
        <v>Open new deposit account</v>
      </c>
      <c r="C14" s="94" t="s">
        <v>113</v>
      </c>
      <c r="D14" s="94"/>
      <c r="E14" s="75" t="s">
        <v>204</v>
      </c>
      <c r="F14" s="95" t="s">
        <v>125</v>
      </c>
      <c r="G14" s="96" t="s">
        <v>4</v>
      </c>
      <c r="H14" s="97"/>
      <c r="I14" s="133">
        <v>45617</v>
      </c>
      <c r="J14" s="98"/>
      <c r="K14" s="98"/>
      <c r="L14" s="98"/>
      <c r="M14" s="98"/>
      <c r="N14" s="96" t="s">
        <v>66</v>
      </c>
      <c r="O14" s="97"/>
    </row>
    <row r="15" spans="1:15" s="99" customFormat="1" ht="198" x14ac:dyDescent="0.25">
      <c r="A15" s="67" t="str">
        <f>'Scenario Test'!$A$7</f>
        <v>DPT_OPN</v>
      </c>
      <c r="B15" s="14" t="str">
        <f>VLOOKUP(TestCase!A15,'Scenario Test'!$A$5:$B$129,2,0)</f>
        <v>Open new deposit account</v>
      </c>
      <c r="C15" s="94" t="s">
        <v>114</v>
      </c>
      <c r="D15" s="94"/>
      <c r="E15" s="75" t="s">
        <v>138</v>
      </c>
      <c r="F15" s="95" t="s">
        <v>125</v>
      </c>
      <c r="G15" s="96" t="s">
        <v>4</v>
      </c>
      <c r="H15" s="97"/>
      <c r="I15" s="133">
        <v>45617</v>
      </c>
      <c r="J15" s="98"/>
      <c r="K15" s="98"/>
      <c r="L15" s="98"/>
      <c r="M15" s="98"/>
      <c r="N15" s="96" t="s">
        <v>66</v>
      </c>
      <c r="O15" s="97"/>
    </row>
    <row r="16" spans="1:15" s="99" customFormat="1" ht="184.8" x14ac:dyDescent="0.25">
      <c r="A16" s="67" t="str">
        <f>'Scenario Test'!$A$7</f>
        <v>DPT_OPN</v>
      </c>
      <c r="B16" s="14" t="str">
        <f>VLOOKUP(TestCase!A16,'Scenario Test'!$A$5:$B$129,2,0)</f>
        <v>Open new deposit account</v>
      </c>
      <c r="C16" s="94" t="s">
        <v>115</v>
      </c>
      <c r="D16" s="94"/>
      <c r="E16" s="75" t="s">
        <v>136</v>
      </c>
      <c r="F16" s="95" t="s">
        <v>151</v>
      </c>
      <c r="G16" s="96" t="s">
        <v>4</v>
      </c>
      <c r="H16" s="97"/>
      <c r="I16" s="133">
        <v>45617</v>
      </c>
      <c r="J16" s="98"/>
      <c r="K16" s="98"/>
      <c r="L16" s="98"/>
      <c r="M16" s="98"/>
      <c r="N16" s="96" t="s">
        <v>66</v>
      </c>
      <c r="O16" s="97"/>
    </row>
    <row r="17" spans="1:15" s="99" customFormat="1" ht="184.8" x14ac:dyDescent="0.25">
      <c r="A17" s="67" t="str">
        <f>'Scenario Test'!$A$7</f>
        <v>DPT_OPN</v>
      </c>
      <c r="B17" s="14" t="str">
        <f>VLOOKUP(TestCase!A17,'Scenario Test'!$A$5:$B$129,2,0)</f>
        <v>Open new deposit account</v>
      </c>
      <c r="C17" s="94" t="s">
        <v>116</v>
      </c>
      <c r="D17" s="94"/>
      <c r="E17" s="75" t="s">
        <v>139</v>
      </c>
      <c r="F17" s="95" t="s">
        <v>123</v>
      </c>
      <c r="G17" s="96" t="s">
        <v>4</v>
      </c>
      <c r="H17" s="97"/>
      <c r="I17" s="133">
        <v>45617</v>
      </c>
      <c r="J17" s="98"/>
      <c r="K17" s="98"/>
      <c r="L17" s="98"/>
      <c r="M17" s="98"/>
      <c r="N17" s="96" t="s">
        <v>66</v>
      </c>
      <c r="O17" s="97"/>
    </row>
    <row r="18" spans="1:15" s="99" customFormat="1" ht="184.8" x14ac:dyDescent="0.25">
      <c r="A18" s="67" t="str">
        <f>'Scenario Test'!$A$7</f>
        <v>DPT_OPN</v>
      </c>
      <c r="B18" s="14" t="str">
        <f>VLOOKUP(TestCase!A18,'Scenario Test'!$A$5:$B$129,2,0)</f>
        <v>Open new deposit account</v>
      </c>
      <c r="C18" s="94" t="s">
        <v>117</v>
      </c>
      <c r="D18" s="94"/>
      <c r="E18" s="75" t="s">
        <v>140</v>
      </c>
      <c r="F18" s="95" t="s">
        <v>123</v>
      </c>
      <c r="G18" s="96" t="s">
        <v>4</v>
      </c>
      <c r="H18" s="97"/>
      <c r="I18" s="133">
        <v>45617</v>
      </c>
      <c r="J18" s="98"/>
      <c r="K18" s="98"/>
      <c r="L18" s="98"/>
      <c r="M18" s="98"/>
      <c r="N18" s="96" t="s">
        <v>66</v>
      </c>
      <c r="O18" s="97"/>
    </row>
    <row r="19" spans="1:15" s="99" customFormat="1" ht="184.8" x14ac:dyDescent="0.25">
      <c r="A19" s="67" t="str">
        <f>'Scenario Test'!$A$7</f>
        <v>DPT_OPN</v>
      </c>
      <c r="B19" s="14" t="str">
        <f>VLOOKUP(TestCase!A19,'Scenario Test'!$A$5:$B$129,2,0)</f>
        <v>Open new deposit account</v>
      </c>
      <c r="C19" s="94" t="s">
        <v>118</v>
      </c>
      <c r="D19" s="94"/>
      <c r="E19" s="75" t="s">
        <v>141</v>
      </c>
      <c r="F19" s="95" t="s">
        <v>151</v>
      </c>
      <c r="G19" s="96" t="s">
        <v>4</v>
      </c>
      <c r="H19" s="97"/>
      <c r="I19" s="133">
        <v>45617</v>
      </c>
      <c r="J19" s="98"/>
      <c r="K19" s="98"/>
      <c r="L19" s="98"/>
      <c r="M19" s="98"/>
      <c r="N19" s="96" t="s">
        <v>66</v>
      </c>
      <c r="O19" s="97"/>
    </row>
    <row r="20" spans="1:15" s="99" customFormat="1" x14ac:dyDescent="0.25">
      <c r="A20" s="67" t="str">
        <f>'Scenario Test'!$A$7</f>
        <v>DPT_OPN</v>
      </c>
      <c r="B20" s="14" t="str">
        <f>VLOOKUP(TestCase!A20,'Scenario Test'!$A$5:$B$129,2,0)</f>
        <v>Open new deposit account</v>
      </c>
      <c r="C20" s="94" t="s">
        <v>119</v>
      </c>
      <c r="D20" s="94"/>
      <c r="E20" s="76" t="s">
        <v>713</v>
      </c>
      <c r="F20" s="100" t="s">
        <v>126</v>
      </c>
      <c r="G20" s="96" t="s">
        <v>4</v>
      </c>
      <c r="H20" s="97"/>
      <c r="I20" s="133">
        <v>45617</v>
      </c>
      <c r="J20" s="98"/>
      <c r="K20" s="98"/>
      <c r="L20" s="98"/>
      <c r="M20" s="98"/>
      <c r="N20" s="96" t="s">
        <v>66</v>
      </c>
      <c r="O20" s="97"/>
    </row>
    <row r="21" spans="1:15" s="99" customFormat="1" x14ac:dyDescent="0.25">
      <c r="A21" s="67" t="str">
        <f>'Scenario Test'!$A$7</f>
        <v>DPT_OPN</v>
      </c>
      <c r="B21" s="14" t="str">
        <f>VLOOKUP(TestCase!A21,'Scenario Test'!$A$5:$B$129,2,0)</f>
        <v>Open new deposit account</v>
      </c>
      <c r="C21" s="94" t="s">
        <v>127</v>
      </c>
      <c r="D21" s="94"/>
      <c r="E21" s="76" t="s">
        <v>714</v>
      </c>
      <c r="F21" s="100" t="s">
        <v>126</v>
      </c>
      <c r="G21" s="96" t="s">
        <v>4</v>
      </c>
      <c r="H21" s="97"/>
      <c r="I21" s="133">
        <v>45617</v>
      </c>
      <c r="J21" s="98"/>
      <c r="K21" s="98"/>
      <c r="L21" s="98"/>
      <c r="M21" s="98"/>
      <c r="N21" s="96" t="s">
        <v>66</v>
      </c>
      <c r="O21" s="97"/>
    </row>
    <row r="22" spans="1:15" s="99" customFormat="1" x14ac:dyDescent="0.25">
      <c r="A22" s="67" t="str">
        <f>'Scenario Test'!$A$7</f>
        <v>DPT_OPN</v>
      </c>
      <c r="B22" s="14" t="str">
        <f>VLOOKUP(TestCase!A22,'Scenario Test'!$A$5:$B$129,2,0)</f>
        <v>Open new deposit account</v>
      </c>
      <c r="C22" s="94" t="s">
        <v>128</v>
      </c>
      <c r="D22" s="94"/>
      <c r="E22" s="76" t="s">
        <v>715</v>
      </c>
      <c r="F22" s="100" t="s">
        <v>126</v>
      </c>
      <c r="G22" s="96" t="s">
        <v>4</v>
      </c>
      <c r="H22" s="97" t="s">
        <v>464</v>
      </c>
      <c r="I22" s="133">
        <v>45617</v>
      </c>
      <c r="J22" s="98"/>
      <c r="K22" s="98"/>
      <c r="L22" s="98"/>
      <c r="M22" s="98"/>
      <c r="N22" s="96" t="s">
        <v>66</v>
      </c>
      <c r="O22" s="97"/>
    </row>
    <row r="23" spans="1:15" s="99" customFormat="1" x14ac:dyDescent="0.25">
      <c r="A23" s="67" t="str">
        <f>'Scenario Test'!$A$7</f>
        <v>DPT_OPN</v>
      </c>
      <c r="B23" s="14" t="str">
        <f>VLOOKUP(TestCase!A23,'Scenario Test'!$A$5:$B$129,2,0)</f>
        <v>Open new deposit account</v>
      </c>
      <c r="C23" s="94" t="s">
        <v>129</v>
      </c>
      <c r="D23" s="94"/>
      <c r="E23" s="76" t="s">
        <v>716</v>
      </c>
      <c r="F23" s="100" t="s">
        <v>126</v>
      </c>
      <c r="G23" s="96" t="s">
        <v>4</v>
      </c>
      <c r="H23" s="97"/>
      <c r="I23" s="133">
        <v>45617</v>
      </c>
      <c r="J23" s="98"/>
      <c r="K23" s="98"/>
      <c r="L23" s="98"/>
      <c r="M23" s="98"/>
      <c r="N23" s="96" t="s">
        <v>66</v>
      </c>
      <c r="O23" s="97"/>
    </row>
    <row r="24" spans="1:15" s="99" customFormat="1" x14ac:dyDescent="0.25">
      <c r="A24" s="67" t="str">
        <f>'Scenario Test'!$A$7</f>
        <v>DPT_OPN</v>
      </c>
      <c r="B24" s="14" t="str">
        <f>VLOOKUP(TestCase!A24,'Scenario Test'!$A$5:$B$129,2,0)</f>
        <v>Open new deposit account</v>
      </c>
      <c r="C24" s="94" t="s">
        <v>130</v>
      </c>
      <c r="D24" s="94"/>
      <c r="E24" s="76" t="s">
        <v>717</v>
      </c>
      <c r="F24" s="100" t="s">
        <v>126</v>
      </c>
      <c r="G24" s="96" t="s">
        <v>4</v>
      </c>
      <c r="H24" s="97"/>
      <c r="I24" s="133">
        <v>45617</v>
      </c>
      <c r="J24" s="98"/>
      <c r="K24" s="98"/>
      <c r="L24" s="98"/>
      <c r="M24" s="98"/>
      <c r="N24" s="96" t="s">
        <v>66</v>
      </c>
      <c r="O24" s="97"/>
    </row>
    <row r="25" spans="1:15" s="99" customFormat="1" ht="92.4" x14ac:dyDescent="0.25">
      <c r="A25" s="67" t="str">
        <f>'Scenario Test'!$A$7</f>
        <v>DPT_OPN</v>
      </c>
      <c r="B25" s="14" t="str">
        <f>VLOOKUP(TestCase!A25,'Scenario Test'!$A$5:$B$129,2,0)</f>
        <v>Open new deposit account</v>
      </c>
      <c r="C25" s="94" t="s">
        <v>142</v>
      </c>
      <c r="D25" s="94"/>
      <c r="E25" s="75" t="s">
        <v>718</v>
      </c>
      <c r="F25" s="100" t="s">
        <v>126</v>
      </c>
      <c r="G25" s="96" t="s">
        <v>4</v>
      </c>
      <c r="H25" s="97"/>
      <c r="I25" s="133">
        <v>45617</v>
      </c>
      <c r="J25" s="98"/>
      <c r="K25" s="98"/>
      <c r="L25" s="98"/>
      <c r="M25" s="98"/>
      <c r="N25" s="96" t="s">
        <v>66</v>
      </c>
      <c r="O25" s="97"/>
    </row>
    <row r="26" spans="1:15" s="99" customFormat="1" ht="105.6" x14ac:dyDescent="0.25">
      <c r="A26" s="67" t="str">
        <f>'Scenario Test'!$A$7</f>
        <v>DPT_OPN</v>
      </c>
      <c r="B26" s="14" t="str">
        <f>VLOOKUP(TestCase!A26,'Scenario Test'!$A$5:$B$129,2,0)</f>
        <v>Open new deposit account</v>
      </c>
      <c r="C26" s="94" t="s">
        <v>143</v>
      </c>
      <c r="D26" s="94"/>
      <c r="E26" s="75" t="s">
        <v>719</v>
      </c>
      <c r="F26" s="100" t="s">
        <v>126</v>
      </c>
      <c r="G26" s="96" t="s">
        <v>4</v>
      </c>
      <c r="H26" s="97"/>
      <c r="I26" s="133">
        <v>45617</v>
      </c>
      <c r="J26" s="98"/>
      <c r="K26" s="98"/>
      <c r="L26" s="98"/>
      <c r="M26" s="98"/>
      <c r="N26" s="96" t="s">
        <v>66</v>
      </c>
      <c r="O26" s="97"/>
    </row>
    <row r="27" spans="1:15" s="99" customFormat="1" ht="105.6" x14ac:dyDescent="0.25">
      <c r="A27" s="67" t="str">
        <f>'Scenario Test'!$A$7</f>
        <v>DPT_OPN</v>
      </c>
      <c r="B27" s="14" t="str">
        <f>VLOOKUP(TestCase!A27,'Scenario Test'!$A$5:$B$129,2,0)</f>
        <v>Open new deposit account</v>
      </c>
      <c r="C27" s="94" t="s">
        <v>144</v>
      </c>
      <c r="D27" s="94"/>
      <c r="E27" s="75" t="s">
        <v>720</v>
      </c>
      <c r="F27" s="100" t="s">
        <v>126</v>
      </c>
      <c r="G27" s="96" t="s">
        <v>4</v>
      </c>
      <c r="H27" s="97"/>
      <c r="I27" s="133">
        <v>45617</v>
      </c>
      <c r="J27" s="98"/>
      <c r="K27" s="98"/>
      <c r="L27" s="98"/>
      <c r="M27" s="98"/>
      <c r="N27" s="96" t="s">
        <v>66</v>
      </c>
      <c r="O27" s="97"/>
    </row>
    <row r="28" spans="1:15" s="99" customFormat="1" ht="105.6" x14ac:dyDescent="0.25">
      <c r="A28" s="67" t="str">
        <f>'Scenario Test'!$A$7</f>
        <v>DPT_OPN</v>
      </c>
      <c r="B28" s="14" t="str">
        <f>VLOOKUP(TestCase!A28,'Scenario Test'!$A$5:$B$129,2,0)</f>
        <v>Open new deposit account</v>
      </c>
      <c r="C28" s="94" t="s">
        <v>145</v>
      </c>
      <c r="D28" s="94"/>
      <c r="E28" s="75" t="s">
        <v>721</v>
      </c>
      <c r="F28" s="100" t="s">
        <v>126</v>
      </c>
      <c r="G28" s="96" t="s">
        <v>4</v>
      </c>
      <c r="H28" s="97"/>
      <c r="I28" s="133">
        <v>45617</v>
      </c>
      <c r="J28" s="98"/>
      <c r="K28" s="98"/>
      <c r="L28" s="98"/>
      <c r="M28" s="98"/>
      <c r="N28" s="96" t="s">
        <v>66</v>
      </c>
      <c r="O28" s="97"/>
    </row>
    <row r="29" spans="1:15" s="99" customFormat="1" ht="118.8" x14ac:dyDescent="0.25">
      <c r="A29" s="67" t="str">
        <f>'Scenario Test'!$A$7</f>
        <v>DPT_OPN</v>
      </c>
      <c r="B29" s="14" t="str">
        <f>VLOOKUP(TestCase!A29,'Scenario Test'!$A$5:$B$129,2,0)</f>
        <v>Open new deposit account</v>
      </c>
      <c r="C29" s="94" t="s">
        <v>152</v>
      </c>
      <c r="D29" s="94"/>
      <c r="E29" s="75" t="s">
        <v>722</v>
      </c>
      <c r="F29" s="100" t="s">
        <v>126</v>
      </c>
      <c r="G29" s="96" t="s">
        <v>4</v>
      </c>
      <c r="H29" s="97"/>
      <c r="I29" s="133">
        <v>45617</v>
      </c>
      <c r="J29" s="98"/>
      <c r="K29" s="98"/>
      <c r="L29" s="98"/>
      <c r="M29" s="98"/>
      <c r="N29" s="96" t="s">
        <v>66</v>
      </c>
      <c r="O29" s="97"/>
    </row>
    <row r="30" spans="1:15" s="99" customFormat="1" ht="118.8" x14ac:dyDescent="0.25">
      <c r="A30" s="67" t="str">
        <f>'Scenario Test'!$A$7</f>
        <v>DPT_OPN</v>
      </c>
      <c r="B30" s="14" t="str">
        <f>VLOOKUP(TestCase!A30,'Scenario Test'!$A$5:$B$129,2,0)</f>
        <v>Open new deposit account</v>
      </c>
      <c r="C30" s="94" t="s">
        <v>205</v>
      </c>
      <c r="D30" s="94"/>
      <c r="E30" s="75" t="s">
        <v>723</v>
      </c>
      <c r="F30" s="100" t="s">
        <v>126</v>
      </c>
      <c r="G30" s="96" t="s">
        <v>4</v>
      </c>
      <c r="H30" s="97"/>
      <c r="I30" s="133">
        <v>45617</v>
      </c>
      <c r="J30" s="98"/>
      <c r="K30" s="98"/>
      <c r="L30" s="98"/>
      <c r="M30" s="98"/>
      <c r="N30" s="96" t="s">
        <v>66</v>
      </c>
      <c r="O30" s="97"/>
    </row>
    <row r="31" spans="1:15" s="99" customFormat="1" ht="105.6" x14ac:dyDescent="0.25">
      <c r="A31" s="67" t="str">
        <f>'Scenario Test'!$A$7</f>
        <v>DPT_OPN</v>
      </c>
      <c r="B31" s="14" t="str">
        <f>VLOOKUP(TestCase!A31,'Scenario Test'!$A$5:$B$129,2,0)</f>
        <v>Open new deposit account</v>
      </c>
      <c r="C31" s="94" t="s">
        <v>206</v>
      </c>
      <c r="D31" s="94"/>
      <c r="E31" s="75" t="s">
        <v>724</v>
      </c>
      <c r="F31" s="100" t="s">
        <v>126</v>
      </c>
      <c r="G31" s="96" t="s">
        <v>4</v>
      </c>
      <c r="H31" s="97"/>
      <c r="I31" s="133">
        <v>45617</v>
      </c>
      <c r="J31" s="98"/>
      <c r="K31" s="98"/>
      <c r="L31" s="98"/>
      <c r="M31" s="98"/>
      <c r="N31" s="96" t="s">
        <v>66</v>
      </c>
      <c r="O31" s="97"/>
    </row>
    <row r="32" spans="1:15" s="99" customFormat="1" ht="66" x14ac:dyDescent="0.25">
      <c r="A32" s="67" t="str">
        <f>'Scenario Test'!$A$7</f>
        <v>DPT_OPN</v>
      </c>
      <c r="B32" s="14" t="str">
        <f>VLOOKUP(TestCase!A32,'Scenario Test'!$A$5:$B$129,2,0)</f>
        <v>Open new deposit account</v>
      </c>
      <c r="C32" s="94" t="s">
        <v>207</v>
      </c>
      <c r="D32" s="94"/>
      <c r="E32" s="76" t="s">
        <v>120</v>
      </c>
      <c r="F32" s="95" t="s">
        <v>151</v>
      </c>
      <c r="G32" s="96" t="s">
        <v>4</v>
      </c>
      <c r="H32" s="97" t="s">
        <v>464</v>
      </c>
      <c r="I32" s="133">
        <v>45617</v>
      </c>
      <c r="J32" s="98"/>
      <c r="K32" s="98"/>
      <c r="L32" s="98"/>
      <c r="M32" s="98"/>
      <c r="N32" s="96" t="s">
        <v>66</v>
      </c>
      <c r="O32" s="97"/>
    </row>
    <row r="33" spans="1:15" x14ac:dyDescent="0.25">
      <c r="A33" s="41" t="str">
        <f>'Scenario Test'!$A$8</f>
        <v>DPT_APR</v>
      </c>
      <c r="B33" s="42" t="str">
        <f>VLOOKUP(TestCase!A33,'Scenario Test'!$A$5:$B$129,2,0)</f>
        <v>Approve deposit account</v>
      </c>
      <c r="C33" s="41"/>
      <c r="D33" s="41"/>
      <c r="E33" s="41"/>
      <c r="F33" s="41"/>
      <c r="G33" s="43"/>
      <c r="H33" s="42"/>
      <c r="I33" s="43"/>
      <c r="J33" s="42"/>
      <c r="K33" s="42"/>
      <c r="L33" s="42"/>
      <c r="M33" s="42"/>
      <c r="N33" s="42"/>
      <c r="O33" s="42"/>
    </row>
    <row r="34" spans="1:15" s="99" customFormat="1" ht="79.2" x14ac:dyDescent="0.25">
      <c r="A34" s="72" t="str">
        <f>'Scenario Test'!$A$8</f>
        <v>DPT_APR</v>
      </c>
      <c r="B34" s="14" t="str">
        <f>VLOOKUP(TestCase!A34,'Scenario Test'!$A$5:$B$129,2,0)</f>
        <v>Approve deposit account</v>
      </c>
      <c r="C34" s="94" t="s">
        <v>135</v>
      </c>
      <c r="D34" s="94"/>
      <c r="E34" s="77" t="s">
        <v>154</v>
      </c>
      <c r="F34" s="95" t="s">
        <v>153</v>
      </c>
      <c r="G34" s="96" t="s">
        <v>4</v>
      </c>
      <c r="H34" s="97"/>
      <c r="I34" s="133">
        <v>45617</v>
      </c>
      <c r="J34" s="98"/>
      <c r="K34" s="98"/>
      <c r="L34" s="98"/>
      <c r="M34" s="98"/>
      <c r="N34" s="96" t="s">
        <v>66</v>
      </c>
      <c r="O34" s="97"/>
    </row>
    <row r="35" spans="1:15" s="99" customFormat="1" ht="26.4" x14ac:dyDescent="0.25">
      <c r="A35" s="72" t="str">
        <f>'Scenario Test'!$A$8</f>
        <v>DPT_APR</v>
      </c>
      <c r="B35" s="14" t="str">
        <f>VLOOKUP(TestCase!A35,'Scenario Test'!$A$5:$B$129,2,0)</f>
        <v>Approve deposit account</v>
      </c>
      <c r="C35" s="94" t="s">
        <v>146</v>
      </c>
      <c r="D35" s="94"/>
      <c r="E35" s="77" t="s">
        <v>728</v>
      </c>
      <c r="F35" s="100" t="s">
        <v>126</v>
      </c>
      <c r="G35" s="96" t="s">
        <v>4</v>
      </c>
      <c r="H35" s="97"/>
      <c r="I35" s="133">
        <v>45617</v>
      </c>
      <c r="J35" s="98"/>
      <c r="K35" s="98"/>
      <c r="L35" s="98"/>
      <c r="M35" s="98"/>
      <c r="N35" s="96" t="s">
        <v>66</v>
      </c>
      <c r="O35" s="97"/>
    </row>
    <row r="36" spans="1:15" s="99" customFormat="1" ht="26.4" x14ac:dyDescent="0.25">
      <c r="A36" s="72" t="str">
        <f>'Scenario Test'!$A$8</f>
        <v>DPT_APR</v>
      </c>
      <c r="B36" s="14" t="str">
        <f>VLOOKUP(TestCase!A36,'Scenario Test'!$A$5:$B$129,2,0)</f>
        <v>Approve deposit account</v>
      </c>
      <c r="C36" s="94" t="s">
        <v>147</v>
      </c>
      <c r="D36" s="94"/>
      <c r="E36" s="77" t="s">
        <v>727</v>
      </c>
      <c r="F36" s="100" t="s">
        <v>126</v>
      </c>
      <c r="G36" s="96" t="s">
        <v>4</v>
      </c>
      <c r="H36" s="97"/>
      <c r="I36" s="133">
        <v>45617</v>
      </c>
      <c r="J36" s="98"/>
      <c r="K36" s="98"/>
      <c r="L36" s="98"/>
      <c r="M36" s="98"/>
      <c r="N36" s="96" t="s">
        <v>66</v>
      </c>
      <c r="O36" s="97"/>
    </row>
    <row r="37" spans="1:15" s="99" customFormat="1" x14ac:dyDescent="0.25">
      <c r="A37" s="72" t="str">
        <f>'Scenario Test'!$A$8</f>
        <v>DPT_APR</v>
      </c>
      <c r="B37" s="14" t="str">
        <f>VLOOKUP(TestCase!A37,'Scenario Test'!$A$5:$B$129,2,0)</f>
        <v>Approve deposit account</v>
      </c>
      <c r="C37" s="94" t="s">
        <v>155</v>
      </c>
      <c r="D37" s="94"/>
      <c r="E37" s="77" t="s">
        <v>725</v>
      </c>
      <c r="F37" s="100" t="s">
        <v>126</v>
      </c>
      <c r="G37" s="96" t="s">
        <v>4</v>
      </c>
      <c r="H37" s="97"/>
      <c r="I37" s="133">
        <v>45617</v>
      </c>
      <c r="J37" s="98"/>
      <c r="K37" s="98"/>
      <c r="L37" s="98"/>
      <c r="M37" s="98"/>
      <c r="N37" s="96" t="s">
        <v>66</v>
      </c>
      <c r="O37" s="97"/>
    </row>
    <row r="38" spans="1:15" s="99" customFormat="1" ht="52.8" x14ac:dyDescent="0.25">
      <c r="A38" s="72" t="str">
        <f>'Scenario Test'!$A$8</f>
        <v>DPT_APR</v>
      </c>
      <c r="B38" s="14" t="str">
        <f>VLOOKUP(TestCase!A38,'Scenario Test'!$A$5:$B$129,2,0)</f>
        <v>Approve deposit account</v>
      </c>
      <c r="C38" s="94" t="s">
        <v>159</v>
      </c>
      <c r="D38" s="94"/>
      <c r="E38" s="76" t="s">
        <v>120</v>
      </c>
      <c r="F38" s="95" t="s">
        <v>153</v>
      </c>
      <c r="G38" s="96" t="s">
        <v>4</v>
      </c>
      <c r="H38" s="97" t="s">
        <v>464</v>
      </c>
      <c r="I38" s="133">
        <v>45617</v>
      </c>
      <c r="J38" s="98"/>
      <c r="K38" s="98"/>
      <c r="L38" s="98"/>
      <c r="M38" s="98"/>
      <c r="N38" s="96" t="s">
        <v>66</v>
      </c>
      <c r="O38" s="97"/>
    </row>
    <row r="39" spans="1:15" x14ac:dyDescent="0.25">
      <c r="A39" s="41" t="str">
        <f>'Scenario Test'!$A$9</f>
        <v>DPT_REJ</v>
      </c>
      <c r="B39" s="42" t="str">
        <f>VLOOKUP(TestCase!A39,'Scenario Test'!$A$5:$B$129,2,0)</f>
        <v>Reject deposit account</v>
      </c>
      <c r="C39" s="41"/>
      <c r="D39" s="41"/>
      <c r="E39" s="41"/>
      <c r="F39" s="41"/>
      <c r="G39" s="43"/>
      <c r="H39" s="42"/>
      <c r="I39" s="43"/>
      <c r="J39" s="42"/>
      <c r="K39" s="42"/>
      <c r="L39" s="42"/>
      <c r="M39" s="42"/>
      <c r="N39" s="42"/>
      <c r="O39" s="42"/>
    </row>
    <row r="40" spans="1:15" s="99" customFormat="1" ht="66" x14ac:dyDescent="0.25">
      <c r="A40" s="72" t="str">
        <f>'Scenario Test'!$A$9</f>
        <v>DPT_REJ</v>
      </c>
      <c r="B40" s="14" t="str">
        <f>VLOOKUP(TestCase!A40,'Scenario Test'!$A$5:$B$129,2,0)</f>
        <v>Reject deposit account</v>
      </c>
      <c r="C40" s="94" t="s">
        <v>148</v>
      </c>
      <c r="D40" s="94"/>
      <c r="E40" s="77" t="s">
        <v>202</v>
      </c>
      <c r="F40" s="95" t="s">
        <v>153</v>
      </c>
      <c r="G40" s="96" t="s">
        <v>4</v>
      </c>
      <c r="H40" s="97"/>
      <c r="I40" s="133">
        <v>45617</v>
      </c>
      <c r="J40" s="98"/>
      <c r="K40" s="98"/>
      <c r="L40" s="98"/>
      <c r="M40" s="98"/>
      <c r="N40" s="96" t="s">
        <v>66</v>
      </c>
      <c r="O40" s="97"/>
    </row>
    <row r="41" spans="1:15" s="99" customFormat="1" x14ac:dyDescent="0.25">
      <c r="A41" s="72" t="str">
        <f>'Scenario Test'!$A$9</f>
        <v>DPT_REJ</v>
      </c>
      <c r="B41" s="14" t="str">
        <f>VLOOKUP(TestCase!A41,'Scenario Test'!$A$5:$B$129,2,0)</f>
        <v>Reject deposit account</v>
      </c>
      <c r="C41" s="94" t="s">
        <v>149</v>
      </c>
      <c r="D41" s="94"/>
      <c r="E41" s="77" t="s">
        <v>726</v>
      </c>
      <c r="F41" s="100" t="s">
        <v>126</v>
      </c>
      <c r="G41" s="96" t="s">
        <v>4</v>
      </c>
      <c r="H41" s="97"/>
      <c r="I41" s="133">
        <v>45617</v>
      </c>
      <c r="J41" s="98"/>
      <c r="K41" s="98"/>
      <c r="L41" s="98"/>
      <c r="M41" s="98"/>
      <c r="N41" s="96" t="s">
        <v>66</v>
      </c>
      <c r="O41" s="97"/>
    </row>
    <row r="42" spans="1:15" s="99" customFormat="1" x14ac:dyDescent="0.25">
      <c r="A42" s="72" t="str">
        <f>'Scenario Test'!$A$9</f>
        <v>DPT_REJ</v>
      </c>
      <c r="B42" s="14" t="str">
        <f>VLOOKUP(TestCase!A42,'Scenario Test'!$A$5:$B$129,2,0)</f>
        <v>Reject deposit account</v>
      </c>
      <c r="C42" s="94" t="s">
        <v>150</v>
      </c>
      <c r="D42" s="94"/>
      <c r="E42" s="77" t="s">
        <v>725</v>
      </c>
      <c r="F42" s="100" t="s">
        <v>126</v>
      </c>
      <c r="G42" s="96" t="s">
        <v>4</v>
      </c>
      <c r="H42" s="97"/>
      <c r="I42" s="133">
        <v>45617</v>
      </c>
      <c r="J42" s="98"/>
      <c r="K42" s="98"/>
      <c r="L42" s="98"/>
      <c r="M42" s="98"/>
      <c r="N42" s="96" t="s">
        <v>66</v>
      </c>
      <c r="O42" s="97"/>
    </row>
    <row r="43" spans="1:15" s="99" customFormat="1" ht="52.8" x14ac:dyDescent="0.25">
      <c r="A43" s="72" t="str">
        <f>'Scenario Test'!$A$9</f>
        <v>DPT_REJ</v>
      </c>
      <c r="B43" s="14" t="str">
        <f>VLOOKUP(TestCase!A43,'Scenario Test'!$A$5:$B$129,2,0)</f>
        <v>Reject deposit account</v>
      </c>
      <c r="C43" s="94" t="s">
        <v>160</v>
      </c>
      <c r="D43" s="94"/>
      <c r="E43" s="76" t="s">
        <v>120</v>
      </c>
      <c r="F43" s="95" t="s">
        <v>153</v>
      </c>
      <c r="G43" s="96" t="s">
        <v>4</v>
      </c>
      <c r="H43" s="97"/>
      <c r="I43" s="133">
        <v>45617</v>
      </c>
      <c r="J43" s="98"/>
      <c r="K43" s="98"/>
      <c r="L43" s="98"/>
      <c r="M43" s="98"/>
      <c r="N43" s="96" t="s">
        <v>66</v>
      </c>
      <c r="O43" s="97"/>
    </row>
    <row r="44" spans="1:15" x14ac:dyDescent="0.25">
      <c r="A44" s="41" t="str">
        <f>'Scenario Test'!$A$10</f>
        <v>DPT_CDP</v>
      </c>
      <c r="B44" s="42" t="str">
        <f>VLOOKUP(TestCase!A44,'Scenario Test'!$A$5:$B$129,2,0)</f>
        <v>Cash deposit</v>
      </c>
      <c r="C44" s="41"/>
      <c r="D44" s="41"/>
      <c r="E44" s="41"/>
      <c r="F44" s="41"/>
      <c r="G44" s="43"/>
      <c r="H44" s="42"/>
      <c r="I44" s="43"/>
      <c r="J44" s="42"/>
      <c r="K44" s="42"/>
      <c r="L44" s="42"/>
      <c r="M44" s="42"/>
      <c r="N44" s="42"/>
      <c r="O44" s="42"/>
    </row>
    <row r="45" spans="1:15" s="99" customFormat="1" ht="145.19999999999999" x14ac:dyDescent="0.25">
      <c r="A45" s="72" t="str">
        <f>'Scenario Test'!$A$10</f>
        <v>DPT_CDP</v>
      </c>
      <c r="B45" s="14" t="str">
        <f>VLOOKUP(TestCase!A45,'Scenario Test'!$A$5:$B$129,2,0)</f>
        <v>Cash deposit</v>
      </c>
      <c r="C45" s="94" t="s">
        <v>162</v>
      </c>
      <c r="D45" s="94"/>
      <c r="E45" s="73" t="s">
        <v>226</v>
      </c>
      <c r="F45" s="95" t="s">
        <v>243</v>
      </c>
      <c r="G45" s="96" t="s">
        <v>4</v>
      </c>
      <c r="H45" s="97"/>
      <c r="I45" s="133">
        <v>45618</v>
      </c>
      <c r="J45" s="98"/>
      <c r="K45" s="98"/>
      <c r="L45" s="98"/>
      <c r="M45" s="98"/>
      <c r="N45" s="96" t="s">
        <v>66</v>
      </c>
      <c r="O45" s="97"/>
    </row>
    <row r="46" spans="1:15" s="99" customFormat="1" ht="145.19999999999999" x14ac:dyDescent="0.25">
      <c r="A46" s="72" t="str">
        <f>'Scenario Test'!$A$10</f>
        <v>DPT_CDP</v>
      </c>
      <c r="B46" s="14" t="str">
        <f>VLOOKUP(TestCase!A46,'Scenario Test'!$A$5:$B$129,2,0)</f>
        <v>Cash deposit</v>
      </c>
      <c r="C46" s="94" t="s">
        <v>163</v>
      </c>
      <c r="D46" s="94"/>
      <c r="E46" s="73" t="s">
        <v>225</v>
      </c>
      <c r="F46" s="95" t="s">
        <v>243</v>
      </c>
      <c r="G46" s="96" t="s">
        <v>4</v>
      </c>
      <c r="H46" s="97"/>
      <c r="I46" s="133">
        <v>45618</v>
      </c>
      <c r="J46" s="98"/>
      <c r="K46" s="98"/>
      <c r="L46" s="98"/>
      <c r="M46" s="98"/>
      <c r="N46" s="96" t="s">
        <v>66</v>
      </c>
      <c r="O46" s="97"/>
    </row>
    <row r="47" spans="1:15" s="99" customFormat="1" ht="158.4" x14ac:dyDescent="0.25">
      <c r="A47" s="72" t="str">
        <f>'Scenario Test'!$A$10</f>
        <v>DPT_CDP</v>
      </c>
      <c r="B47" s="14" t="str">
        <f>VLOOKUP(TestCase!A47,'Scenario Test'!$A$5:$B$129,2,0)</f>
        <v>Cash deposit</v>
      </c>
      <c r="C47" s="94" t="s">
        <v>164</v>
      </c>
      <c r="D47" s="94"/>
      <c r="E47" s="73" t="s">
        <v>228</v>
      </c>
      <c r="F47" s="95" t="s">
        <v>243</v>
      </c>
      <c r="G47" s="96" t="s">
        <v>4</v>
      </c>
      <c r="H47" s="97"/>
      <c r="I47" s="133">
        <v>45618</v>
      </c>
      <c r="J47" s="98"/>
      <c r="K47" s="98"/>
      <c r="L47" s="98"/>
      <c r="M47" s="98"/>
      <c r="N47" s="96" t="s">
        <v>66</v>
      </c>
      <c r="O47" s="97"/>
    </row>
    <row r="48" spans="1:15" s="99" customFormat="1" ht="184.8" x14ac:dyDescent="0.25">
      <c r="A48" s="72" t="str">
        <f>'Scenario Test'!$A$10</f>
        <v>DPT_CDP</v>
      </c>
      <c r="B48" s="14" t="str">
        <f>VLOOKUP(TestCase!A48,'Scenario Test'!$A$5:$B$129,2,0)</f>
        <v>Cash deposit</v>
      </c>
      <c r="C48" s="94" t="s">
        <v>165</v>
      </c>
      <c r="D48" s="94"/>
      <c r="E48" s="73" t="s">
        <v>229</v>
      </c>
      <c r="F48" s="95" t="s">
        <v>243</v>
      </c>
      <c r="G48" s="96" t="s">
        <v>4</v>
      </c>
      <c r="H48" s="97"/>
      <c r="I48" s="133">
        <v>45618</v>
      </c>
      <c r="J48" s="98"/>
      <c r="K48" s="98"/>
      <c r="L48" s="98"/>
      <c r="M48" s="98"/>
      <c r="N48" s="96" t="s">
        <v>66</v>
      </c>
      <c r="O48" s="97"/>
    </row>
    <row r="49" spans="1:15" s="99" customFormat="1" ht="145.19999999999999" x14ac:dyDescent="0.25">
      <c r="A49" s="72" t="str">
        <f>'Scenario Test'!$A$10</f>
        <v>DPT_CDP</v>
      </c>
      <c r="B49" s="14" t="str">
        <f>VLOOKUP(TestCase!A49,'Scenario Test'!$A$5:$B$129,2,0)</f>
        <v>Cash deposit</v>
      </c>
      <c r="C49" s="94" t="s">
        <v>166</v>
      </c>
      <c r="D49" s="94"/>
      <c r="E49" s="73" t="s">
        <v>224</v>
      </c>
      <c r="F49" s="95" t="s">
        <v>243</v>
      </c>
      <c r="G49" s="96" t="s">
        <v>4</v>
      </c>
      <c r="H49" s="97"/>
      <c r="I49" s="133">
        <v>45618</v>
      </c>
      <c r="J49" s="98"/>
      <c r="K49" s="98"/>
      <c r="L49" s="98"/>
      <c r="M49" s="98"/>
      <c r="N49" s="96" t="s">
        <v>66</v>
      </c>
      <c r="O49" s="97"/>
    </row>
    <row r="50" spans="1:15" s="99" customFormat="1" ht="145.19999999999999" x14ac:dyDescent="0.25">
      <c r="A50" s="72" t="str">
        <f>'Scenario Test'!$A$10</f>
        <v>DPT_CDP</v>
      </c>
      <c r="B50" s="14" t="str">
        <f>VLOOKUP(TestCase!A50,'Scenario Test'!$A$5:$B$129,2,0)</f>
        <v>Cash deposit</v>
      </c>
      <c r="C50" s="94" t="s">
        <v>167</v>
      </c>
      <c r="D50" s="94"/>
      <c r="E50" s="73" t="s">
        <v>195</v>
      </c>
      <c r="F50" s="95" t="s">
        <v>243</v>
      </c>
      <c r="G50" s="96" t="s">
        <v>4</v>
      </c>
      <c r="H50" s="97"/>
      <c r="I50" s="133">
        <v>45618</v>
      </c>
      <c r="J50" s="98"/>
      <c r="K50" s="98"/>
      <c r="L50" s="98"/>
      <c r="M50" s="98"/>
      <c r="N50" s="96" t="s">
        <v>66</v>
      </c>
      <c r="O50" s="97"/>
    </row>
    <row r="51" spans="1:15" s="99" customFormat="1" ht="171.6" x14ac:dyDescent="0.25">
      <c r="A51" s="72" t="str">
        <f>'Scenario Test'!$A$10</f>
        <v>DPT_CDP</v>
      </c>
      <c r="B51" s="14" t="str">
        <f>VLOOKUP(TestCase!A51,'Scenario Test'!$A$5:$B$129,2,0)</f>
        <v>Cash deposit</v>
      </c>
      <c r="C51" s="94" t="s">
        <v>168</v>
      </c>
      <c r="D51" s="94"/>
      <c r="E51" s="73" t="s">
        <v>335</v>
      </c>
      <c r="F51" s="95" t="s">
        <v>243</v>
      </c>
      <c r="G51" s="96" t="s">
        <v>4</v>
      </c>
      <c r="H51" s="97"/>
      <c r="I51" s="133">
        <v>45618</v>
      </c>
      <c r="J51" s="98"/>
      <c r="K51" s="98"/>
      <c r="L51" s="98"/>
      <c r="M51" s="98"/>
      <c r="N51" s="96" t="s">
        <v>66</v>
      </c>
      <c r="O51" s="97"/>
    </row>
    <row r="52" spans="1:15" s="99" customFormat="1" ht="171.6" x14ac:dyDescent="0.25">
      <c r="A52" s="72" t="str">
        <f>'Scenario Test'!$A$10</f>
        <v>DPT_CDP</v>
      </c>
      <c r="B52" s="14" t="str">
        <f>VLOOKUP(TestCase!A52,'Scenario Test'!$A$5:$B$129,2,0)</f>
        <v>Cash deposit</v>
      </c>
      <c r="C52" s="94" t="s">
        <v>169</v>
      </c>
      <c r="D52" s="94"/>
      <c r="E52" s="73" t="s">
        <v>336</v>
      </c>
      <c r="F52" s="95" t="s">
        <v>243</v>
      </c>
      <c r="G52" s="96" t="s">
        <v>4</v>
      </c>
      <c r="H52" s="97"/>
      <c r="I52" s="133">
        <v>45618</v>
      </c>
      <c r="J52" s="98"/>
      <c r="K52" s="98"/>
      <c r="L52" s="98"/>
      <c r="M52" s="98"/>
      <c r="N52" s="96" t="s">
        <v>66</v>
      </c>
      <c r="O52" s="97"/>
    </row>
    <row r="53" spans="1:15" s="99" customFormat="1" ht="145.19999999999999" x14ac:dyDescent="0.25">
      <c r="A53" s="72" t="str">
        <f>'Scenario Test'!$A$10</f>
        <v>DPT_CDP</v>
      </c>
      <c r="B53" s="14" t="str">
        <f>VLOOKUP(TestCase!A53,'Scenario Test'!$A$5:$B$129,2,0)</f>
        <v>Cash deposit</v>
      </c>
      <c r="C53" s="94" t="s">
        <v>170</v>
      </c>
      <c r="D53" s="94"/>
      <c r="E53" s="73" t="s">
        <v>223</v>
      </c>
      <c r="F53" s="75" t="s">
        <v>156</v>
      </c>
      <c r="G53" s="96" t="s">
        <v>4</v>
      </c>
      <c r="H53" s="97"/>
      <c r="I53" s="133">
        <v>45618</v>
      </c>
      <c r="J53" s="98"/>
      <c r="K53" s="98"/>
      <c r="L53" s="98"/>
      <c r="M53" s="98"/>
      <c r="N53" s="96" t="s">
        <v>66</v>
      </c>
      <c r="O53" s="97"/>
    </row>
    <row r="54" spans="1:15" s="99" customFormat="1" x14ac:dyDescent="0.25">
      <c r="A54" s="72" t="str">
        <f>'Scenario Test'!$A$10</f>
        <v>DPT_CDP</v>
      </c>
      <c r="B54" s="14" t="str">
        <f>VLOOKUP(TestCase!A54,'Scenario Test'!$A$5:$B$129,2,0)</f>
        <v>Cash deposit</v>
      </c>
      <c r="C54" s="94" t="s">
        <v>171</v>
      </c>
      <c r="D54" s="94" t="str">
        <f>C53</f>
        <v>CDP_001_009</v>
      </c>
      <c r="E54" s="78" t="s">
        <v>157</v>
      </c>
      <c r="F54" s="95" t="s">
        <v>243</v>
      </c>
      <c r="G54" s="96" t="s">
        <v>4</v>
      </c>
      <c r="H54" s="97" t="s">
        <v>464</v>
      </c>
      <c r="I54" s="133">
        <v>45618</v>
      </c>
      <c r="J54" s="98"/>
      <c r="K54" s="98"/>
      <c r="L54" s="98"/>
      <c r="M54" s="98"/>
      <c r="N54" s="96" t="s">
        <v>66</v>
      </c>
      <c r="O54" s="97"/>
    </row>
    <row r="55" spans="1:15" s="99" customFormat="1" ht="145.19999999999999" x14ac:dyDescent="0.25">
      <c r="A55" s="72" t="str">
        <f>'Scenario Test'!$A$10</f>
        <v>DPT_CDP</v>
      </c>
      <c r="B55" s="14" t="str">
        <f>VLOOKUP(TestCase!A55,'Scenario Test'!$A$5:$B$129,2,0)</f>
        <v>Cash deposit</v>
      </c>
      <c r="C55" s="94" t="s">
        <v>172</v>
      </c>
      <c r="D55" s="94"/>
      <c r="E55" s="73" t="s">
        <v>222</v>
      </c>
      <c r="F55" s="75" t="s">
        <v>156</v>
      </c>
      <c r="G55" s="96" t="s">
        <v>4</v>
      </c>
      <c r="H55" s="97"/>
      <c r="I55" s="133">
        <v>45618</v>
      </c>
      <c r="J55" s="98"/>
      <c r="K55" s="98"/>
      <c r="L55" s="98"/>
      <c r="M55" s="98"/>
      <c r="N55" s="96" t="s">
        <v>66</v>
      </c>
      <c r="O55" s="97"/>
    </row>
    <row r="56" spans="1:15" s="99" customFormat="1" x14ac:dyDescent="0.25">
      <c r="A56" s="72" t="str">
        <f>'Scenario Test'!$A$10</f>
        <v>DPT_CDP</v>
      </c>
      <c r="B56" s="14" t="str">
        <f>VLOOKUP(TestCase!A56,'Scenario Test'!$A$5:$B$129,2,0)</f>
        <v>Cash deposit</v>
      </c>
      <c r="C56" s="94" t="s">
        <v>173</v>
      </c>
      <c r="D56" s="94" t="str">
        <f>C55</f>
        <v>CDP_001_011</v>
      </c>
      <c r="E56" s="78" t="s">
        <v>157</v>
      </c>
      <c r="F56" s="95" t="s">
        <v>243</v>
      </c>
      <c r="G56" s="96" t="s">
        <v>4</v>
      </c>
      <c r="H56" s="97" t="s">
        <v>464</v>
      </c>
      <c r="I56" s="133">
        <v>45618</v>
      </c>
      <c r="J56" s="98"/>
      <c r="K56" s="98"/>
      <c r="L56" s="98"/>
      <c r="M56" s="98"/>
      <c r="N56" s="96" t="s">
        <v>66</v>
      </c>
      <c r="O56" s="97"/>
    </row>
    <row r="57" spans="1:15" s="99" customFormat="1" ht="26.4" x14ac:dyDescent="0.25">
      <c r="A57" s="72" t="str">
        <f>'Scenario Test'!$A$10</f>
        <v>DPT_CDP</v>
      </c>
      <c r="B57" s="14" t="str">
        <f>VLOOKUP(TestCase!A57,'Scenario Test'!$A$5:$B$129,2,0)</f>
        <v>Cash deposit</v>
      </c>
      <c r="C57" s="94" t="s">
        <v>174</v>
      </c>
      <c r="D57" s="94"/>
      <c r="E57" s="79" t="s">
        <v>158</v>
      </c>
      <c r="F57" s="95" t="s">
        <v>243</v>
      </c>
      <c r="G57" s="96" t="s">
        <v>4</v>
      </c>
      <c r="H57" s="97"/>
      <c r="I57" s="133">
        <v>45618</v>
      </c>
      <c r="J57" s="98"/>
      <c r="K57" s="98"/>
      <c r="L57" s="98"/>
      <c r="M57" s="98"/>
      <c r="N57" s="96" t="s">
        <v>66</v>
      </c>
      <c r="O57" s="97"/>
    </row>
    <row r="58" spans="1:15" s="99" customFormat="1" x14ac:dyDescent="0.25">
      <c r="A58" s="72" t="str">
        <f>'Scenario Test'!$A$10</f>
        <v>DPT_CDP</v>
      </c>
      <c r="B58" s="14" t="str">
        <f>VLOOKUP(TestCase!A58,'Scenario Test'!$A$5:$B$129,2,0)</f>
        <v>Cash deposit</v>
      </c>
      <c r="C58" s="94" t="s">
        <v>175</v>
      </c>
      <c r="D58" s="94"/>
      <c r="E58" s="76" t="s">
        <v>729</v>
      </c>
      <c r="F58" s="100" t="s">
        <v>126</v>
      </c>
      <c r="G58" s="96" t="s">
        <v>4</v>
      </c>
      <c r="H58" s="97"/>
      <c r="I58" s="133">
        <v>45618</v>
      </c>
      <c r="J58" s="98"/>
      <c r="K58" s="98"/>
      <c r="L58" s="98"/>
      <c r="M58" s="98"/>
      <c r="N58" s="96" t="s">
        <v>66</v>
      </c>
      <c r="O58" s="97"/>
    </row>
    <row r="59" spans="1:15" s="99" customFormat="1" x14ac:dyDescent="0.25">
      <c r="A59" s="72" t="str">
        <f>'Scenario Test'!$A$10</f>
        <v>DPT_CDP</v>
      </c>
      <c r="B59" s="14" t="str">
        <f>VLOOKUP(TestCase!A59,'Scenario Test'!$A$5:$B$129,2,0)</f>
        <v>Cash deposit</v>
      </c>
      <c r="C59" s="94" t="s">
        <v>176</v>
      </c>
      <c r="D59" s="94"/>
      <c r="E59" s="76" t="s">
        <v>730</v>
      </c>
      <c r="F59" s="100" t="s">
        <v>126</v>
      </c>
      <c r="G59" s="96" t="s">
        <v>4</v>
      </c>
      <c r="H59" s="97"/>
      <c r="I59" s="133">
        <v>45618</v>
      </c>
      <c r="J59" s="98"/>
      <c r="K59" s="98"/>
      <c r="L59" s="98"/>
      <c r="M59" s="98"/>
      <c r="N59" s="96" t="s">
        <v>66</v>
      </c>
      <c r="O59" s="97"/>
    </row>
    <row r="60" spans="1:15" s="99" customFormat="1" x14ac:dyDescent="0.25">
      <c r="A60" s="72" t="str">
        <f>'Scenario Test'!$A$10</f>
        <v>DPT_CDP</v>
      </c>
      <c r="B60" s="14" t="str">
        <f>VLOOKUP(TestCase!A60,'Scenario Test'!$A$5:$B$129,2,0)</f>
        <v>Cash deposit</v>
      </c>
      <c r="C60" s="94" t="s">
        <v>177</v>
      </c>
      <c r="D60" s="94"/>
      <c r="E60" s="76" t="s">
        <v>731</v>
      </c>
      <c r="F60" s="100" t="s">
        <v>126</v>
      </c>
      <c r="G60" s="96" t="s">
        <v>4</v>
      </c>
      <c r="H60" s="97"/>
      <c r="I60" s="133">
        <v>45618</v>
      </c>
      <c r="J60" s="98"/>
      <c r="K60" s="98"/>
      <c r="L60" s="98"/>
      <c r="M60" s="98"/>
      <c r="N60" s="96" t="s">
        <v>66</v>
      </c>
      <c r="O60" s="97"/>
    </row>
    <row r="61" spans="1:15" s="99" customFormat="1" ht="79.2" x14ac:dyDescent="0.25">
      <c r="A61" s="72" t="str">
        <f>'Scenario Test'!$A$10</f>
        <v>DPT_CDP</v>
      </c>
      <c r="B61" s="14" t="str">
        <f>VLOOKUP(TestCase!A61,'Scenario Test'!$A$5:$B$129,2,0)</f>
        <v>Cash deposit</v>
      </c>
      <c r="C61" s="94" t="s">
        <v>178</v>
      </c>
      <c r="D61" s="94"/>
      <c r="E61" s="73" t="s">
        <v>732</v>
      </c>
      <c r="F61" s="100" t="s">
        <v>126</v>
      </c>
      <c r="G61" s="96" t="s">
        <v>4</v>
      </c>
      <c r="H61" s="97"/>
      <c r="I61" s="133">
        <v>45618</v>
      </c>
      <c r="J61" s="98"/>
      <c r="K61" s="98"/>
      <c r="L61" s="98"/>
      <c r="M61" s="98"/>
      <c r="N61" s="96" t="s">
        <v>66</v>
      </c>
      <c r="O61" s="97"/>
    </row>
    <row r="62" spans="1:15" s="99" customFormat="1" ht="118.8" x14ac:dyDescent="0.25">
      <c r="A62" s="72" t="str">
        <f>'Scenario Test'!$A$10</f>
        <v>DPT_CDP</v>
      </c>
      <c r="B62" s="14" t="str">
        <f>VLOOKUP(TestCase!A62,'Scenario Test'!$A$5:$B$129,2,0)</f>
        <v>Cash deposit</v>
      </c>
      <c r="C62" s="94" t="s">
        <v>179</v>
      </c>
      <c r="D62" s="94"/>
      <c r="E62" s="73" t="s">
        <v>733</v>
      </c>
      <c r="F62" s="100" t="s">
        <v>126</v>
      </c>
      <c r="G62" s="96" t="s">
        <v>4</v>
      </c>
      <c r="H62" s="97"/>
      <c r="I62" s="133">
        <v>45618</v>
      </c>
      <c r="J62" s="98"/>
      <c r="K62" s="98"/>
      <c r="L62" s="98"/>
      <c r="M62" s="98"/>
      <c r="N62" s="96" t="s">
        <v>66</v>
      </c>
      <c r="O62" s="97"/>
    </row>
    <row r="63" spans="1:15" s="99" customFormat="1" ht="79.2" x14ac:dyDescent="0.25">
      <c r="A63" s="72" t="str">
        <f>'Scenario Test'!$A$10</f>
        <v>DPT_CDP</v>
      </c>
      <c r="B63" s="14" t="str">
        <f>VLOOKUP(TestCase!A63,'Scenario Test'!$A$5:$B$129,2,0)</f>
        <v>Cash deposit</v>
      </c>
      <c r="C63" s="94" t="s">
        <v>180</v>
      </c>
      <c r="D63" s="94"/>
      <c r="E63" s="73" t="s">
        <v>734</v>
      </c>
      <c r="F63" s="100" t="s">
        <v>126</v>
      </c>
      <c r="G63" s="96" t="s">
        <v>4</v>
      </c>
      <c r="H63" s="97"/>
      <c r="I63" s="133">
        <v>45618</v>
      </c>
      <c r="J63" s="98"/>
      <c r="K63" s="98"/>
      <c r="L63" s="98"/>
      <c r="M63" s="98"/>
      <c r="N63" s="96" t="s">
        <v>66</v>
      </c>
      <c r="O63" s="97"/>
    </row>
    <row r="64" spans="1:15" s="99" customFormat="1" ht="79.2" x14ac:dyDescent="0.25">
      <c r="A64" s="72" t="str">
        <f>'Scenario Test'!$A$10</f>
        <v>DPT_CDP</v>
      </c>
      <c r="B64" s="14" t="str">
        <f>VLOOKUP(TestCase!A64,'Scenario Test'!$A$5:$B$129,2,0)</f>
        <v>Cash deposit</v>
      </c>
      <c r="C64" s="94" t="s">
        <v>181</v>
      </c>
      <c r="D64" s="94"/>
      <c r="E64" s="73" t="s">
        <v>735</v>
      </c>
      <c r="F64" s="100" t="s">
        <v>126</v>
      </c>
      <c r="G64" s="96" t="s">
        <v>4</v>
      </c>
      <c r="H64" s="97"/>
      <c r="I64" s="133">
        <v>45618</v>
      </c>
      <c r="J64" s="98"/>
      <c r="K64" s="98"/>
      <c r="L64" s="98"/>
      <c r="M64" s="98"/>
      <c r="N64" s="96" t="s">
        <v>66</v>
      </c>
      <c r="O64" s="97"/>
    </row>
    <row r="65" spans="1:15" s="99" customFormat="1" ht="66" x14ac:dyDescent="0.25">
      <c r="A65" s="72" t="str">
        <f>'Scenario Test'!$A$10</f>
        <v>DPT_CDP</v>
      </c>
      <c r="B65" s="14" t="str">
        <f>VLOOKUP(TestCase!A65,'Scenario Test'!$A$5:$B$129,2,0)</f>
        <v>Cash deposit</v>
      </c>
      <c r="C65" s="94" t="s">
        <v>208</v>
      </c>
      <c r="D65" s="94"/>
      <c r="E65" s="73" t="s">
        <v>736</v>
      </c>
      <c r="F65" s="100" t="s">
        <v>126</v>
      </c>
      <c r="G65" s="96" t="s">
        <v>4</v>
      </c>
      <c r="H65" s="97" t="s">
        <v>464</v>
      </c>
      <c r="I65" s="133">
        <v>45618</v>
      </c>
      <c r="J65" s="98"/>
      <c r="K65" s="98"/>
      <c r="L65" s="98"/>
      <c r="M65" s="98"/>
      <c r="N65" s="96" t="s">
        <v>66</v>
      </c>
      <c r="O65" s="97"/>
    </row>
    <row r="66" spans="1:15" s="99" customFormat="1" x14ac:dyDescent="0.25">
      <c r="A66" s="72" t="str">
        <f>'Scenario Test'!$A$10</f>
        <v>DPT_CDP</v>
      </c>
      <c r="B66" s="14" t="str">
        <f>VLOOKUP(TestCase!A66,'Scenario Test'!$A$5:$B$129,2,0)</f>
        <v>Cash deposit</v>
      </c>
      <c r="C66" s="94" t="s">
        <v>275</v>
      </c>
      <c r="D66" s="94"/>
      <c r="E66" s="76" t="s">
        <v>120</v>
      </c>
      <c r="F66" s="95" t="s">
        <v>243</v>
      </c>
      <c r="G66" s="96" t="s">
        <v>4</v>
      </c>
      <c r="H66" s="97" t="s">
        <v>464</v>
      </c>
      <c r="I66" s="133">
        <v>45618</v>
      </c>
      <c r="J66" s="98"/>
      <c r="K66" s="98"/>
      <c r="L66" s="98"/>
      <c r="M66" s="98"/>
      <c r="N66" s="96" t="s">
        <v>66</v>
      </c>
      <c r="O66" s="97"/>
    </row>
    <row r="67" spans="1:15" x14ac:dyDescent="0.25">
      <c r="A67" s="41" t="str">
        <f>'Scenario Test'!$A$11</f>
        <v>DPT_MDP</v>
      </c>
      <c r="B67" s="42" t="str">
        <f>VLOOKUP(TestCase!A67,'Scenario Test'!$A$5:$B$129,2,0)</f>
        <v>Miscellaneous deposit</v>
      </c>
      <c r="C67" s="41"/>
      <c r="D67" s="41"/>
      <c r="E67" s="41"/>
      <c r="F67" s="41"/>
      <c r="G67" s="43"/>
      <c r="H67" s="42"/>
      <c r="I67" s="43"/>
      <c r="J67" s="42"/>
      <c r="K67" s="42"/>
      <c r="L67" s="42"/>
      <c r="M67" s="42"/>
      <c r="N67" s="42"/>
      <c r="O67" s="42"/>
    </row>
    <row r="68" spans="1:15" s="99" customFormat="1" ht="237.6" x14ac:dyDescent="0.25">
      <c r="A68" s="72" t="str">
        <f>'Scenario Test'!$A$11</f>
        <v>DPT_MDP</v>
      </c>
      <c r="B68" s="14" t="str">
        <f>VLOOKUP(TestCase!A68,'Scenario Test'!$A$5:$B$129,2,0)</f>
        <v>Miscellaneous deposit</v>
      </c>
      <c r="C68" s="94" t="s">
        <v>209</v>
      </c>
      <c r="D68" s="94"/>
      <c r="E68" s="73" t="s">
        <v>465</v>
      </c>
      <c r="F68" s="95" t="s">
        <v>243</v>
      </c>
      <c r="G68" s="96" t="s">
        <v>4</v>
      </c>
      <c r="H68" s="97"/>
      <c r="I68" s="133">
        <v>45621</v>
      </c>
      <c r="J68" s="98"/>
      <c r="K68" s="98"/>
      <c r="L68" s="98"/>
      <c r="M68" s="98"/>
      <c r="N68" s="96" t="s">
        <v>66</v>
      </c>
      <c r="O68" s="97"/>
    </row>
    <row r="69" spans="1:15" s="99" customFormat="1" ht="237.6" x14ac:dyDescent="0.25">
      <c r="A69" s="72" t="str">
        <f>'Scenario Test'!$A$11</f>
        <v>DPT_MDP</v>
      </c>
      <c r="B69" s="14" t="str">
        <f>VLOOKUP(TestCase!A69,'Scenario Test'!$A$5:$B$129,2,0)</f>
        <v>Miscellaneous deposit</v>
      </c>
      <c r="C69" s="94" t="s">
        <v>210</v>
      </c>
      <c r="D69" s="94"/>
      <c r="E69" s="73" t="s">
        <v>466</v>
      </c>
      <c r="F69" s="95" t="s">
        <v>243</v>
      </c>
      <c r="G69" s="96" t="s">
        <v>4</v>
      </c>
      <c r="H69" s="97"/>
      <c r="I69" s="133">
        <v>45621</v>
      </c>
      <c r="J69" s="98"/>
      <c r="K69" s="98"/>
      <c r="L69" s="98"/>
      <c r="M69" s="98"/>
      <c r="N69" s="96" t="s">
        <v>66</v>
      </c>
      <c r="O69" s="97"/>
    </row>
    <row r="70" spans="1:15" s="99" customFormat="1" ht="250.8" x14ac:dyDescent="0.25">
      <c r="A70" s="72" t="str">
        <f>'Scenario Test'!$A$11</f>
        <v>DPT_MDP</v>
      </c>
      <c r="B70" s="14" t="str">
        <f>VLOOKUP(TestCase!A70,'Scenario Test'!$A$5:$B$129,2,0)</f>
        <v>Miscellaneous deposit</v>
      </c>
      <c r="C70" s="94" t="s">
        <v>211</v>
      </c>
      <c r="D70" s="94"/>
      <c r="E70" s="73" t="s">
        <v>479</v>
      </c>
      <c r="F70" s="95" t="s">
        <v>243</v>
      </c>
      <c r="G70" s="96" t="s">
        <v>4</v>
      </c>
      <c r="H70" s="97"/>
      <c r="I70" s="133">
        <v>45621</v>
      </c>
      <c r="J70" s="98"/>
      <c r="K70" s="98"/>
      <c r="L70" s="98"/>
      <c r="M70" s="98"/>
      <c r="N70" s="96" t="s">
        <v>66</v>
      </c>
      <c r="O70" s="97"/>
    </row>
    <row r="71" spans="1:15" s="99" customFormat="1" ht="237.6" x14ac:dyDescent="0.25">
      <c r="A71" s="72" t="str">
        <f>'Scenario Test'!$A$11</f>
        <v>DPT_MDP</v>
      </c>
      <c r="B71" s="14" t="str">
        <f>VLOOKUP(TestCase!A71,'Scenario Test'!$A$5:$B$129,2,0)</f>
        <v>Miscellaneous deposit</v>
      </c>
      <c r="C71" s="94" t="s">
        <v>212</v>
      </c>
      <c r="D71" s="94"/>
      <c r="E71" s="73" t="s">
        <v>467</v>
      </c>
      <c r="F71" s="95" t="s">
        <v>243</v>
      </c>
      <c r="G71" s="96" t="s">
        <v>4</v>
      </c>
      <c r="H71" s="97"/>
      <c r="I71" s="133">
        <v>45621</v>
      </c>
      <c r="J71" s="98"/>
      <c r="K71" s="98"/>
      <c r="L71" s="98"/>
      <c r="M71" s="98"/>
      <c r="N71" s="96" t="s">
        <v>66</v>
      </c>
      <c r="O71" s="97"/>
    </row>
    <row r="72" spans="1:15" s="99" customFormat="1" ht="250.8" x14ac:dyDescent="0.25">
      <c r="A72" s="72" t="str">
        <f>'Scenario Test'!$A$11</f>
        <v>DPT_MDP</v>
      </c>
      <c r="B72" s="14" t="str">
        <f>VLOOKUP(TestCase!A72,'Scenario Test'!$A$5:$B$129,2,0)</f>
        <v>Miscellaneous deposit</v>
      </c>
      <c r="C72" s="94" t="s">
        <v>213</v>
      </c>
      <c r="D72" s="94"/>
      <c r="E72" s="73" t="s">
        <v>468</v>
      </c>
      <c r="F72" s="95" t="s">
        <v>243</v>
      </c>
      <c r="G72" s="96" t="s">
        <v>4</v>
      </c>
      <c r="H72" s="97"/>
      <c r="I72" s="133">
        <v>45621</v>
      </c>
      <c r="J72" s="98"/>
      <c r="K72" s="98"/>
      <c r="L72" s="98"/>
      <c r="M72" s="98"/>
      <c r="N72" s="96" t="s">
        <v>66</v>
      </c>
      <c r="O72" s="97"/>
    </row>
    <row r="73" spans="1:15" s="99" customFormat="1" ht="250.8" x14ac:dyDescent="0.25">
      <c r="A73" s="72" t="str">
        <f>'Scenario Test'!$A$11</f>
        <v>DPT_MDP</v>
      </c>
      <c r="B73" s="14" t="str">
        <f>VLOOKUP(TestCase!A73,'Scenario Test'!$A$5:$B$129,2,0)</f>
        <v>Miscellaneous deposit</v>
      </c>
      <c r="C73" s="94" t="s">
        <v>214</v>
      </c>
      <c r="D73" s="94"/>
      <c r="E73" s="73" t="s">
        <v>469</v>
      </c>
      <c r="F73" s="95" t="s">
        <v>243</v>
      </c>
      <c r="G73" s="96" t="s">
        <v>4</v>
      </c>
      <c r="H73" s="97"/>
      <c r="I73" s="133">
        <v>45621</v>
      </c>
      <c r="J73" s="98"/>
      <c r="K73" s="98"/>
      <c r="L73" s="98"/>
      <c r="M73" s="98"/>
      <c r="N73" s="96" t="s">
        <v>66</v>
      </c>
      <c r="O73" s="97"/>
    </row>
    <row r="74" spans="1:15" s="99" customFormat="1" ht="26.4" x14ac:dyDescent="0.25">
      <c r="A74" s="72" t="str">
        <f>'Scenario Test'!$A$11</f>
        <v>DPT_MDP</v>
      </c>
      <c r="B74" s="14" t="str">
        <f>VLOOKUP(TestCase!A74,'Scenario Test'!$A$5:$B$129,2,0)</f>
        <v>Miscellaneous deposit</v>
      </c>
      <c r="C74" s="94" t="s">
        <v>215</v>
      </c>
      <c r="D74" s="94"/>
      <c r="E74" s="79" t="s">
        <v>158</v>
      </c>
      <c r="F74" s="95" t="s">
        <v>243</v>
      </c>
      <c r="G74" s="96" t="s">
        <v>4</v>
      </c>
      <c r="H74" s="97"/>
      <c r="I74" s="133">
        <v>45621</v>
      </c>
      <c r="J74" s="98"/>
      <c r="K74" s="98"/>
      <c r="L74" s="98"/>
      <c r="M74" s="98"/>
      <c r="N74" s="96" t="s">
        <v>66</v>
      </c>
      <c r="O74" s="97"/>
    </row>
    <row r="75" spans="1:15" s="99" customFormat="1" x14ac:dyDescent="0.25">
      <c r="A75" s="72" t="str">
        <f>'Scenario Test'!$A$11</f>
        <v>DPT_MDP</v>
      </c>
      <c r="B75" s="14" t="str">
        <f>VLOOKUP(TestCase!A75,'Scenario Test'!$A$5:$B$129,2,0)</f>
        <v>Miscellaneous deposit</v>
      </c>
      <c r="C75" s="94" t="s">
        <v>216</v>
      </c>
      <c r="D75" s="94"/>
      <c r="E75" s="76" t="s">
        <v>729</v>
      </c>
      <c r="F75" s="100" t="s">
        <v>126</v>
      </c>
      <c r="G75" s="96" t="s">
        <v>4</v>
      </c>
      <c r="H75" s="97"/>
      <c r="I75" s="133">
        <v>45621</v>
      </c>
      <c r="J75" s="98"/>
      <c r="K75" s="98"/>
      <c r="L75" s="98"/>
      <c r="M75" s="98"/>
      <c r="N75" s="96" t="s">
        <v>66</v>
      </c>
      <c r="O75" s="97"/>
    </row>
    <row r="76" spans="1:15" s="99" customFormat="1" x14ac:dyDescent="0.25">
      <c r="A76" s="72" t="str">
        <f>'Scenario Test'!$A$11</f>
        <v>DPT_MDP</v>
      </c>
      <c r="B76" s="14" t="str">
        <f>VLOOKUP(TestCase!A76,'Scenario Test'!$A$5:$B$129,2,0)</f>
        <v>Miscellaneous deposit</v>
      </c>
      <c r="C76" s="94" t="s">
        <v>217</v>
      </c>
      <c r="D76" s="94"/>
      <c r="E76" s="76" t="s">
        <v>730</v>
      </c>
      <c r="F76" s="100" t="s">
        <v>126</v>
      </c>
      <c r="G76" s="96" t="s">
        <v>4</v>
      </c>
      <c r="H76" s="97"/>
      <c r="I76" s="133">
        <v>45621</v>
      </c>
      <c r="J76" s="98"/>
      <c r="K76" s="98"/>
      <c r="L76" s="98"/>
      <c r="M76" s="98"/>
      <c r="N76" s="96" t="s">
        <v>66</v>
      </c>
      <c r="O76" s="97"/>
    </row>
    <row r="77" spans="1:15" s="99" customFormat="1" x14ac:dyDescent="0.25">
      <c r="A77" s="72" t="str">
        <f>'Scenario Test'!$A$11</f>
        <v>DPT_MDP</v>
      </c>
      <c r="B77" s="14" t="str">
        <f>VLOOKUP(TestCase!A77,'Scenario Test'!$A$5:$B$129,2,0)</f>
        <v>Miscellaneous deposit</v>
      </c>
      <c r="C77" s="94" t="s">
        <v>218</v>
      </c>
      <c r="D77" s="94"/>
      <c r="E77" s="76" t="s">
        <v>731</v>
      </c>
      <c r="F77" s="100" t="s">
        <v>126</v>
      </c>
      <c r="G77" s="96" t="s">
        <v>4</v>
      </c>
      <c r="H77" s="97"/>
      <c r="I77" s="133">
        <v>45621</v>
      </c>
      <c r="J77" s="98"/>
      <c r="K77" s="98"/>
      <c r="L77" s="98"/>
      <c r="M77" s="98"/>
      <c r="N77" s="96" t="s">
        <v>66</v>
      </c>
      <c r="O77" s="97"/>
    </row>
    <row r="78" spans="1:15" s="99" customFormat="1" x14ac:dyDescent="0.25">
      <c r="A78" s="72" t="str">
        <f>'Scenario Test'!$A$11</f>
        <v>DPT_MDP</v>
      </c>
      <c r="B78" s="14" t="str">
        <f>VLOOKUP(TestCase!A78,'Scenario Test'!$A$5:$B$129,2,0)</f>
        <v>Miscellaneous deposit</v>
      </c>
      <c r="C78" s="94" t="s">
        <v>219</v>
      </c>
      <c r="D78" s="94"/>
      <c r="E78" s="76" t="s">
        <v>737</v>
      </c>
      <c r="F78" s="100" t="s">
        <v>126</v>
      </c>
      <c r="G78" s="96" t="s">
        <v>4</v>
      </c>
      <c r="H78" s="97"/>
      <c r="I78" s="133">
        <v>45621</v>
      </c>
      <c r="J78" s="98"/>
      <c r="K78" s="98"/>
      <c r="L78" s="98"/>
      <c r="M78" s="98"/>
      <c r="N78" s="96" t="s">
        <v>66</v>
      </c>
      <c r="O78" s="97"/>
    </row>
    <row r="79" spans="1:15" s="99" customFormat="1" x14ac:dyDescent="0.25">
      <c r="A79" s="72" t="str">
        <f>'Scenario Test'!$A$11</f>
        <v>DPT_MDP</v>
      </c>
      <c r="B79" s="14" t="str">
        <f>VLOOKUP(TestCase!A79,'Scenario Test'!$A$5:$B$129,2,0)</f>
        <v>Miscellaneous deposit</v>
      </c>
      <c r="C79" s="94" t="s">
        <v>220</v>
      </c>
      <c r="D79" s="94"/>
      <c r="E79" s="76" t="s">
        <v>738</v>
      </c>
      <c r="F79" s="100" t="s">
        <v>126</v>
      </c>
      <c r="G79" s="96" t="s">
        <v>4</v>
      </c>
      <c r="H79" s="97"/>
      <c r="I79" s="133">
        <v>45621</v>
      </c>
      <c r="J79" s="98"/>
      <c r="K79" s="98"/>
      <c r="L79" s="98"/>
      <c r="M79" s="98"/>
      <c r="N79" s="96" t="s">
        <v>66</v>
      </c>
      <c r="O79" s="97"/>
    </row>
    <row r="80" spans="1:15" s="99" customFormat="1" ht="132" x14ac:dyDescent="0.25">
      <c r="A80" s="72" t="str">
        <f>'Scenario Test'!$A$11</f>
        <v>DPT_MDP</v>
      </c>
      <c r="B80" s="14" t="str">
        <f>VLOOKUP(TestCase!A80,'Scenario Test'!$A$5:$B$129,2,0)</f>
        <v>Miscellaneous deposit</v>
      </c>
      <c r="C80" s="94" t="s">
        <v>221</v>
      </c>
      <c r="D80" s="94"/>
      <c r="E80" s="73" t="s">
        <v>739</v>
      </c>
      <c r="F80" s="100" t="s">
        <v>126</v>
      </c>
      <c r="G80" s="96" t="s">
        <v>4</v>
      </c>
      <c r="H80" s="97"/>
      <c r="I80" s="133">
        <v>45621</v>
      </c>
      <c r="J80" s="98"/>
      <c r="K80" s="98"/>
      <c r="L80" s="98"/>
      <c r="M80" s="98"/>
      <c r="N80" s="96" t="s">
        <v>66</v>
      </c>
      <c r="O80" s="97"/>
    </row>
    <row r="81" spans="1:15" s="99" customFormat="1" ht="118.8" x14ac:dyDescent="0.25">
      <c r="A81" s="72" t="str">
        <f>'Scenario Test'!$A$11</f>
        <v>DPT_MDP</v>
      </c>
      <c r="B81" s="14" t="str">
        <f>VLOOKUP(TestCase!A81,'Scenario Test'!$A$5:$B$129,2,0)</f>
        <v>Miscellaneous deposit</v>
      </c>
      <c r="C81" s="94" t="s">
        <v>227</v>
      </c>
      <c r="D81" s="94"/>
      <c r="E81" s="73" t="s">
        <v>740</v>
      </c>
      <c r="F81" s="75" t="s">
        <v>126</v>
      </c>
      <c r="G81" s="96" t="s">
        <v>4</v>
      </c>
      <c r="H81" s="97"/>
      <c r="I81" s="133">
        <v>45621</v>
      </c>
      <c r="J81" s="98"/>
      <c r="K81" s="98"/>
      <c r="L81" s="98"/>
      <c r="M81" s="98"/>
      <c r="N81" s="96" t="s">
        <v>66</v>
      </c>
      <c r="O81" s="97"/>
    </row>
    <row r="82" spans="1:15" s="99" customFormat="1" ht="171.6" x14ac:dyDescent="0.25">
      <c r="A82" s="72" t="str">
        <f>'Scenario Test'!$A$11</f>
        <v>DPT_MDP</v>
      </c>
      <c r="B82" s="14" t="str">
        <f>VLOOKUP(TestCase!A82,'Scenario Test'!$A$5:$B$129,2,0)</f>
        <v>Miscellaneous deposit</v>
      </c>
      <c r="C82" s="94" t="s">
        <v>230</v>
      </c>
      <c r="D82" s="94"/>
      <c r="E82" s="73" t="s">
        <v>741</v>
      </c>
      <c r="F82" s="75" t="s">
        <v>126</v>
      </c>
      <c r="G82" s="96" t="s">
        <v>4</v>
      </c>
      <c r="H82" s="97"/>
      <c r="I82" s="133">
        <v>45621</v>
      </c>
      <c r="J82" s="98"/>
      <c r="K82" s="98"/>
      <c r="L82" s="98"/>
      <c r="M82" s="98"/>
      <c r="N82" s="96" t="s">
        <v>66</v>
      </c>
      <c r="O82" s="97"/>
    </row>
    <row r="83" spans="1:15" s="99" customFormat="1" ht="171.6" x14ac:dyDescent="0.25">
      <c r="A83" s="72" t="str">
        <f>'Scenario Test'!$A$11</f>
        <v>DPT_MDP</v>
      </c>
      <c r="B83" s="14" t="str">
        <f>VLOOKUP(TestCase!A83,'Scenario Test'!$A$5:$B$129,2,0)</f>
        <v>Miscellaneous deposit</v>
      </c>
      <c r="C83" s="94" t="s">
        <v>231</v>
      </c>
      <c r="D83" s="94"/>
      <c r="E83" s="73" t="s">
        <v>742</v>
      </c>
      <c r="F83" s="75" t="s">
        <v>126</v>
      </c>
      <c r="G83" s="96" t="s">
        <v>4</v>
      </c>
      <c r="H83" s="97"/>
      <c r="I83" s="133">
        <v>45621</v>
      </c>
      <c r="J83" s="98"/>
      <c r="K83" s="98"/>
      <c r="L83" s="98"/>
      <c r="M83" s="98"/>
      <c r="N83" s="96" t="s">
        <v>66</v>
      </c>
      <c r="O83" s="97"/>
    </row>
    <row r="84" spans="1:15" s="99" customFormat="1" ht="184.8" x14ac:dyDescent="0.25">
      <c r="A84" s="72" t="str">
        <f>'Scenario Test'!$A$11</f>
        <v>DPT_MDP</v>
      </c>
      <c r="B84" s="14" t="str">
        <f>VLOOKUP(TestCase!A84,'Scenario Test'!$A$5:$B$129,2,0)</f>
        <v>Miscellaneous deposit</v>
      </c>
      <c r="C84" s="94" t="s">
        <v>232</v>
      </c>
      <c r="D84" s="94"/>
      <c r="E84" s="73" t="s">
        <v>743</v>
      </c>
      <c r="F84" s="75" t="s">
        <v>126</v>
      </c>
      <c r="G84" s="96" t="s">
        <v>4</v>
      </c>
      <c r="H84" s="97"/>
      <c r="I84" s="133">
        <v>45621</v>
      </c>
      <c r="J84" s="98"/>
      <c r="K84" s="98"/>
      <c r="L84" s="98"/>
      <c r="M84" s="98"/>
      <c r="N84" s="96" t="s">
        <v>66</v>
      </c>
      <c r="O84" s="97"/>
    </row>
    <row r="85" spans="1:15" s="99" customFormat="1" ht="158.4" x14ac:dyDescent="0.25">
      <c r="A85" s="72" t="str">
        <f>'Scenario Test'!$A$11</f>
        <v>DPT_MDP</v>
      </c>
      <c r="B85" s="14" t="str">
        <f>VLOOKUP(TestCase!A85,'Scenario Test'!$A$5:$B$129,2,0)</f>
        <v>Miscellaneous deposit</v>
      </c>
      <c r="C85" s="94" t="s">
        <v>233</v>
      </c>
      <c r="D85" s="94"/>
      <c r="E85" s="73" t="s">
        <v>744</v>
      </c>
      <c r="F85" s="75" t="s">
        <v>126</v>
      </c>
      <c r="G85" s="96" t="s">
        <v>4</v>
      </c>
      <c r="H85" s="97"/>
      <c r="I85" s="133">
        <v>45621</v>
      </c>
      <c r="J85" s="98"/>
      <c r="K85" s="98"/>
      <c r="L85" s="98"/>
      <c r="M85" s="98"/>
      <c r="N85" s="96" t="s">
        <v>66</v>
      </c>
      <c r="O85" s="97"/>
    </row>
    <row r="86" spans="1:15" s="99" customFormat="1" ht="171.6" x14ac:dyDescent="0.25">
      <c r="A86" s="72" t="str">
        <f>'Scenario Test'!$A$11</f>
        <v>DPT_MDP</v>
      </c>
      <c r="B86" s="14" t="str">
        <f>VLOOKUP(TestCase!A86,'Scenario Test'!$A$5:$B$129,2,0)</f>
        <v>Miscellaneous deposit</v>
      </c>
      <c r="C86" s="94" t="s">
        <v>234</v>
      </c>
      <c r="D86" s="94"/>
      <c r="E86" s="73" t="s">
        <v>745</v>
      </c>
      <c r="F86" s="75" t="s">
        <v>126</v>
      </c>
      <c r="G86" s="96" t="s">
        <v>4</v>
      </c>
      <c r="H86" s="97" t="s">
        <v>816</v>
      </c>
      <c r="I86" s="133">
        <v>45621</v>
      </c>
      <c r="J86" s="98"/>
      <c r="K86" s="98"/>
      <c r="L86" s="98"/>
      <c r="M86" s="98"/>
      <c r="N86" s="96" t="s">
        <v>66</v>
      </c>
      <c r="O86" s="97"/>
    </row>
    <row r="87" spans="1:15" s="99" customFormat="1" ht="158.4" x14ac:dyDescent="0.25">
      <c r="A87" s="72" t="str">
        <f>'Scenario Test'!$A$11</f>
        <v>DPT_MDP</v>
      </c>
      <c r="B87" s="14" t="str">
        <f>VLOOKUP(TestCase!A87,'Scenario Test'!$A$5:$B$129,2,0)</f>
        <v>Miscellaneous deposit</v>
      </c>
      <c r="C87" s="94" t="s">
        <v>235</v>
      </c>
      <c r="D87" s="94"/>
      <c r="E87" s="73" t="s">
        <v>746</v>
      </c>
      <c r="F87" s="75" t="s">
        <v>126</v>
      </c>
      <c r="G87" s="96" t="s">
        <v>4</v>
      </c>
      <c r="H87" s="97"/>
      <c r="I87" s="133">
        <v>45621</v>
      </c>
      <c r="J87" s="98"/>
      <c r="K87" s="98"/>
      <c r="L87" s="98"/>
      <c r="M87" s="98"/>
      <c r="N87" s="96" t="s">
        <v>66</v>
      </c>
      <c r="O87" s="97"/>
    </row>
    <row r="88" spans="1:15" s="99" customFormat="1" ht="158.4" x14ac:dyDescent="0.25">
      <c r="A88" s="72" t="str">
        <f>'Scenario Test'!$A$11</f>
        <v>DPT_MDP</v>
      </c>
      <c r="B88" s="14" t="str">
        <f>VLOOKUP(TestCase!A88,'Scenario Test'!$A$5:$B$129,2,0)</f>
        <v>Miscellaneous deposit</v>
      </c>
      <c r="C88" s="94" t="s">
        <v>236</v>
      </c>
      <c r="D88" s="94"/>
      <c r="E88" s="73" t="s">
        <v>749</v>
      </c>
      <c r="F88" s="75" t="s">
        <v>126</v>
      </c>
      <c r="G88" s="96" t="s">
        <v>4</v>
      </c>
      <c r="H88" s="97" t="s">
        <v>816</v>
      </c>
      <c r="I88" s="133">
        <v>45621</v>
      </c>
      <c r="J88" s="98"/>
      <c r="K88" s="98"/>
      <c r="L88" s="98"/>
      <c r="M88" s="98"/>
      <c r="N88" s="96" t="s">
        <v>66</v>
      </c>
      <c r="O88" s="97"/>
    </row>
    <row r="89" spans="1:15" s="99" customFormat="1" ht="158.4" x14ac:dyDescent="0.25">
      <c r="A89" s="72" t="str">
        <f>'Scenario Test'!$A$11</f>
        <v>DPT_MDP</v>
      </c>
      <c r="B89" s="14" t="str">
        <f>VLOOKUP(TestCase!A89,'Scenario Test'!$A$5:$B$129,2,0)</f>
        <v>Miscellaneous deposit</v>
      </c>
      <c r="C89" s="94" t="s">
        <v>470</v>
      </c>
      <c r="D89" s="94"/>
      <c r="E89" s="75" t="s">
        <v>818</v>
      </c>
      <c r="F89" s="75" t="s">
        <v>126</v>
      </c>
      <c r="G89" s="96" t="s">
        <v>4</v>
      </c>
      <c r="H89" s="97" t="s">
        <v>816</v>
      </c>
      <c r="I89" s="133">
        <v>45621</v>
      </c>
      <c r="J89" s="98"/>
      <c r="K89" s="98"/>
      <c r="L89" s="98"/>
      <c r="M89" s="98"/>
      <c r="N89" s="96" t="s">
        <v>66</v>
      </c>
      <c r="O89" s="97"/>
    </row>
    <row r="90" spans="1:15" s="99" customFormat="1" ht="158.4" x14ac:dyDescent="0.25">
      <c r="A90" s="72" t="str">
        <f>'Scenario Test'!$A$11</f>
        <v>DPT_MDP</v>
      </c>
      <c r="B90" s="14" t="str">
        <f>VLOOKUP(TestCase!A90,'Scenario Test'!$A$5:$B$129,2,0)</f>
        <v>Miscellaneous deposit</v>
      </c>
      <c r="C90" s="94" t="s">
        <v>471</v>
      </c>
      <c r="D90" s="94"/>
      <c r="E90" s="75" t="s">
        <v>819</v>
      </c>
      <c r="F90" s="75" t="s">
        <v>126</v>
      </c>
      <c r="G90" s="96" t="s">
        <v>4</v>
      </c>
      <c r="H90" s="97" t="s">
        <v>816</v>
      </c>
      <c r="I90" s="133">
        <v>45621</v>
      </c>
      <c r="J90" s="98"/>
      <c r="K90" s="98"/>
      <c r="L90" s="98"/>
      <c r="M90" s="98"/>
      <c r="N90" s="96" t="s">
        <v>66</v>
      </c>
      <c r="O90" s="97"/>
    </row>
    <row r="91" spans="1:15" s="99" customFormat="1" ht="158.4" x14ac:dyDescent="0.25">
      <c r="A91" s="72" t="str">
        <f>'Scenario Test'!$A$11</f>
        <v>DPT_MDP</v>
      </c>
      <c r="B91" s="14" t="str">
        <f>VLOOKUP(TestCase!A91,'Scenario Test'!$A$5:$B$129,2,0)</f>
        <v>Miscellaneous deposit</v>
      </c>
      <c r="C91" s="94" t="s">
        <v>472</v>
      </c>
      <c r="D91" s="94"/>
      <c r="E91" s="75" t="s">
        <v>817</v>
      </c>
      <c r="F91" s="75" t="s">
        <v>126</v>
      </c>
      <c r="G91" s="96" t="s">
        <v>4</v>
      </c>
      <c r="H91" s="97" t="s">
        <v>816</v>
      </c>
      <c r="I91" s="133">
        <v>45621</v>
      </c>
      <c r="J91" s="98"/>
      <c r="K91" s="98"/>
      <c r="L91" s="98"/>
      <c r="M91" s="98"/>
      <c r="N91" s="96" t="s">
        <v>66</v>
      </c>
      <c r="O91" s="97"/>
    </row>
    <row r="92" spans="1:15" s="99" customFormat="1" ht="158.4" x14ac:dyDescent="0.25">
      <c r="A92" s="72" t="str">
        <f>'Scenario Test'!$A$11</f>
        <v>DPT_MDP</v>
      </c>
      <c r="B92" s="14" t="str">
        <f>VLOOKUP(TestCase!A92,'Scenario Test'!$A$5:$B$129,2,0)</f>
        <v>Miscellaneous deposit</v>
      </c>
      <c r="C92" s="94" t="s">
        <v>483</v>
      </c>
      <c r="D92" s="94"/>
      <c r="E92" s="75" t="s">
        <v>747</v>
      </c>
      <c r="F92" s="75" t="s">
        <v>126</v>
      </c>
      <c r="G92" s="96" t="s">
        <v>4</v>
      </c>
      <c r="H92" s="97" t="s">
        <v>816</v>
      </c>
      <c r="I92" s="133">
        <v>45621</v>
      </c>
      <c r="J92" s="98"/>
      <c r="K92" s="98"/>
      <c r="L92" s="98"/>
      <c r="M92" s="98"/>
      <c r="N92" s="96" t="s">
        <v>66</v>
      </c>
      <c r="O92" s="97"/>
    </row>
    <row r="93" spans="1:15" s="99" customFormat="1" ht="132" x14ac:dyDescent="0.25">
      <c r="A93" s="72" t="str">
        <f>'Scenario Test'!$A$11</f>
        <v>DPT_MDP</v>
      </c>
      <c r="B93" s="14" t="str">
        <f>VLOOKUP(TestCase!A93,'Scenario Test'!$A$5:$B$129,2,0)</f>
        <v>Miscellaneous deposit</v>
      </c>
      <c r="C93" s="94" t="s">
        <v>820</v>
      </c>
      <c r="D93" s="94"/>
      <c r="E93" s="73" t="s">
        <v>748</v>
      </c>
      <c r="F93" s="75" t="s">
        <v>126</v>
      </c>
      <c r="G93" s="96" t="s">
        <v>4</v>
      </c>
      <c r="H93" s="97" t="s">
        <v>816</v>
      </c>
      <c r="I93" s="133">
        <v>45621</v>
      </c>
      <c r="J93" s="98"/>
      <c r="K93" s="98"/>
      <c r="L93" s="98"/>
      <c r="M93" s="98"/>
      <c r="N93" s="96" t="s">
        <v>66</v>
      </c>
      <c r="O93" s="97"/>
    </row>
    <row r="94" spans="1:15" s="99" customFormat="1" x14ac:dyDescent="0.25">
      <c r="A94" s="72" t="str">
        <f>'Scenario Test'!$A$11</f>
        <v>DPT_MDP</v>
      </c>
      <c r="B94" s="14" t="str">
        <f>VLOOKUP(TestCase!A94,'Scenario Test'!$A$5:$B$129,2,0)</f>
        <v>Miscellaneous deposit</v>
      </c>
      <c r="C94" s="94" t="s">
        <v>821</v>
      </c>
      <c r="D94" s="94"/>
      <c r="E94" s="76" t="s">
        <v>120</v>
      </c>
      <c r="F94" s="95" t="s">
        <v>243</v>
      </c>
      <c r="G94" s="96" t="s">
        <v>4</v>
      </c>
      <c r="H94" s="97"/>
      <c r="I94" s="133">
        <v>45621</v>
      </c>
      <c r="J94" s="98"/>
      <c r="K94" s="98"/>
      <c r="L94" s="98"/>
      <c r="M94" s="98"/>
      <c r="N94" s="96" t="s">
        <v>66</v>
      </c>
      <c r="O94" s="97"/>
    </row>
    <row r="95" spans="1:15" x14ac:dyDescent="0.25">
      <c r="A95" s="41" t="str">
        <f>'Scenario Test'!$A$12</f>
        <v>DPT_CWR</v>
      </c>
      <c r="B95" s="42" t="str">
        <f>VLOOKUP(TestCase!A95,'Scenario Test'!$A$5:$B$129,2,0)</f>
        <v>Cash withdrawal</v>
      </c>
      <c r="C95" s="41"/>
      <c r="D95" s="41"/>
      <c r="E95" s="41"/>
      <c r="F95" s="41"/>
      <c r="G95" s="43"/>
      <c r="H95" s="42"/>
      <c r="I95" s="43"/>
      <c r="J95" s="42"/>
      <c r="K95" s="42"/>
      <c r="L95" s="42"/>
      <c r="M95" s="42"/>
      <c r="N95" s="42"/>
      <c r="O95" s="42"/>
    </row>
    <row r="96" spans="1:15" s="99" customFormat="1" ht="171.6" x14ac:dyDescent="0.25">
      <c r="A96" s="72" t="str">
        <f>'Scenario Test'!$A$12</f>
        <v>DPT_CWR</v>
      </c>
      <c r="B96" s="14" t="str">
        <f>VLOOKUP(TestCase!A96,'Scenario Test'!$A$5:$B$129,2,0)</f>
        <v>Cash withdrawal</v>
      </c>
      <c r="C96" s="94" t="s">
        <v>161</v>
      </c>
      <c r="D96" s="94"/>
      <c r="E96" s="73" t="s">
        <v>196</v>
      </c>
      <c r="F96" s="95" t="s">
        <v>243</v>
      </c>
      <c r="G96" s="96" t="s">
        <v>4</v>
      </c>
      <c r="H96" s="97"/>
      <c r="I96" s="133">
        <v>45618</v>
      </c>
      <c r="J96" s="98"/>
      <c r="K96" s="98"/>
      <c r="L96" s="98"/>
      <c r="M96" s="98"/>
      <c r="N96" s="96" t="s">
        <v>66</v>
      </c>
      <c r="O96" s="97"/>
    </row>
    <row r="97" spans="1:15" s="99" customFormat="1" ht="171.6" x14ac:dyDescent="0.25">
      <c r="A97" s="72" t="str">
        <f>'Scenario Test'!$A$12</f>
        <v>DPT_CWR</v>
      </c>
      <c r="B97" s="14" t="str">
        <f>VLOOKUP(TestCase!A97,'Scenario Test'!$A$5:$B$129,2,0)</f>
        <v>Cash withdrawal</v>
      </c>
      <c r="C97" s="94" t="s">
        <v>182</v>
      </c>
      <c r="D97" s="94"/>
      <c r="E97" s="73" t="s">
        <v>197</v>
      </c>
      <c r="F97" s="75" t="s">
        <v>156</v>
      </c>
      <c r="G97" s="96" t="s">
        <v>4</v>
      </c>
      <c r="H97" s="97"/>
      <c r="I97" s="133">
        <v>45618</v>
      </c>
      <c r="J97" s="98"/>
      <c r="K97" s="98"/>
      <c r="L97" s="98"/>
      <c r="M97" s="98"/>
      <c r="N97" s="96" t="s">
        <v>66</v>
      </c>
      <c r="O97" s="97"/>
    </row>
    <row r="98" spans="1:15" s="99" customFormat="1" x14ac:dyDescent="0.25">
      <c r="A98" s="72" t="str">
        <f>'Scenario Test'!$A$12</f>
        <v>DPT_CWR</v>
      </c>
      <c r="B98" s="14" t="str">
        <f>VLOOKUP(TestCase!A98,'Scenario Test'!$A$5:$B$129,2,0)</f>
        <v>Cash withdrawal</v>
      </c>
      <c r="C98" s="94" t="s">
        <v>183</v>
      </c>
      <c r="D98" s="94" t="str">
        <f>C97</f>
        <v>CWR_001_002</v>
      </c>
      <c r="E98" s="78" t="s">
        <v>157</v>
      </c>
      <c r="F98" s="95" t="s">
        <v>243</v>
      </c>
      <c r="G98" s="96" t="s">
        <v>4</v>
      </c>
      <c r="H98" s="97"/>
      <c r="I98" s="133">
        <v>45618</v>
      </c>
      <c r="J98" s="98"/>
      <c r="K98" s="98"/>
      <c r="L98" s="98"/>
      <c r="M98" s="98"/>
      <c r="N98" s="96" t="s">
        <v>66</v>
      </c>
      <c r="O98" s="97"/>
    </row>
    <row r="99" spans="1:15" s="99" customFormat="1" ht="26.4" x14ac:dyDescent="0.25">
      <c r="A99" s="72" t="str">
        <f>'Scenario Test'!$A$12</f>
        <v>DPT_CWR</v>
      </c>
      <c r="B99" s="14" t="str">
        <f>VLOOKUP(TestCase!A99,'Scenario Test'!$A$5:$B$129,2,0)</f>
        <v>Cash withdrawal</v>
      </c>
      <c r="C99" s="94" t="s">
        <v>184</v>
      </c>
      <c r="D99" s="94"/>
      <c r="E99" s="79" t="s">
        <v>158</v>
      </c>
      <c r="F99" s="95" t="s">
        <v>243</v>
      </c>
      <c r="G99" s="96" t="s">
        <v>4</v>
      </c>
      <c r="H99" s="97"/>
      <c r="I99" s="133">
        <v>45618</v>
      </c>
      <c r="J99" s="98"/>
      <c r="K99" s="98"/>
      <c r="L99" s="98"/>
      <c r="M99" s="98"/>
      <c r="N99" s="96" t="s">
        <v>66</v>
      </c>
      <c r="O99" s="97"/>
    </row>
    <row r="100" spans="1:15" s="99" customFormat="1" x14ac:dyDescent="0.25">
      <c r="A100" s="72" t="str">
        <f>'Scenario Test'!$A$12</f>
        <v>DPT_CWR</v>
      </c>
      <c r="B100" s="14" t="str">
        <f>VLOOKUP(TestCase!A100,'Scenario Test'!$A$5:$B$129,2,0)</f>
        <v>Cash withdrawal</v>
      </c>
      <c r="C100" s="94" t="s">
        <v>185</v>
      </c>
      <c r="D100" s="94"/>
      <c r="E100" s="76" t="s">
        <v>729</v>
      </c>
      <c r="F100" s="100" t="s">
        <v>126</v>
      </c>
      <c r="G100" s="96" t="s">
        <v>4</v>
      </c>
      <c r="H100" s="97"/>
      <c r="I100" s="133">
        <v>45618</v>
      </c>
      <c r="J100" s="98"/>
      <c r="K100" s="98"/>
      <c r="L100" s="98"/>
      <c r="M100" s="98"/>
      <c r="N100" s="96" t="s">
        <v>66</v>
      </c>
      <c r="O100" s="97"/>
    </row>
    <row r="101" spans="1:15" s="99" customFormat="1" x14ac:dyDescent="0.25">
      <c r="A101" s="72" t="str">
        <f>'Scenario Test'!$A$12</f>
        <v>DPT_CWR</v>
      </c>
      <c r="B101" s="14" t="str">
        <f>VLOOKUP(TestCase!A101,'Scenario Test'!$A$5:$B$129,2,0)</f>
        <v>Cash withdrawal</v>
      </c>
      <c r="C101" s="94" t="s">
        <v>186</v>
      </c>
      <c r="D101" s="94"/>
      <c r="E101" s="76" t="s">
        <v>730</v>
      </c>
      <c r="F101" s="100" t="s">
        <v>126</v>
      </c>
      <c r="G101" s="96" t="s">
        <v>4</v>
      </c>
      <c r="H101" s="97"/>
      <c r="I101" s="133">
        <v>45618</v>
      </c>
      <c r="J101" s="98"/>
      <c r="K101" s="98"/>
      <c r="L101" s="98"/>
      <c r="M101" s="98"/>
      <c r="N101" s="96" t="s">
        <v>66</v>
      </c>
      <c r="O101" s="97"/>
    </row>
    <row r="102" spans="1:15" s="99" customFormat="1" x14ac:dyDescent="0.25">
      <c r="A102" s="72" t="str">
        <f>'Scenario Test'!$A$12</f>
        <v>DPT_CWR</v>
      </c>
      <c r="B102" s="14" t="str">
        <f>VLOOKUP(TestCase!A102,'Scenario Test'!$A$5:$B$129,2,0)</f>
        <v>Cash withdrawal</v>
      </c>
      <c r="C102" s="94" t="s">
        <v>187</v>
      </c>
      <c r="D102" s="94"/>
      <c r="E102" s="76" t="s">
        <v>750</v>
      </c>
      <c r="F102" s="100" t="s">
        <v>126</v>
      </c>
      <c r="G102" s="96" t="s">
        <v>4</v>
      </c>
      <c r="H102" s="97"/>
      <c r="I102" s="133">
        <v>45618</v>
      </c>
      <c r="J102" s="98"/>
      <c r="K102" s="98"/>
      <c r="L102" s="98"/>
      <c r="M102" s="98"/>
      <c r="N102" s="96" t="s">
        <v>66</v>
      </c>
      <c r="O102" s="97"/>
    </row>
    <row r="103" spans="1:15" s="99" customFormat="1" ht="105.6" x14ac:dyDescent="0.25">
      <c r="A103" s="72" t="str">
        <f>'Scenario Test'!$A$12</f>
        <v>DPT_CWR</v>
      </c>
      <c r="B103" s="14" t="str">
        <f>VLOOKUP(TestCase!A103,'Scenario Test'!$A$5:$B$129,2,0)</f>
        <v>Cash withdrawal</v>
      </c>
      <c r="C103" s="94" t="s">
        <v>188</v>
      </c>
      <c r="D103" s="94"/>
      <c r="E103" s="73" t="s">
        <v>751</v>
      </c>
      <c r="F103" s="100" t="s">
        <v>126</v>
      </c>
      <c r="G103" s="96" t="s">
        <v>4</v>
      </c>
      <c r="H103" s="97"/>
      <c r="I103" s="133">
        <v>45618</v>
      </c>
      <c r="J103" s="98"/>
      <c r="K103" s="98"/>
      <c r="L103" s="98"/>
      <c r="M103" s="98"/>
      <c r="N103" s="96" t="s">
        <v>66</v>
      </c>
      <c r="O103" s="97"/>
    </row>
    <row r="104" spans="1:15" s="99" customFormat="1" ht="105.6" x14ac:dyDescent="0.25">
      <c r="A104" s="72" t="str">
        <f>'Scenario Test'!$A$12</f>
        <v>DPT_CWR</v>
      </c>
      <c r="B104" s="14" t="str">
        <f>VLOOKUP(TestCase!A104,'Scenario Test'!$A$5:$B$129,2,0)</f>
        <v>Cash withdrawal</v>
      </c>
      <c r="C104" s="94" t="s">
        <v>189</v>
      </c>
      <c r="D104" s="94"/>
      <c r="E104" s="73" t="s">
        <v>752</v>
      </c>
      <c r="F104" s="100" t="s">
        <v>126</v>
      </c>
      <c r="G104" s="96" t="s">
        <v>4</v>
      </c>
      <c r="H104" s="97"/>
      <c r="I104" s="133">
        <v>45618</v>
      </c>
      <c r="J104" s="98"/>
      <c r="K104" s="98"/>
      <c r="L104" s="98"/>
      <c r="M104" s="98"/>
      <c r="N104" s="96" t="s">
        <v>66</v>
      </c>
      <c r="O104" s="97"/>
    </row>
    <row r="105" spans="1:15" s="99" customFormat="1" ht="105.6" x14ac:dyDescent="0.25">
      <c r="A105" s="72" t="str">
        <f>'Scenario Test'!$A$12</f>
        <v>DPT_CWR</v>
      </c>
      <c r="B105" s="14" t="str">
        <f>VLOOKUP(TestCase!A105,'Scenario Test'!$A$5:$B$129,2,0)</f>
        <v>Cash withdrawal</v>
      </c>
      <c r="C105" s="94" t="s">
        <v>190</v>
      </c>
      <c r="D105" s="94"/>
      <c r="E105" s="73" t="s">
        <v>753</v>
      </c>
      <c r="F105" s="100" t="s">
        <v>126</v>
      </c>
      <c r="G105" s="96" t="s">
        <v>4</v>
      </c>
      <c r="H105" s="97"/>
      <c r="I105" s="133">
        <v>45618</v>
      </c>
      <c r="J105" s="98"/>
      <c r="K105" s="98"/>
      <c r="L105" s="98"/>
      <c r="M105" s="98"/>
      <c r="N105" s="96" t="s">
        <v>66</v>
      </c>
      <c r="O105" s="97"/>
    </row>
    <row r="106" spans="1:15" s="99" customFormat="1" ht="105.6" x14ac:dyDescent="0.25">
      <c r="A106" s="72" t="str">
        <f>'Scenario Test'!$A$12</f>
        <v>DPT_CWR</v>
      </c>
      <c r="B106" s="14" t="str">
        <f>VLOOKUP(TestCase!A106,'Scenario Test'!$A$5:$B$129,2,0)</f>
        <v>Cash withdrawal</v>
      </c>
      <c r="C106" s="94" t="s">
        <v>191</v>
      </c>
      <c r="D106" s="94"/>
      <c r="E106" s="73" t="s">
        <v>754</v>
      </c>
      <c r="F106" s="100" t="s">
        <v>126</v>
      </c>
      <c r="G106" s="96" t="s">
        <v>4</v>
      </c>
      <c r="H106" s="97"/>
      <c r="I106" s="133">
        <v>45618</v>
      </c>
      <c r="J106" s="98"/>
      <c r="K106" s="98"/>
      <c r="L106" s="98"/>
      <c r="M106" s="98"/>
      <c r="N106" s="96" t="s">
        <v>66</v>
      </c>
      <c r="O106" s="97"/>
    </row>
    <row r="107" spans="1:15" s="99" customFormat="1" ht="105.6" x14ac:dyDescent="0.25">
      <c r="A107" s="72" t="str">
        <f>'Scenario Test'!$A$12</f>
        <v>DPT_CWR</v>
      </c>
      <c r="B107" s="14" t="str">
        <f>VLOOKUP(TestCase!A107,'Scenario Test'!$A$5:$B$129,2,0)</f>
        <v>Cash withdrawal</v>
      </c>
      <c r="C107" s="94" t="s">
        <v>192</v>
      </c>
      <c r="D107" s="94"/>
      <c r="E107" s="73" t="s">
        <v>755</v>
      </c>
      <c r="F107" s="100" t="s">
        <v>126</v>
      </c>
      <c r="G107" s="96" t="s">
        <v>4</v>
      </c>
      <c r="H107" s="97"/>
      <c r="I107" s="133">
        <v>45618</v>
      </c>
      <c r="J107" s="98"/>
      <c r="K107" s="98"/>
      <c r="L107" s="98"/>
      <c r="M107" s="98"/>
      <c r="N107" s="96" t="s">
        <v>66</v>
      </c>
      <c r="O107" s="97"/>
    </row>
    <row r="108" spans="1:15" s="99" customFormat="1" ht="105.6" x14ac:dyDescent="0.25">
      <c r="A108" s="72" t="str">
        <f>'Scenario Test'!$A$12</f>
        <v>DPT_CWR</v>
      </c>
      <c r="B108" s="14" t="str">
        <f>VLOOKUP(TestCase!A108,'Scenario Test'!$A$5:$B$129,2,0)</f>
        <v>Cash withdrawal</v>
      </c>
      <c r="C108" s="94" t="s">
        <v>193</v>
      </c>
      <c r="D108" s="94"/>
      <c r="E108" s="73" t="s">
        <v>756</v>
      </c>
      <c r="F108" s="100" t="s">
        <v>126</v>
      </c>
      <c r="G108" s="96" t="s">
        <v>4</v>
      </c>
      <c r="H108" s="97"/>
      <c r="I108" s="133">
        <v>45618</v>
      </c>
      <c r="J108" s="98"/>
      <c r="K108" s="98"/>
      <c r="L108" s="98"/>
      <c r="M108" s="98"/>
      <c r="N108" s="96" t="s">
        <v>66</v>
      </c>
      <c r="O108" s="97"/>
    </row>
    <row r="109" spans="1:15" s="99" customFormat="1" x14ac:dyDescent="0.25">
      <c r="A109" s="72" t="str">
        <f>'Scenario Test'!$A$12</f>
        <v>DPT_CWR</v>
      </c>
      <c r="B109" s="14" t="str">
        <f>VLOOKUP(TestCase!A109,'Scenario Test'!$A$5:$B$129,2,0)</f>
        <v>Cash withdrawal</v>
      </c>
      <c r="C109" s="94" t="s">
        <v>194</v>
      </c>
      <c r="D109" s="94"/>
      <c r="E109" s="76" t="s">
        <v>120</v>
      </c>
      <c r="F109" s="95" t="s">
        <v>243</v>
      </c>
      <c r="G109" s="96" t="s">
        <v>4</v>
      </c>
      <c r="H109" s="97"/>
      <c r="I109" s="133">
        <v>45618</v>
      </c>
      <c r="J109" s="98"/>
      <c r="K109" s="98"/>
      <c r="L109" s="98"/>
      <c r="M109" s="98"/>
      <c r="N109" s="96" t="s">
        <v>66</v>
      </c>
      <c r="O109" s="97"/>
    </row>
    <row r="110" spans="1:15" x14ac:dyDescent="0.25">
      <c r="A110" s="41" t="str">
        <f>'Scenario Test'!$A$13</f>
        <v>DPT_MWR</v>
      </c>
      <c r="B110" s="42" t="str">
        <f>VLOOKUP(TestCase!A110,'Scenario Test'!$A$5:$B$129,2,0)</f>
        <v>Miscellaneous withdrawal</v>
      </c>
      <c r="C110" s="41"/>
      <c r="D110" s="41"/>
      <c r="E110" s="41"/>
      <c r="F110" s="41"/>
      <c r="G110" s="43"/>
      <c r="H110" s="42"/>
      <c r="I110" s="43"/>
      <c r="J110" s="42"/>
      <c r="K110" s="42"/>
      <c r="L110" s="42"/>
      <c r="M110" s="42"/>
      <c r="N110" s="42"/>
      <c r="O110" s="42"/>
    </row>
    <row r="111" spans="1:15" s="99" customFormat="1" ht="250.8" x14ac:dyDescent="0.25">
      <c r="A111" s="72" t="str">
        <f>'Scenario Test'!$A$13</f>
        <v>DPT_MWR</v>
      </c>
      <c r="B111" s="14" t="str">
        <f>VLOOKUP(TestCase!A111,'Scenario Test'!$A$5:$B$129,2,0)</f>
        <v>Miscellaneous withdrawal</v>
      </c>
      <c r="C111" s="94" t="s">
        <v>237</v>
      </c>
      <c r="D111" s="94"/>
      <c r="E111" s="73" t="s">
        <v>476</v>
      </c>
      <c r="F111" s="95" t="s">
        <v>243</v>
      </c>
      <c r="G111" s="96" t="s">
        <v>4</v>
      </c>
      <c r="H111" s="97"/>
      <c r="I111" s="133">
        <v>45622</v>
      </c>
      <c r="J111" s="98"/>
      <c r="K111" s="98"/>
      <c r="L111" s="98"/>
      <c r="M111" s="98"/>
      <c r="N111" s="96" t="s">
        <v>66</v>
      </c>
      <c r="O111" s="97"/>
    </row>
    <row r="112" spans="1:15" s="99" customFormat="1" ht="237.6" x14ac:dyDescent="0.25">
      <c r="A112" s="72" t="str">
        <f>'Scenario Test'!$A$13</f>
        <v>DPT_MWR</v>
      </c>
      <c r="B112" s="14" t="str">
        <f>VLOOKUP(TestCase!A112,'Scenario Test'!$A$5:$B$129,2,0)</f>
        <v>Miscellaneous withdrawal</v>
      </c>
      <c r="C112" s="94" t="s">
        <v>238</v>
      </c>
      <c r="D112" s="94"/>
      <c r="E112" s="73" t="s">
        <v>475</v>
      </c>
      <c r="F112" s="95" t="s">
        <v>243</v>
      </c>
      <c r="G112" s="96" t="s">
        <v>4</v>
      </c>
      <c r="H112" s="97"/>
      <c r="I112" s="133">
        <v>45622</v>
      </c>
      <c r="J112" s="98"/>
      <c r="K112" s="98"/>
      <c r="L112" s="98"/>
      <c r="M112" s="98"/>
      <c r="N112" s="96" t="s">
        <v>66</v>
      </c>
      <c r="O112" s="97"/>
    </row>
    <row r="113" spans="1:15" s="99" customFormat="1" ht="250.8" x14ac:dyDescent="0.25">
      <c r="A113" s="72" t="str">
        <f>'Scenario Test'!$A$13</f>
        <v>DPT_MWR</v>
      </c>
      <c r="B113" s="14" t="str">
        <f>VLOOKUP(TestCase!A113,'Scenario Test'!$A$5:$B$129,2,0)</f>
        <v>Miscellaneous withdrawal</v>
      </c>
      <c r="C113" s="94" t="s">
        <v>239</v>
      </c>
      <c r="D113" s="94"/>
      <c r="E113" s="73" t="s">
        <v>474</v>
      </c>
      <c r="F113" s="75" t="s">
        <v>156</v>
      </c>
      <c r="G113" s="96" t="s">
        <v>4</v>
      </c>
      <c r="H113" s="97"/>
      <c r="I113" s="133">
        <v>45622</v>
      </c>
      <c r="J113" s="98"/>
      <c r="K113" s="98"/>
      <c r="L113" s="98"/>
      <c r="M113" s="98"/>
      <c r="N113" s="96" t="s">
        <v>66</v>
      </c>
      <c r="O113" s="97"/>
    </row>
    <row r="114" spans="1:15" s="99" customFormat="1" x14ac:dyDescent="0.25">
      <c r="A114" s="72" t="str">
        <f>'Scenario Test'!$A$13</f>
        <v>DPT_MWR</v>
      </c>
      <c r="B114" s="14" t="str">
        <f>VLOOKUP(TestCase!A114,'Scenario Test'!$A$5:$B$129,2,0)</f>
        <v>Miscellaneous withdrawal</v>
      </c>
      <c r="C114" s="94" t="s">
        <v>240</v>
      </c>
      <c r="D114" s="94" t="str">
        <f>C113</f>
        <v>MWR_001_003</v>
      </c>
      <c r="E114" s="78" t="s">
        <v>157</v>
      </c>
      <c r="F114" s="95" t="s">
        <v>243</v>
      </c>
      <c r="G114" s="96" t="s">
        <v>4</v>
      </c>
      <c r="H114" s="97"/>
      <c r="I114" s="133">
        <v>45622</v>
      </c>
      <c r="J114" s="98"/>
      <c r="K114" s="98"/>
      <c r="L114" s="98"/>
      <c r="M114" s="98"/>
      <c r="N114" s="96" t="s">
        <v>66</v>
      </c>
      <c r="O114" s="97"/>
    </row>
    <row r="115" spans="1:15" s="99" customFormat="1" ht="237.6" x14ac:dyDescent="0.25">
      <c r="A115" s="72" t="str">
        <f>'Scenario Test'!$A$13</f>
        <v>DPT_MWR</v>
      </c>
      <c r="B115" s="14" t="str">
        <f>VLOOKUP(TestCase!A115,'Scenario Test'!$A$5:$B$129,2,0)</f>
        <v>Miscellaneous withdrawal</v>
      </c>
      <c r="C115" s="94" t="s">
        <v>241</v>
      </c>
      <c r="D115" s="94"/>
      <c r="E115" s="73" t="s">
        <v>473</v>
      </c>
      <c r="F115" s="75" t="s">
        <v>156</v>
      </c>
      <c r="G115" s="96" t="s">
        <v>4</v>
      </c>
      <c r="H115" s="97"/>
      <c r="I115" s="133">
        <v>45622</v>
      </c>
      <c r="J115" s="98"/>
      <c r="K115" s="98"/>
      <c r="L115" s="98"/>
      <c r="M115" s="98"/>
      <c r="N115" s="96" t="s">
        <v>66</v>
      </c>
      <c r="O115" s="97"/>
    </row>
    <row r="116" spans="1:15" s="99" customFormat="1" x14ac:dyDescent="0.25">
      <c r="A116" s="72" t="str">
        <f>'Scenario Test'!$A$13</f>
        <v>DPT_MWR</v>
      </c>
      <c r="B116" s="14" t="str">
        <f>VLOOKUP(TestCase!A116,'Scenario Test'!$A$5:$B$129,2,0)</f>
        <v>Miscellaneous withdrawal</v>
      </c>
      <c r="C116" s="94" t="s">
        <v>242</v>
      </c>
      <c r="D116" s="94" t="str">
        <f>C115</f>
        <v>MWR_001_005</v>
      </c>
      <c r="E116" s="78" t="s">
        <v>157</v>
      </c>
      <c r="F116" s="95" t="s">
        <v>243</v>
      </c>
      <c r="G116" s="96" t="s">
        <v>4</v>
      </c>
      <c r="H116" s="97"/>
      <c r="I116" s="133">
        <v>45622</v>
      </c>
      <c r="J116" s="98"/>
      <c r="K116" s="98"/>
      <c r="L116" s="98"/>
      <c r="M116" s="98"/>
      <c r="N116" s="96" t="s">
        <v>66</v>
      </c>
      <c r="O116" s="97"/>
    </row>
    <row r="117" spans="1:15" s="99" customFormat="1" ht="26.4" x14ac:dyDescent="0.25">
      <c r="A117" s="72" t="str">
        <f>'Scenario Test'!$A$13</f>
        <v>DPT_MWR</v>
      </c>
      <c r="B117" s="14" t="str">
        <f>VLOOKUP(TestCase!A117,'Scenario Test'!$A$5:$B$129,2,0)</f>
        <v>Miscellaneous withdrawal</v>
      </c>
      <c r="C117" s="94" t="s">
        <v>244</v>
      </c>
      <c r="D117" s="94"/>
      <c r="E117" s="79" t="s">
        <v>158</v>
      </c>
      <c r="F117" s="95" t="s">
        <v>243</v>
      </c>
      <c r="G117" s="96" t="s">
        <v>4</v>
      </c>
      <c r="H117" s="97"/>
      <c r="I117" s="133">
        <v>45622</v>
      </c>
      <c r="J117" s="98"/>
      <c r="K117" s="98"/>
      <c r="L117" s="98"/>
      <c r="M117" s="98"/>
      <c r="N117" s="96" t="s">
        <v>66</v>
      </c>
      <c r="O117" s="97"/>
    </row>
    <row r="118" spans="1:15" s="99" customFormat="1" ht="303.60000000000002" x14ac:dyDescent="0.25">
      <c r="A118" s="72" t="str">
        <f>'Scenario Test'!$A$13</f>
        <v>DPT_MWR</v>
      </c>
      <c r="B118" s="14" t="str">
        <f>VLOOKUP(TestCase!A118,'Scenario Test'!$A$5:$B$129,2,0)</f>
        <v>Miscellaneous withdrawal</v>
      </c>
      <c r="C118" s="94" t="s">
        <v>245</v>
      </c>
      <c r="D118" s="94"/>
      <c r="E118" s="75" t="s">
        <v>477</v>
      </c>
      <c r="F118" s="95" t="s">
        <v>243</v>
      </c>
      <c r="G118" s="96" t="s">
        <v>4</v>
      </c>
      <c r="H118" s="97"/>
      <c r="I118" s="133">
        <v>45622</v>
      </c>
      <c r="J118" s="98"/>
      <c r="K118" s="98"/>
      <c r="L118" s="98"/>
      <c r="M118" s="98"/>
      <c r="N118" s="96" t="s">
        <v>66</v>
      </c>
      <c r="O118" s="97"/>
    </row>
    <row r="119" spans="1:15" s="99" customFormat="1" x14ac:dyDescent="0.25">
      <c r="A119" s="72" t="str">
        <f>'Scenario Test'!$A$13</f>
        <v>DPT_MWR</v>
      </c>
      <c r="B119" s="14" t="str">
        <f>VLOOKUP(TestCase!A119,'Scenario Test'!$A$5:$B$129,2,0)</f>
        <v>Miscellaneous withdrawal</v>
      </c>
      <c r="C119" s="94" t="s">
        <v>246</v>
      </c>
      <c r="D119" s="94"/>
      <c r="E119" s="76" t="s">
        <v>729</v>
      </c>
      <c r="F119" s="95" t="s">
        <v>126</v>
      </c>
      <c r="G119" s="96" t="s">
        <v>4</v>
      </c>
      <c r="H119" s="97"/>
      <c r="I119" s="133">
        <v>45622</v>
      </c>
      <c r="J119" s="98"/>
      <c r="K119" s="98"/>
      <c r="L119" s="98"/>
      <c r="M119" s="98"/>
      <c r="N119" s="96" t="s">
        <v>66</v>
      </c>
      <c r="O119" s="97"/>
    </row>
    <row r="120" spans="1:15" s="99" customFormat="1" x14ac:dyDescent="0.25">
      <c r="A120" s="72" t="str">
        <f>'Scenario Test'!$A$13</f>
        <v>DPT_MWR</v>
      </c>
      <c r="B120" s="14" t="str">
        <f>VLOOKUP(TestCase!A120,'Scenario Test'!$A$5:$B$129,2,0)</f>
        <v>Miscellaneous withdrawal</v>
      </c>
      <c r="C120" s="94" t="s">
        <v>247</v>
      </c>
      <c r="D120" s="94"/>
      <c r="E120" s="76" t="s">
        <v>730</v>
      </c>
      <c r="F120" s="95" t="s">
        <v>126</v>
      </c>
      <c r="G120" s="96" t="s">
        <v>4</v>
      </c>
      <c r="H120" s="97"/>
      <c r="I120" s="133">
        <v>45622</v>
      </c>
      <c r="J120" s="98"/>
      <c r="K120" s="98"/>
      <c r="L120" s="98"/>
      <c r="M120" s="98"/>
      <c r="N120" s="96" t="s">
        <v>66</v>
      </c>
      <c r="O120" s="97"/>
    </row>
    <row r="121" spans="1:15" s="99" customFormat="1" x14ac:dyDescent="0.25">
      <c r="A121" s="72" t="str">
        <f>'Scenario Test'!$A$13</f>
        <v>DPT_MWR</v>
      </c>
      <c r="B121" s="14" t="str">
        <f>VLOOKUP(TestCase!A121,'Scenario Test'!$A$5:$B$129,2,0)</f>
        <v>Miscellaneous withdrawal</v>
      </c>
      <c r="C121" s="94" t="s">
        <v>248</v>
      </c>
      <c r="D121" s="94"/>
      <c r="E121" s="76" t="s">
        <v>757</v>
      </c>
      <c r="F121" s="95" t="s">
        <v>126</v>
      </c>
      <c r="G121" s="96" t="s">
        <v>4</v>
      </c>
      <c r="H121" s="97"/>
      <c r="I121" s="133">
        <v>45622</v>
      </c>
      <c r="J121" s="98"/>
      <c r="K121" s="98"/>
      <c r="L121" s="98"/>
      <c r="M121" s="98"/>
      <c r="N121" s="96" t="s">
        <v>66</v>
      </c>
      <c r="O121" s="97"/>
    </row>
    <row r="122" spans="1:15" s="99" customFormat="1" x14ac:dyDescent="0.25">
      <c r="A122" s="72" t="str">
        <f>'Scenario Test'!$A$13</f>
        <v>DPT_MWR</v>
      </c>
      <c r="B122" s="14" t="str">
        <f>VLOOKUP(TestCase!A122,'Scenario Test'!$A$5:$B$129,2,0)</f>
        <v>Miscellaneous withdrawal</v>
      </c>
      <c r="C122" s="94" t="s">
        <v>249</v>
      </c>
      <c r="D122" s="94"/>
      <c r="E122" s="76" t="s">
        <v>758</v>
      </c>
      <c r="F122" s="95" t="s">
        <v>126</v>
      </c>
      <c r="G122" s="96" t="s">
        <v>4</v>
      </c>
      <c r="H122" s="97"/>
      <c r="I122" s="133">
        <v>45622</v>
      </c>
      <c r="J122" s="98"/>
      <c r="K122" s="98"/>
      <c r="L122" s="98"/>
      <c r="M122" s="98"/>
      <c r="N122" s="96" t="s">
        <v>66</v>
      </c>
      <c r="O122" s="97"/>
    </row>
    <row r="123" spans="1:15" s="99" customFormat="1" x14ac:dyDescent="0.25">
      <c r="A123" s="72" t="str">
        <f>'Scenario Test'!$A$13</f>
        <v>DPT_MWR</v>
      </c>
      <c r="B123" s="14" t="str">
        <f>VLOOKUP(TestCase!A123,'Scenario Test'!$A$5:$B$129,2,0)</f>
        <v>Miscellaneous withdrawal</v>
      </c>
      <c r="C123" s="94" t="s">
        <v>250</v>
      </c>
      <c r="D123" s="94"/>
      <c r="E123" s="76" t="s">
        <v>759</v>
      </c>
      <c r="F123" s="95" t="s">
        <v>126</v>
      </c>
      <c r="G123" s="96" t="s">
        <v>4</v>
      </c>
      <c r="H123" s="97"/>
      <c r="I123" s="133">
        <v>45622</v>
      </c>
      <c r="J123" s="98"/>
      <c r="K123" s="98"/>
      <c r="L123" s="98"/>
      <c r="M123" s="98"/>
      <c r="N123" s="96" t="s">
        <v>66</v>
      </c>
      <c r="O123" s="97"/>
    </row>
    <row r="124" spans="1:15" s="99" customFormat="1" ht="158.4" x14ac:dyDescent="0.25">
      <c r="A124" s="72" t="str">
        <f>'Scenario Test'!$A$13</f>
        <v>DPT_MWR</v>
      </c>
      <c r="B124" s="14" t="str">
        <f>VLOOKUP(TestCase!A124,'Scenario Test'!$A$5:$B$129,2,0)</f>
        <v>Miscellaneous withdrawal</v>
      </c>
      <c r="C124" s="94" t="s">
        <v>251</v>
      </c>
      <c r="D124" s="94"/>
      <c r="E124" s="75" t="s">
        <v>760</v>
      </c>
      <c r="F124" s="95" t="s">
        <v>126</v>
      </c>
      <c r="G124" s="96" t="s">
        <v>4</v>
      </c>
      <c r="H124" s="97"/>
      <c r="I124" s="133">
        <v>45622</v>
      </c>
      <c r="J124" s="98"/>
      <c r="K124" s="98"/>
      <c r="L124" s="98"/>
      <c r="M124" s="98"/>
      <c r="N124" s="96" t="s">
        <v>66</v>
      </c>
      <c r="O124" s="97"/>
    </row>
    <row r="125" spans="1:15" s="99" customFormat="1" ht="158.4" x14ac:dyDescent="0.25">
      <c r="A125" s="72" t="str">
        <f>'Scenario Test'!$A$13</f>
        <v>DPT_MWR</v>
      </c>
      <c r="B125" s="14" t="str">
        <f>VLOOKUP(TestCase!A125,'Scenario Test'!$A$5:$B$129,2,0)</f>
        <v>Miscellaneous withdrawal</v>
      </c>
      <c r="C125" s="94" t="s">
        <v>252</v>
      </c>
      <c r="D125" s="94"/>
      <c r="E125" s="75" t="s">
        <v>761</v>
      </c>
      <c r="F125" s="95" t="s">
        <v>126</v>
      </c>
      <c r="G125" s="96" t="s">
        <v>4</v>
      </c>
      <c r="H125" s="97"/>
      <c r="I125" s="133">
        <v>45622</v>
      </c>
      <c r="J125" s="98"/>
      <c r="K125" s="98"/>
      <c r="L125" s="98"/>
      <c r="M125" s="98"/>
      <c r="N125" s="96" t="s">
        <v>66</v>
      </c>
      <c r="O125" s="97"/>
    </row>
    <row r="126" spans="1:15" s="99" customFormat="1" ht="158.4" x14ac:dyDescent="0.25">
      <c r="A126" s="72" t="str">
        <f>'Scenario Test'!$A$13</f>
        <v>DPT_MWR</v>
      </c>
      <c r="B126" s="14" t="str">
        <f>VLOOKUP(TestCase!A126,'Scenario Test'!$A$5:$B$129,2,0)</f>
        <v>Miscellaneous withdrawal</v>
      </c>
      <c r="C126" s="94" t="s">
        <v>253</v>
      </c>
      <c r="D126" s="94"/>
      <c r="E126" s="75" t="s">
        <v>762</v>
      </c>
      <c r="F126" s="95" t="s">
        <v>126</v>
      </c>
      <c r="G126" s="96" t="s">
        <v>4</v>
      </c>
      <c r="H126" s="97"/>
      <c r="I126" s="133">
        <v>45622</v>
      </c>
      <c r="J126" s="98"/>
      <c r="K126" s="98"/>
      <c r="L126" s="98"/>
      <c r="M126" s="98"/>
      <c r="N126" s="96" t="s">
        <v>66</v>
      </c>
      <c r="O126" s="97"/>
    </row>
    <row r="127" spans="1:15" s="99" customFormat="1" ht="158.4" x14ac:dyDescent="0.25">
      <c r="A127" s="72" t="str">
        <f>'Scenario Test'!$A$13</f>
        <v>DPT_MWR</v>
      </c>
      <c r="B127" s="14" t="str">
        <f>VLOOKUP(TestCase!A127,'Scenario Test'!$A$5:$B$129,2,0)</f>
        <v>Miscellaneous withdrawal</v>
      </c>
      <c r="C127" s="94" t="s">
        <v>254</v>
      </c>
      <c r="D127" s="94"/>
      <c r="E127" s="75" t="s">
        <v>763</v>
      </c>
      <c r="F127" s="95" t="s">
        <v>126</v>
      </c>
      <c r="G127" s="96" t="s">
        <v>4</v>
      </c>
      <c r="H127" s="97" t="s">
        <v>815</v>
      </c>
      <c r="I127" s="133">
        <v>45622</v>
      </c>
      <c r="J127" s="98"/>
      <c r="K127" s="98"/>
      <c r="L127" s="98"/>
      <c r="M127" s="98"/>
      <c r="N127" s="96" t="s">
        <v>66</v>
      </c>
      <c r="O127" s="97"/>
    </row>
    <row r="128" spans="1:15" s="99" customFormat="1" ht="158.4" x14ac:dyDescent="0.25">
      <c r="A128" s="72" t="str">
        <f>'Scenario Test'!$A$13</f>
        <v>DPT_MWR</v>
      </c>
      <c r="B128" s="14" t="str">
        <f>VLOOKUP(TestCase!A128,'Scenario Test'!$A$5:$B$129,2,0)</f>
        <v>Miscellaneous withdrawal</v>
      </c>
      <c r="C128" s="94" t="s">
        <v>255</v>
      </c>
      <c r="D128" s="94"/>
      <c r="E128" s="75" t="s">
        <v>764</v>
      </c>
      <c r="F128" s="95" t="s">
        <v>126</v>
      </c>
      <c r="G128" s="96" t="s">
        <v>4</v>
      </c>
      <c r="H128" s="97"/>
      <c r="I128" s="133">
        <v>45622</v>
      </c>
      <c r="J128" s="98"/>
      <c r="K128" s="98"/>
      <c r="L128" s="98"/>
      <c r="M128" s="98"/>
      <c r="N128" s="96" t="s">
        <v>66</v>
      </c>
      <c r="O128" s="97"/>
    </row>
    <row r="129" spans="1:15" s="99" customFormat="1" ht="158.4" x14ac:dyDescent="0.25">
      <c r="A129" s="72" t="str">
        <f>'Scenario Test'!$A$13</f>
        <v>DPT_MWR</v>
      </c>
      <c r="B129" s="14" t="str">
        <f>VLOOKUP(TestCase!A129,'Scenario Test'!$A$5:$B$129,2,0)</f>
        <v>Miscellaneous withdrawal</v>
      </c>
      <c r="C129" s="94" t="s">
        <v>256</v>
      </c>
      <c r="D129" s="94"/>
      <c r="E129" s="75" t="s">
        <v>765</v>
      </c>
      <c r="F129" s="95" t="s">
        <v>126</v>
      </c>
      <c r="G129" s="96" t="s">
        <v>4</v>
      </c>
      <c r="H129" s="97"/>
      <c r="I129" s="133">
        <v>45622</v>
      </c>
      <c r="J129" s="98"/>
      <c r="K129" s="98"/>
      <c r="L129" s="98"/>
      <c r="M129" s="98"/>
      <c r="N129" s="96" t="s">
        <v>66</v>
      </c>
      <c r="O129" s="97"/>
    </row>
    <row r="130" spans="1:15" s="99" customFormat="1" ht="158.4" x14ac:dyDescent="0.25">
      <c r="A130" s="72" t="str">
        <f>'Scenario Test'!$A$13</f>
        <v>DPT_MWR</v>
      </c>
      <c r="B130" s="14" t="str">
        <f>VLOOKUP(TestCase!A130,'Scenario Test'!$A$5:$B$129,2,0)</f>
        <v>Miscellaneous withdrawal</v>
      </c>
      <c r="C130" s="94" t="s">
        <v>257</v>
      </c>
      <c r="D130" s="94"/>
      <c r="E130" s="75" t="s">
        <v>766</v>
      </c>
      <c r="F130" s="95" t="s">
        <v>126</v>
      </c>
      <c r="G130" s="96" t="s">
        <v>4</v>
      </c>
      <c r="H130" s="97"/>
      <c r="I130" s="133">
        <v>45622</v>
      </c>
      <c r="J130" s="98"/>
      <c r="K130" s="98"/>
      <c r="L130" s="98"/>
      <c r="M130" s="98"/>
      <c r="N130" s="96" t="s">
        <v>66</v>
      </c>
      <c r="O130" s="97"/>
    </row>
    <row r="131" spans="1:15" s="99" customFormat="1" ht="158.4" x14ac:dyDescent="0.25">
      <c r="A131" s="72" t="str">
        <f>'Scenario Test'!$A$13</f>
        <v>DPT_MWR</v>
      </c>
      <c r="B131" s="14" t="str">
        <f>VLOOKUP(TestCase!A131,'Scenario Test'!$A$5:$B$129,2,0)</f>
        <v>Miscellaneous withdrawal</v>
      </c>
      <c r="C131" s="94" t="s">
        <v>258</v>
      </c>
      <c r="D131" s="94"/>
      <c r="E131" s="75" t="s">
        <v>767</v>
      </c>
      <c r="F131" s="95" t="s">
        <v>126</v>
      </c>
      <c r="G131" s="96" t="s">
        <v>4</v>
      </c>
      <c r="H131" s="97" t="s">
        <v>815</v>
      </c>
      <c r="I131" s="133">
        <v>45622</v>
      </c>
      <c r="J131" s="98"/>
      <c r="K131" s="98"/>
      <c r="L131" s="98"/>
      <c r="M131" s="98"/>
      <c r="N131" s="96" t="s">
        <v>66</v>
      </c>
      <c r="O131" s="97"/>
    </row>
    <row r="132" spans="1:15" s="99" customFormat="1" ht="158.4" x14ac:dyDescent="0.25">
      <c r="A132" s="72" t="str">
        <f>'Scenario Test'!$A$13</f>
        <v>DPT_MWR</v>
      </c>
      <c r="B132" s="14" t="str">
        <f>VLOOKUP(TestCase!A132,'Scenario Test'!$A$5:$B$129,2,0)</f>
        <v>Miscellaneous withdrawal</v>
      </c>
      <c r="C132" s="94" t="s">
        <v>270</v>
      </c>
      <c r="D132" s="94"/>
      <c r="E132" s="75" t="s">
        <v>768</v>
      </c>
      <c r="F132" s="95" t="s">
        <v>126</v>
      </c>
      <c r="G132" s="96" t="s">
        <v>4</v>
      </c>
      <c r="H132" s="97" t="s">
        <v>815</v>
      </c>
      <c r="I132" s="133">
        <v>45622</v>
      </c>
      <c r="J132" s="98"/>
      <c r="K132" s="98"/>
      <c r="L132" s="98"/>
      <c r="M132" s="98"/>
      <c r="N132" s="96" t="s">
        <v>66</v>
      </c>
      <c r="O132" s="97"/>
    </row>
    <row r="133" spans="1:15" s="99" customFormat="1" ht="158.4" x14ac:dyDescent="0.25">
      <c r="A133" s="72" t="str">
        <f>'Scenario Test'!$A$13</f>
        <v>DPT_MWR</v>
      </c>
      <c r="B133" s="14" t="str">
        <f>VLOOKUP(TestCase!A133,'Scenario Test'!$A$5:$B$129,2,0)</f>
        <v>Miscellaneous withdrawal</v>
      </c>
      <c r="C133" s="94" t="s">
        <v>271</v>
      </c>
      <c r="D133" s="94"/>
      <c r="E133" s="75" t="s">
        <v>769</v>
      </c>
      <c r="F133" s="95" t="s">
        <v>126</v>
      </c>
      <c r="G133" s="96" t="s">
        <v>4</v>
      </c>
      <c r="H133" s="97" t="s">
        <v>815</v>
      </c>
      <c r="I133" s="133">
        <v>45622</v>
      </c>
      <c r="J133" s="98"/>
      <c r="K133" s="98"/>
      <c r="L133" s="98"/>
      <c r="M133" s="98"/>
      <c r="N133" s="96" t="s">
        <v>66</v>
      </c>
      <c r="O133" s="97"/>
    </row>
    <row r="134" spans="1:15" s="99" customFormat="1" ht="224.4" x14ac:dyDescent="0.25">
      <c r="A134" s="72" t="str">
        <f>'Scenario Test'!$A$13</f>
        <v>DPT_MWR</v>
      </c>
      <c r="B134" s="14" t="str">
        <f>VLOOKUP(TestCase!A134,'Scenario Test'!$A$5:$B$129,2,0)</f>
        <v>Miscellaneous withdrawal</v>
      </c>
      <c r="C134" s="94" t="s">
        <v>300</v>
      </c>
      <c r="D134" s="94"/>
      <c r="E134" s="75" t="s">
        <v>770</v>
      </c>
      <c r="F134" s="95" t="s">
        <v>126</v>
      </c>
      <c r="G134" s="96" t="s">
        <v>4</v>
      </c>
      <c r="H134" s="97"/>
      <c r="I134" s="133">
        <v>45622</v>
      </c>
      <c r="J134" s="98"/>
      <c r="K134" s="98"/>
      <c r="L134" s="98"/>
      <c r="M134" s="98"/>
      <c r="N134" s="96" t="s">
        <v>66</v>
      </c>
      <c r="O134" s="97"/>
    </row>
    <row r="135" spans="1:15" s="99" customFormat="1" ht="224.4" x14ac:dyDescent="0.25">
      <c r="A135" s="72" t="str">
        <f>'Scenario Test'!$A$13</f>
        <v>DPT_MWR</v>
      </c>
      <c r="B135" s="14" t="str">
        <f>VLOOKUP(TestCase!A135,'Scenario Test'!$A$5:$B$129,2,0)</f>
        <v>Miscellaneous withdrawal</v>
      </c>
      <c r="C135" s="94" t="s">
        <v>333</v>
      </c>
      <c r="D135" s="94"/>
      <c r="E135" s="75" t="s">
        <v>771</v>
      </c>
      <c r="F135" s="95" t="s">
        <v>126</v>
      </c>
      <c r="G135" s="96" t="s">
        <v>4</v>
      </c>
      <c r="H135" s="97"/>
      <c r="I135" s="133">
        <v>45622</v>
      </c>
      <c r="J135" s="98"/>
      <c r="K135" s="98"/>
      <c r="L135" s="98"/>
      <c r="M135" s="98"/>
      <c r="N135" s="96" t="s">
        <v>66</v>
      </c>
      <c r="O135" s="97"/>
    </row>
    <row r="136" spans="1:15" s="99" customFormat="1" ht="224.4" x14ac:dyDescent="0.25">
      <c r="A136" s="72" t="str">
        <f>'Scenario Test'!$A$13</f>
        <v>DPT_MWR</v>
      </c>
      <c r="B136" s="14" t="str">
        <f>VLOOKUP(TestCase!A136,'Scenario Test'!$A$5:$B$129,2,0)</f>
        <v>Miscellaneous withdrawal</v>
      </c>
      <c r="C136" s="94" t="s">
        <v>334</v>
      </c>
      <c r="D136" s="94"/>
      <c r="E136" s="75" t="s">
        <v>772</v>
      </c>
      <c r="F136" s="95" t="s">
        <v>126</v>
      </c>
      <c r="G136" s="96" t="s">
        <v>4</v>
      </c>
      <c r="H136" s="97"/>
      <c r="I136" s="133">
        <v>45622</v>
      </c>
      <c r="J136" s="98"/>
      <c r="K136" s="98"/>
      <c r="L136" s="98"/>
      <c r="M136" s="98"/>
      <c r="N136" s="96" t="s">
        <v>66</v>
      </c>
      <c r="O136" s="97"/>
    </row>
    <row r="137" spans="1:15" s="99" customFormat="1" ht="303.60000000000002" x14ac:dyDescent="0.25">
      <c r="A137" s="72" t="str">
        <f>'Scenario Test'!$A$13</f>
        <v>DPT_MWR</v>
      </c>
      <c r="B137" s="14" t="str">
        <f>VLOOKUP(TestCase!A137,'Scenario Test'!$A$5:$B$129,2,0)</f>
        <v>Miscellaneous withdrawal</v>
      </c>
      <c r="C137" s="94" t="s">
        <v>480</v>
      </c>
      <c r="D137" s="94"/>
      <c r="E137" s="75" t="s">
        <v>822</v>
      </c>
      <c r="F137" s="95" t="s">
        <v>126</v>
      </c>
      <c r="G137" s="96" t="s">
        <v>4</v>
      </c>
      <c r="H137" s="97"/>
      <c r="I137" s="133">
        <v>45622</v>
      </c>
      <c r="J137" s="98"/>
      <c r="K137" s="98"/>
      <c r="L137" s="98"/>
      <c r="M137" s="98"/>
      <c r="N137" s="96" t="s">
        <v>66</v>
      </c>
      <c r="O137" s="97"/>
    </row>
    <row r="138" spans="1:15" s="99" customFormat="1" ht="224.4" x14ac:dyDescent="0.25">
      <c r="A138" s="72" t="str">
        <f>'Scenario Test'!$A$13</f>
        <v>DPT_MWR</v>
      </c>
      <c r="B138" s="14" t="str">
        <f>VLOOKUP(TestCase!A138,'Scenario Test'!$A$5:$B$129,2,0)</f>
        <v>Miscellaneous withdrawal</v>
      </c>
      <c r="C138" s="94" t="s">
        <v>481</v>
      </c>
      <c r="D138" s="94"/>
      <c r="E138" s="75" t="s">
        <v>773</v>
      </c>
      <c r="F138" s="95" t="s">
        <v>126</v>
      </c>
      <c r="G138" s="96" t="s">
        <v>4</v>
      </c>
      <c r="H138" s="97"/>
      <c r="I138" s="133">
        <v>45622</v>
      </c>
      <c r="J138" s="98"/>
      <c r="K138" s="98"/>
      <c r="L138" s="98"/>
      <c r="M138" s="98"/>
      <c r="N138" s="96" t="s">
        <v>66</v>
      </c>
      <c r="O138" s="97"/>
    </row>
    <row r="139" spans="1:15" s="99" customFormat="1" x14ac:dyDescent="0.25">
      <c r="A139" s="72" t="str">
        <f>'Scenario Test'!$A$13</f>
        <v>DPT_MWR</v>
      </c>
      <c r="B139" s="14" t="str">
        <f>VLOOKUP(TestCase!A139,'Scenario Test'!$A$5:$B$129,2,0)</f>
        <v>Miscellaneous withdrawal</v>
      </c>
      <c r="C139" s="94" t="s">
        <v>482</v>
      </c>
      <c r="D139" s="94"/>
      <c r="E139" s="76" t="s">
        <v>120</v>
      </c>
      <c r="F139" s="95" t="s">
        <v>243</v>
      </c>
      <c r="G139" s="96" t="s">
        <v>4</v>
      </c>
      <c r="H139" s="97"/>
      <c r="I139" s="133">
        <v>45622</v>
      </c>
      <c r="J139" s="98"/>
      <c r="K139" s="98"/>
      <c r="L139" s="98"/>
      <c r="M139" s="98"/>
      <c r="N139" s="96" t="s">
        <v>66</v>
      </c>
      <c r="O139" s="97"/>
    </row>
    <row r="140" spans="1:15" x14ac:dyDescent="0.25">
      <c r="A140" s="41" t="str">
        <f>'Scenario Test'!$A$14</f>
        <v>DPT_TRF</v>
      </c>
      <c r="B140" s="42" t="str">
        <f>VLOOKUP(TestCase!A140,'Scenario Test'!$A$5:$B$129,2,0)</f>
        <v>Transfer from deposit account to deposit account</v>
      </c>
      <c r="C140" s="41"/>
      <c r="D140" s="41"/>
      <c r="E140" s="41"/>
      <c r="F140" s="41"/>
      <c r="G140" s="43"/>
      <c r="H140" s="42"/>
      <c r="I140" s="43"/>
      <c r="J140" s="42"/>
      <c r="K140" s="42"/>
      <c r="L140" s="42"/>
      <c r="M140" s="42"/>
      <c r="N140" s="42"/>
      <c r="O140" s="42"/>
    </row>
    <row r="141" spans="1:15" s="99" customFormat="1" ht="224.4" x14ac:dyDescent="0.25">
      <c r="A141" s="72" t="str">
        <f>'Scenario Test'!$A$14</f>
        <v>DPT_TRF</v>
      </c>
      <c r="B141" s="14" t="str">
        <f>VLOOKUP(TestCase!A141,'Scenario Test'!$A$5:$B$129,2,0)</f>
        <v>Transfer from deposit account to deposit account</v>
      </c>
      <c r="C141" s="94" t="s">
        <v>259</v>
      </c>
      <c r="D141" s="94"/>
      <c r="E141" s="73" t="s">
        <v>280</v>
      </c>
      <c r="F141" s="95" t="s">
        <v>243</v>
      </c>
      <c r="G141" s="96" t="s">
        <v>4</v>
      </c>
      <c r="H141" s="97"/>
      <c r="I141" s="133">
        <v>45623</v>
      </c>
      <c r="J141" s="98"/>
      <c r="K141" s="98"/>
      <c r="L141" s="98"/>
      <c r="M141" s="98"/>
      <c r="N141" s="96" t="s">
        <v>66</v>
      </c>
      <c r="O141" s="97"/>
    </row>
    <row r="142" spans="1:15" s="99" customFormat="1" ht="237.6" x14ac:dyDescent="0.25">
      <c r="A142" s="72" t="str">
        <f>'Scenario Test'!$A$14</f>
        <v>DPT_TRF</v>
      </c>
      <c r="B142" s="14" t="str">
        <f>VLOOKUP(TestCase!A142,'Scenario Test'!$A$5:$B$129,2,0)</f>
        <v>Transfer from deposit account to deposit account</v>
      </c>
      <c r="C142" s="94" t="s">
        <v>260</v>
      </c>
      <c r="D142" s="94"/>
      <c r="E142" s="73" t="s">
        <v>281</v>
      </c>
      <c r="F142" s="95" t="s">
        <v>243</v>
      </c>
      <c r="G142" s="96" t="s">
        <v>4</v>
      </c>
      <c r="H142" s="97"/>
      <c r="I142" s="133">
        <v>45623</v>
      </c>
      <c r="J142" s="98"/>
      <c r="K142" s="98"/>
      <c r="L142" s="98"/>
      <c r="M142" s="98"/>
      <c r="N142" s="96" t="s">
        <v>66</v>
      </c>
      <c r="O142" s="97"/>
    </row>
    <row r="143" spans="1:15" s="99" customFormat="1" ht="224.4" x14ac:dyDescent="0.25">
      <c r="A143" s="72" t="str">
        <f>'Scenario Test'!$A$14</f>
        <v>DPT_TRF</v>
      </c>
      <c r="B143" s="14" t="str">
        <f>VLOOKUP(TestCase!A143,'Scenario Test'!$A$5:$B$129,2,0)</f>
        <v>Transfer from deposit account to deposit account</v>
      </c>
      <c r="C143" s="94" t="s">
        <v>261</v>
      </c>
      <c r="D143" s="94"/>
      <c r="E143" s="73" t="s">
        <v>285</v>
      </c>
      <c r="F143" s="95" t="s">
        <v>243</v>
      </c>
      <c r="G143" s="96" t="s">
        <v>4</v>
      </c>
      <c r="H143" s="97"/>
      <c r="I143" s="133">
        <v>45623</v>
      </c>
      <c r="J143" s="98"/>
      <c r="K143" s="98"/>
      <c r="L143" s="98"/>
      <c r="M143" s="98"/>
      <c r="N143" s="96" t="s">
        <v>66</v>
      </c>
      <c r="O143" s="97"/>
    </row>
    <row r="144" spans="1:15" s="99" customFormat="1" ht="250.8" x14ac:dyDescent="0.25">
      <c r="A144" s="72" t="str">
        <f>'Scenario Test'!$A$14</f>
        <v>DPT_TRF</v>
      </c>
      <c r="B144" s="14" t="str">
        <f>VLOOKUP(TestCase!A144,'Scenario Test'!$A$5:$B$129,2,0)</f>
        <v>Transfer from deposit account to deposit account</v>
      </c>
      <c r="C144" s="94" t="s">
        <v>262</v>
      </c>
      <c r="D144" s="94"/>
      <c r="E144" s="73" t="s">
        <v>286</v>
      </c>
      <c r="F144" s="95" t="s">
        <v>243</v>
      </c>
      <c r="G144" s="96" t="s">
        <v>4</v>
      </c>
      <c r="H144" s="97"/>
      <c r="I144" s="133">
        <v>45623</v>
      </c>
      <c r="J144" s="98"/>
      <c r="K144" s="98"/>
      <c r="L144" s="98"/>
      <c r="M144" s="98"/>
      <c r="N144" s="96" t="s">
        <v>66</v>
      </c>
      <c r="O144" s="97"/>
    </row>
    <row r="145" spans="1:15" s="99" customFormat="1" ht="211.2" x14ac:dyDescent="0.25">
      <c r="A145" s="72" t="str">
        <f>'Scenario Test'!$A$14</f>
        <v>DPT_TRF</v>
      </c>
      <c r="B145" s="14" t="str">
        <f>VLOOKUP(TestCase!A145,'Scenario Test'!$A$5:$B$129,2,0)</f>
        <v>Transfer from deposit account to deposit account</v>
      </c>
      <c r="C145" s="94" t="s">
        <v>263</v>
      </c>
      <c r="D145" s="94"/>
      <c r="E145" s="73" t="s">
        <v>282</v>
      </c>
      <c r="F145" s="95" t="s">
        <v>243</v>
      </c>
      <c r="G145" s="96" t="s">
        <v>4</v>
      </c>
      <c r="H145" s="97"/>
      <c r="I145" s="133">
        <v>45623</v>
      </c>
      <c r="J145" s="98"/>
      <c r="K145" s="98"/>
      <c r="L145" s="98"/>
      <c r="M145" s="98"/>
      <c r="N145" s="96" t="s">
        <v>66</v>
      </c>
      <c r="O145" s="97"/>
    </row>
    <row r="146" spans="1:15" s="99" customFormat="1" ht="211.2" x14ac:dyDescent="0.25">
      <c r="A146" s="72" t="str">
        <f>'Scenario Test'!$A$14</f>
        <v>DPT_TRF</v>
      </c>
      <c r="B146" s="14" t="str">
        <f>VLOOKUP(TestCase!A146,'Scenario Test'!$A$5:$B$129,2,0)</f>
        <v>Transfer from deposit account to deposit account</v>
      </c>
      <c r="C146" s="94" t="s">
        <v>264</v>
      </c>
      <c r="D146" s="94"/>
      <c r="E146" s="73" t="s">
        <v>283</v>
      </c>
      <c r="F146" s="95" t="s">
        <v>243</v>
      </c>
      <c r="G146" s="96" t="s">
        <v>4</v>
      </c>
      <c r="H146" s="97"/>
      <c r="I146" s="133">
        <v>45623</v>
      </c>
      <c r="J146" s="98"/>
      <c r="K146" s="98"/>
      <c r="L146" s="98"/>
      <c r="M146" s="98"/>
      <c r="N146" s="96" t="s">
        <v>66</v>
      </c>
      <c r="O146" s="97"/>
    </row>
    <row r="147" spans="1:15" s="99" customFormat="1" ht="224.4" x14ac:dyDescent="0.25">
      <c r="A147" s="72" t="str">
        <f>'Scenario Test'!$A$14</f>
        <v>DPT_TRF</v>
      </c>
      <c r="B147" s="14" t="str">
        <f>VLOOKUP(TestCase!A147,'Scenario Test'!$A$5:$B$129,2,0)</f>
        <v>Transfer from deposit account to deposit account</v>
      </c>
      <c r="C147" s="94" t="s">
        <v>265</v>
      </c>
      <c r="D147" s="94"/>
      <c r="E147" s="73" t="s">
        <v>284</v>
      </c>
      <c r="F147" s="95" t="s">
        <v>243</v>
      </c>
      <c r="G147" s="96" t="s">
        <v>4</v>
      </c>
      <c r="H147" s="97"/>
      <c r="I147" s="133">
        <v>45623</v>
      </c>
      <c r="J147" s="98"/>
      <c r="K147" s="98"/>
      <c r="L147" s="98"/>
      <c r="M147" s="98"/>
      <c r="N147" s="96" t="s">
        <v>66</v>
      </c>
      <c r="O147" s="97"/>
    </row>
    <row r="148" spans="1:15" s="99" customFormat="1" ht="224.4" x14ac:dyDescent="0.25">
      <c r="A148" s="72" t="str">
        <f>'Scenario Test'!$A$14</f>
        <v>DPT_TRF</v>
      </c>
      <c r="B148" s="14" t="str">
        <f>VLOOKUP(TestCase!A148,'Scenario Test'!$A$5:$B$129,2,0)</f>
        <v>Transfer from deposit account to deposit account</v>
      </c>
      <c r="C148" s="94" t="s">
        <v>266</v>
      </c>
      <c r="D148" s="94"/>
      <c r="E148" s="73" t="s">
        <v>287</v>
      </c>
      <c r="F148" s="95" t="s">
        <v>243</v>
      </c>
      <c r="G148" s="96" t="s">
        <v>4</v>
      </c>
      <c r="H148" s="97"/>
      <c r="I148" s="133">
        <v>45623</v>
      </c>
      <c r="J148" s="98"/>
      <c r="K148" s="98"/>
      <c r="L148" s="98"/>
      <c r="M148" s="98"/>
      <c r="N148" s="96" t="s">
        <v>66</v>
      </c>
      <c r="O148" s="97"/>
    </row>
    <row r="149" spans="1:15" s="99" customFormat="1" ht="211.2" x14ac:dyDescent="0.25">
      <c r="A149" s="72" t="str">
        <f>'Scenario Test'!$A$14</f>
        <v>DPT_TRF</v>
      </c>
      <c r="B149" s="14" t="str">
        <f>VLOOKUP(TestCase!A149,'Scenario Test'!$A$5:$B$129,2,0)</f>
        <v>Transfer from deposit account to deposit account</v>
      </c>
      <c r="C149" s="94" t="s">
        <v>267</v>
      </c>
      <c r="D149" s="94"/>
      <c r="E149" s="73" t="s">
        <v>823</v>
      </c>
      <c r="F149" s="95" t="s">
        <v>126</v>
      </c>
      <c r="G149" s="96" t="s">
        <v>4</v>
      </c>
      <c r="H149" s="97"/>
      <c r="I149" s="133">
        <v>45623</v>
      </c>
      <c r="J149" s="98"/>
      <c r="K149" s="98"/>
      <c r="L149" s="98"/>
      <c r="M149" s="98"/>
      <c r="N149" s="96" t="s">
        <v>66</v>
      </c>
      <c r="O149" s="97"/>
    </row>
    <row r="150" spans="1:15" s="99" customFormat="1" ht="198" x14ac:dyDescent="0.25">
      <c r="A150" s="72" t="str">
        <f>'Scenario Test'!$A$14</f>
        <v>DPT_TRF</v>
      </c>
      <c r="B150" s="14" t="str">
        <f>VLOOKUP(TestCase!A150,'Scenario Test'!$A$5:$B$129,2,0)</f>
        <v>Transfer from deposit account to deposit account</v>
      </c>
      <c r="C150" s="94" t="s">
        <v>268</v>
      </c>
      <c r="D150" s="94"/>
      <c r="E150" s="73" t="s">
        <v>824</v>
      </c>
      <c r="F150" s="95" t="s">
        <v>126</v>
      </c>
      <c r="G150" s="96" t="s">
        <v>4</v>
      </c>
      <c r="H150" s="97"/>
      <c r="I150" s="133">
        <v>45623</v>
      </c>
      <c r="J150" s="98"/>
      <c r="K150" s="98"/>
      <c r="L150" s="98"/>
      <c r="M150" s="98"/>
      <c r="N150" s="96" t="s">
        <v>66</v>
      </c>
      <c r="O150" s="97"/>
    </row>
    <row r="151" spans="1:15" s="99" customFormat="1" ht="211.2" x14ac:dyDescent="0.25">
      <c r="A151" s="72" t="str">
        <f>'Scenario Test'!$A$14</f>
        <v>DPT_TRF</v>
      </c>
      <c r="B151" s="14" t="str">
        <f>VLOOKUP(TestCase!A151,'Scenario Test'!$A$5:$B$129,2,0)</f>
        <v>Transfer from deposit account to deposit account</v>
      </c>
      <c r="C151" s="94" t="s">
        <v>269</v>
      </c>
      <c r="D151" s="94"/>
      <c r="E151" s="73" t="s">
        <v>288</v>
      </c>
      <c r="F151" s="95" t="s">
        <v>243</v>
      </c>
      <c r="G151" s="96" t="s">
        <v>4</v>
      </c>
      <c r="H151" s="97"/>
      <c r="I151" s="133">
        <v>45623</v>
      </c>
      <c r="J151" s="98"/>
      <c r="K151" s="98"/>
      <c r="L151" s="98"/>
      <c r="M151" s="98"/>
      <c r="N151" s="96" t="s">
        <v>66</v>
      </c>
      <c r="O151" s="97"/>
    </row>
    <row r="152" spans="1:15" s="99" customFormat="1" ht="224.4" x14ac:dyDescent="0.25">
      <c r="A152" s="72" t="str">
        <f>'Scenario Test'!$A$14</f>
        <v>DPT_TRF</v>
      </c>
      <c r="B152" s="14" t="str">
        <f>VLOOKUP(TestCase!A152,'Scenario Test'!$A$5:$B$129,2,0)</f>
        <v>Transfer from deposit account to deposit account</v>
      </c>
      <c r="C152" s="94" t="s">
        <v>272</v>
      </c>
      <c r="D152" s="94"/>
      <c r="E152" s="73" t="s">
        <v>289</v>
      </c>
      <c r="F152" s="95" t="s">
        <v>243</v>
      </c>
      <c r="G152" s="96" t="s">
        <v>4</v>
      </c>
      <c r="H152" s="97"/>
      <c r="I152" s="133">
        <v>45623</v>
      </c>
      <c r="J152" s="98"/>
      <c r="K152" s="98"/>
      <c r="L152" s="98"/>
      <c r="M152" s="98"/>
      <c r="N152" s="96" t="s">
        <v>66</v>
      </c>
      <c r="O152" s="97"/>
    </row>
    <row r="153" spans="1:15" s="99" customFormat="1" ht="211.2" x14ac:dyDescent="0.25">
      <c r="A153" s="72" t="str">
        <f>'Scenario Test'!$A$14</f>
        <v>DPT_TRF</v>
      </c>
      <c r="B153" s="14" t="str">
        <f>VLOOKUP(TestCase!A153,'Scenario Test'!$A$5:$B$129,2,0)</f>
        <v>Transfer from deposit account to deposit account</v>
      </c>
      <c r="C153" s="94" t="s">
        <v>273</v>
      </c>
      <c r="D153" s="94"/>
      <c r="E153" s="73" t="s">
        <v>292</v>
      </c>
      <c r="F153" s="95" t="s">
        <v>243</v>
      </c>
      <c r="G153" s="96" t="s">
        <v>4</v>
      </c>
      <c r="H153" s="97"/>
      <c r="I153" s="133">
        <v>45623</v>
      </c>
      <c r="J153" s="98"/>
      <c r="K153" s="98"/>
      <c r="L153" s="98"/>
      <c r="M153" s="98"/>
      <c r="N153" s="96" t="s">
        <v>66</v>
      </c>
      <c r="O153" s="97"/>
    </row>
    <row r="154" spans="1:15" s="99" customFormat="1" ht="237.6" x14ac:dyDescent="0.25">
      <c r="A154" s="72" t="str">
        <f>'Scenario Test'!$A$14</f>
        <v>DPT_TRF</v>
      </c>
      <c r="B154" s="14" t="str">
        <f>VLOOKUP(TestCase!A154,'Scenario Test'!$A$5:$B$129,2,0)</f>
        <v>Transfer from deposit account to deposit account</v>
      </c>
      <c r="C154" s="94" t="s">
        <v>274</v>
      </c>
      <c r="D154" s="94"/>
      <c r="E154" s="73" t="s">
        <v>290</v>
      </c>
      <c r="F154" s="95" t="s">
        <v>243</v>
      </c>
      <c r="G154" s="96" t="s">
        <v>4</v>
      </c>
      <c r="H154" s="97"/>
      <c r="I154" s="133">
        <v>45623</v>
      </c>
      <c r="J154" s="98"/>
      <c r="K154" s="98"/>
      <c r="L154" s="98"/>
      <c r="M154" s="98"/>
      <c r="N154" s="96" t="s">
        <v>66</v>
      </c>
      <c r="O154" s="97"/>
    </row>
    <row r="155" spans="1:15" s="99" customFormat="1" ht="198" x14ac:dyDescent="0.25">
      <c r="A155" s="72" t="str">
        <f>'Scenario Test'!$A$14</f>
        <v>DPT_TRF</v>
      </c>
      <c r="B155" s="14" t="str">
        <f>VLOOKUP(TestCase!A155,'Scenario Test'!$A$5:$B$129,2,0)</f>
        <v>Transfer from deposit account to deposit account</v>
      </c>
      <c r="C155" s="94" t="s">
        <v>276</v>
      </c>
      <c r="D155" s="94"/>
      <c r="E155" s="73" t="s">
        <v>293</v>
      </c>
      <c r="F155" s="95" t="s">
        <v>243</v>
      </c>
      <c r="G155" s="96" t="s">
        <v>4</v>
      </c>
      <c r="H155" s="97"/>
      <c r="I155" s="133">
        <v>45623</v>
      </c>
      <c r="J155" s="98"/>
      <c r="K155" s="98"/>
      <c r="L155" s="98"/>
      <c r="M155" s="98"/>
      <c r="N155" s="96" t="s">
        <v>66</v>
      </c>
      <c r="O155" s="97"/>
    </row>
    <row r="156" spans="1:15" s="99" customFormat="1" ht="211.2" x14ac:dyDescent="0.25">
      <c r="A156" s="72" t="str">
        <f>'Scenario Test'!$A$14</f>
        <v>DPT_TRF</v>
      </c>
      <c r="B156" s="14" t="str">
        <f>VLOOKUP(TestCase!A156,'Scenario Test'!$A$5:$B$129,2,0)</f>
        <v>Transfer from deposit account to deposit account</v>
      </c>
      <c r="C156" s="94" t="s">
        <v>277</v>
      </c>
      <c r="D156" s="94"/>
      <c r="E156" s="73" t="s">
        <v>294</v>
      </c>
      <c r="F156" s="95" t="s">
        <v>243</v>
      </c>
      <c r="G156" s="96" t="s">
        <v>4</v>
      </c>
      <c r="H156" s="97"/>
      <c r="I156" s="133">
        <v>45623</v>
      </c>
      <c r="J156" s="98"/>
      <c r="K156" s="98"/>
      <c r="L156" s="98"/>
      <c r="M156" s="98"/>
      <c r="N156" s="96" t="s">
        <v>66</v>
      </c>
      <c r="O156" s="97"/>
    </row>
    <row r="157" spans="1:15" s="99" customFormat="1" ht="211.2" x14ac:dyDescent="0.25">
      <c r="A157" s="72" t="str">
        <f>'Scenario Test'!$A$14</f>
        <v>DPT_TRF</v>
      </c>
      <c r="B157" s="14" t="str">
        <f>VLOOKUP(TestCase!A157,'Scenario Test'!$A$5:$B$129,2,0)</f>
        <v>Transfer from deposit account to deposit account</v>
      </c>
      <c r="C157" s="94" t="s">
        <v>278</v>
      </c>
      <c r="D157" s="94"/>
      <c r="E157" s="73" t="s">
        <v>295</v>
      </c>
      <c r="F157" s="95" t="s">
        <v>243</v>
      </c>
      <c r="G157" s="96" t="s">
        <v>4</v>
      </c>
      <c r="H157" s="97"/>
      <c r="I157" s="133">
        <v>45623</v>
      </c>
      <c r="J157" s="98"/>
      <c r="K157" s="98"/>
      <c r="L157" s="98"/>
      <c r="M157" s="98"/>
      <c r="N157" s="96" t="s">
        <v>66</v>
      </c>
      <c r="O157" s="97"/>
    </row>
    <row r="158" spans="1:15" s="99" customFormat="1" ht="211.2" x14ac:dyDescent="0.25">
      <c r="A158" s="72" t="str">
        <f>'Scenario Test'!$A$14</f>
        <v>DPT_TRF</v>
      </c>
      <c r="B158" s="14" t="str">
        <f>VLOOKUP(TestCase!A158,'Scenario Test'!$A$5:$B$129,2,0)</f>
        <v>Transfer from deposit account to deposit account</v>
      </c>
      <c r="C158" s="94" t="s">
        <v>301</v>
      </c>
      <c r="D158" s="94"/>
      <c r="E158" s="73" t="s">
        <v>296</v>
      </c>
      <c r="F158" s="95" t="s">
        <v>243</v>
      </c>
      <c r="G158" s="96" t="s">
        <v>4</v>
      </c>
      <c r="H158" s="97"/>
      <c r="I158" s="133">
        <v>45623</v>
      </c>
      <c r="J158" s="98"/>
      <c r="K158" s="98"/>
      <c r="L158" s="98"/>
      <c r="M158" s="98"/>
      <c r="N158" s="96" t="s">
        <v>66</v>
      </c>
      <c r="O158" s="97"/>
    </row>
    <row r="159" spans="1:15" s="99" customFormat="1" ht="237.6" x14ac:dyDescent="0.25">
      <c r="A159" s="72" t="str">
        <f>'Scenario Test'!$A$14</f>
        <v>DPT_TRF</v>
      </c>
      <c r="B159" s="14" t="str">
        <f>VLOOKUP(TestCase!A159,'Scenario Test'!$A$5:$B$129,2,0)</f>
        <v>Transfer from deposit account to deposit account</v>
      </c>
      <c r="C159" s="94" t="s">
        <v>279</v>
      </c>
      <c r="D159" s="94"/>
      <c r="E159" s="73" t="s">
        <v>297</v>
      </c>
      <c r="F159" s="75" t="s">
        <v>156</v>
      </c>
      <c r="G159" s="96" t="s">
        <v>4</v>
      </c>
      <c r="H159" s="97"/>
      <c r="I159" s="133">
        <v>45623</v>
      </c>
      <c r="J159" s="98"/>
      <c r="K159" s="98"/>
      <c r="L159" s="98"/>
      <c r="M159" s="98"/>
      <c r="N159" s="96" t="s">
        <v>66</v>
      </c>
      <c r="O159" s="97"/>
    </row>
    <row r="160" spans="1:15" s="99" customFormat="1" x14ac:dyDescent="0.25">
      <c r="A160" s="72" t="str">
        <f>'Scenario Test'!$A$14</f>
        <v>DPT_TRF</v>
      </c>
      <c r="B160" s="14" t="str">
        <f>VLOOKUP(TestCase!A160,'Scenario Test'!$A$5:$B$129,2,0)</f>
        <v>Transfer from deposit account to deposit account</v>
      </c>
      <c r="C160" s="94" t="s">
        <v>302</v>
      </c>
      <c r="D160" s="94" t="str">
        <f>C159</f>
        <v>TRF_001_021</v>
      </c>
      <c r="E160" s="78" t="s">
        <v>157</v>
      </c>
      <c r="F160" s="95" t="s">
        <v>243</v>
      </c>
      <c r="G160" s="96" t="s">
        <v>4</v>
      </c>
      <c r="H160" s="97"/>
      <c r="I160" s="133">
        <v>45623</v>
      </c>
      <c r="J160" s="98"/>
      <c r="K160" s="98"/>
      <c r="L160" s="98"/>
      <c r="M160" s="98"/>
      <c r="N160" s="96" t="s">
        <v>66</v>
      </c>
      <c r="O160" s="97"/>
    </row>
    <row r="161" spans="1:15" s="99" customFormat="1" ht="237.6" x14ac:dyDescent="0.25">
      <c r="A161" s="72" t="str">
        <f>'Scenario Test'!$A$14</f>
        <v>DPT_TRF</v>
      </c>
      <c r="B161" s="14" t="str">
        <f>VLOOKUP(TestCase!A161,'Scenario Test'!$A$5:$B$129,2,0)</f>
        <v>Transfer from deposit account to deposit account</v>
      </c>
      <c r="C161" s="94" t="s">
        <v>303</v>
      </c>
      <c r="D161" s="94"/>
      <c r="E161" s="73" t="s">
        <v>298</v>
      </c>
      <c r="F161" s="75" t="s">
        <v>156</v>
      </c>
      <c r="G161" s="96" t="s">
        <v>4</v>
      </c>
      <c r="H161" s="97"/>
      <c r="I161" s="133">
        <v>45623</v>
      </c>
      <c r="J161" s="98"/>
      <c r="K161" s="98"/>
      <c r="L161" s="98"/>
      <c r="M161" s="98"/>
      <c r="N161" s="96" t="s">
        <v>66</v>
      </c>
      <c r="O161" s="97"/>
    </row>
    <row r="162" spans="1:15" s="99" customFormat="1" x14ac:dyDescent="0.25">
      <c r="A162" s="72" t="str">
        <f>'Scenario Test'!$A$14</f>
        <v>DPT_TRF</v>
      </c>
      <c r="B162" s="14" t="str">
        <f>VLOOKUP(TestCase!A162,'Scenario Test'!$A$5:$B$129,2,0)</f>
        <v>Transfer from deposit account to deposit account</v>
      </c>
      <c r="C162" s="94" t="s">
        <v>304</v>
      </c>
      <c r="D162" s="94" t="str">
        <f>C161</f>
        <v>TRF_001_023</v>
      </c>
      <c r="E162" s="78" t="s">
        <v>157</v>
      </c>
      <c r="F162" s="95" t="s">
        <v>243</v>
      </c>
      <c r="G162" s="96" t="s">
        <v>4</v>
      </c>
      <c r="H162" s="97"/>
      <c r="I162" s="133">
        <v>45623</v>
      </c>
      <c r="J162" s="98"/>
      <c r="K162" s="98"/>
      <c r="L162" s="98"/>
      <c r="M162" s="98"/>
      <c r="N162" s="96" t="s">
        <v>66</v>
      </c>
      <c r="O162" s="97"/>
    </row>
    <row r="163" spans="1:15" s="99" customFormat="1" ht="26.4" x14ac:dyDescent="0.25">
      <c r="A163" s="72" t="str">
        <f>'Scenario Test'!$A$14</f>
        <v>DPT_TRF</v>
      </c>
      <c r="B163" s="14" t="str">
        <f>VLOOKUP(TestCase!A163,'Scenario Test'!$A$5:$B$129,2,0)</f>
        <v>Transfer from deposit account to deposit account</v>
      </c>
      <c r="C163" s="94" t="s">
        <v>305</v>
      </c>
      <c r="D163" s="94"/>
      <c r="E163" s="79" t="s">
        <v>158</v>
      </c>
      <c r="F163" s="95" t="s">
        <v>243</v>
      </c>
      <c r="G163" s="96" t="s">
        <v>4</v>
      </c>
      <c r="H163" s="97"/>
      <c r="I163" s="133">
        <v>45623</v>
      </c>
      <c r="J163" s="98"/>
      <c r="K163" s="98"/>
      <c r="L163" s="98"/>
      <c r="M163" s="98"/>
      <c r="N163" s="96" t="s">
        <v>66</v>
      </c>
      <c r="O163" s="97"/>
    </row>
    <row r="164" spans="1:15" s="99" customFormat="1" ht="303.60000000000002" x14ac:dyDescent="0.25">
      <c r="A164" s="72" t="str">
        <f>'Scenario Test'!$A$14</f>
        <v>DPT_TRF</v>
      </c>
      <c r="B164" s="14" t="str">
        <f>VLOOKUP(TestCase!A164,'Scenario Test'!$A$5:$B$129,2,0)</f>
        <v>Transfer from deposit account to deposit account</v>
      </c>
      <c r="C164" s="94" t="s">
        <v>306</v>
      </c>
      <c r="D164" s="94"/>
      <c r="E164" s="82" t="s">
        <v>299</v>
      </c>
      <c r="F164" s="95" t="s">
        <v>243</v>
      </c>
      <c r="G164" s="96" t="s">
        <v>4</v>
      </c>
      <c r="H164" s="97"/>
      <c r="I164" s="133">
        <v>45623</v>
      </c>
      <c r="J164" s="98"/>
      <c r="K164" s="98"/>
      <c r="L164" s="98"/>
      <c r="M164" s="98"/>
      <c r="N164" s="96" t="s">
        <v>66</v>
      </c>
      <c r="O164" s="97"/>
    </row>
    <row r="165" spans="1:15" s="99" customFormat="1" x14ac:dyDescent="0.25">
      <c r="A165" s="72" t="str">
        <f>'Scenario Test'!$A$14</f>
        <v>DPT_TRF</v>
      </c>
      <c r="B165" s="14" t="str">
        <f>VLOOKUP(TestCase!A165,'Scenario Test'!$A$5:$B$129,2,0)</f>
        <v>Transfer from deposit account to deposit account</v>
      </c>
      <c r="C165" s="94" t="s">
        <v>307</v>
      </c>
      <c r="D165" s="94"/>
      <c r="E165" s="76" t="s">
        <v>774</v>
      </c>
      <c r="F165" s="95" t="s">
        <v>126</v>
      </c>
      <c r="G165" s="96" t="s">
        <v>4</v>
      </c>
      <c r="H165" s="97"/>
      <c r="I165" s="133">
        <v>45623</v>
      </c>
      <c r="J165" s="98"/>
      <c r="K165" s="98"/>
      <c r="L165" s="98"/>
      <c r="M165" s="98"/>
      <c r="N165" s="96" t="s">
        <v>66</v>
      </c>
      <c r="O165" s="97"/>
    </row>
    <row r="166" spans="1:15" s="99" customFormat="1" x14ac:dyDescent="0.25">
      <c r="A166" s="72" t="str">
        <f>'Scenario Test'!$A$14</f>
        <v>DPT_TRF</v>
      </c>
      <c r="B166" s="14" t="str">
        <f>VLOOKUP(TestCase!A166,'Scenario Test'!$A$5:$B$129,2,0)</f>
        <v>Transfer from deposit account to deposit account</v>
      </c>
      <c r="C166" s="94" t="s">
        <v>308</v>
      </c>
      <c r="D166" s="94"/>
      <c r="E166" s="76" t="s">
        <v>775</v>
      </c>
      <c r="F166" s="95" t="s">
        <v>126</v>
      </c>
      <c r="G166" s="96" t="s">
        <v>4</v>
      </c>
      <c r="H166" s="97"/>
      <c r="I166" s="133">
        <v>45623</v>
      </c>
      <c r="J166" s="98"/>
      <c r="K166" s="98"/>
      <c r="L166" s="98"/>
      <c r="M166" s="98"/>
      <c r="N166" s="96" t="s">
        <v>66</v>
      </c>
      <c r="O166" s="97"/>
    </row>
    <row r="167" spans="1:15" s="99" customFormat="1" x14ac:dyDescent="0.25">
      <c r="A167" s="72" t="str">
        <f>'Scenario Test'!$A$14</f>
        <v>DPT_TRF</v>
      </c>
      <c r="B167" s="14" t="str">
        <f>VLOOKUP(TestCase!A167,'Scenario Test'!$A$5:$B$129,2,0)</f>
        <v>Transfer from deposit account to deposit account</v>
      </c>
      <c r="C167" s="94" t="s">
        <v>309</v>
      </c>
      <c r="D167" s="94"/>
      <c r="E167" s="76" t="s">
        <v>776</v>
      </c>
      <c r="F167" s="95" t="s">
        <v>126</v>
      </c>
      <c r="G167" s="96" t="s">
        <v>4</v>
      </c>
      <c r="H167" s="97"/>
      <c r="I167" s="133">
        <v>45623</v>
      </c>
      <c r="J167" s="98"/>
      <c r="K167" s="98"/>
      <c r="L167" s="98"/>
      <c r="M167" s="98"/>
      <c r="N167" s="96" t="s">
        <v>66</v>
      </c>
      <c r="O167" s="97"/>
    </row>
    <row r="168" spans="1:15" s="99" customFormat="1" x14ac:dyDescent="0.25">
      <c r="A168" s="72" t="str">
        <f>'Scenario Test'!$A$14</f>
        <v>DPT_TRF</v>
      </c>
      <c r="B168" s="14" t="str">
        <f>VLOOKUP(TestCase!A168,'Scenario Test'!$A$5:$B$129,2,0)</f>
        <v>Transfer from deposit account to deposit account</v>
      </c>
      <c r="C168" s="94" t="s">
        <v>310</v>
      </c>
      <c r="D168" s="94"/>
      <c r="E168" s="76" t="s">
        <v>777</v>
      </c>
      <c r="F168" s="95" t="s">
        <v>126</v>
      </c>
      <c r="G168" s="96" t="s">
        <v>4</v>
      </c>
      <c r="H168" s="97"/>
      <c r="I168" s="133">
        <v>45623</v>
      </c>
      <c r="J168" s="98"/>
      <c r="K168" s="98"/>
      <c r="L168" s="98"/>
      <c r="M168" s="98"/>
      <c r="N168" s="96" t="s">
        <v>66</v>
      </c>
      <c r="O168" s="97"/>
    </row>
    <row r="169" spans="1:15" s="99" customFormat="1" x14ac:dyDescent="0.25">
      <c r="A169" s="72" t="str">
        <f>'Scenario Test'!$A$14</f>
        <v>DPT_TRF</v>
      </c>
      <c r="B169" s="14" t="str">
        <f>VLOOKUP(TestCase!A169,'Scenario Test'!$A$5:$B$129,2,0)</f>
        <v>Transfer from deposit account to deposit account</v>
      </c>
      <c r="C169" s="94" t="s">
        <v>311</v>
      </c>
      <c r="D169" s="94"/>
      <c r="E169" s="76" t="s">
        <v>778</v>
      </c>
      <c r="F169" s="95" t="s">
        <v>126</v>
      </c>
      <c r="G169" s="96" t="s">
        <v>4</v>
      </c>
      <c r="H169" s="97"/>
      <c r="I169" s="133">
        <v>45623</v>
      </c>
      <c r="J169" s="98"/>
      <c r="K169" s="98"/>
      <c r="L169" s="98"/>
      <c r="M169" s="98"/>
      <c r="N169" s="96" t="s">
        <v>66</v>
      </c>
      <c r="O169" s="97"/>
    </row>
    <row r="170" spans="1:15" s="99" customFormat="1" ht="171.6" x14ac:dyDescent="0.25">
      <c r="A170" s="72" t="str">
        <f>'Scenario Test'!$A$14</f>
        <v>DPT_TRF</v>
      </c>
      <c r="B170" s="14" t="str">
        <f>VLOOKUP(TestCase!A170,'Scenario Test'!$A$5:$B$129,2,0)</f>
        <v>Transfer from deposit account to deposit account</v>
      </c>
      <c r="C170" s="94" t="s">
        <v>312</v>
      </c>
      <c r="D170" s="94"/>
      <c r="E170" s="73" t="s">
        <v>779</v>
      </c>
      <c r="F170" s="95" t="s">
        <v>126</v>
      </c>
      <c r="G170" s="96" t="s">
        <v>4</v>
      </c>
      <c r="H170" s="97"/>
      <c r="I170" s="133">
        <v>45623</v>
      </c>
      <c r="J170" s="98"/>
      <c r="K170" s="98"/>
      <c r="L170" s="98"/>
      <c r="M170" s="98"/>
      <c r="N170" s="96" t="s">
        <v>66</v>
      </c>
      <c r="O170" s="97"/>
    </row>
    <row r="171" spans="1:15" s="99" customFormat="1" ht="171.6" x14ac:dyDescent="0.25">
      <c r="A171" s="72" t="str">
        <f>'Scenario Test'!$A$14</f>
        <v>DPT_TRF</v>
      </c>
      <c r="B171" s="14" t="str">
        <f>VLOOKUP(TestCase!A171,'Scenario Test'!$A$5:$B$129,2,0)</f>
        <v>Transfer from deposit account to deposit account</v>
      </c>
      <c r="C171" s="94" t="s">
        <v>313</v>
      </c>
      <c r="D171" s="94"/>
      <c r="E171" s="73" t="s">
        <v>780</v>
      </c>
      <c r="F171" s="95" t="s">
        <v>126</v>
      </c>
      <c r="G171" s="96" t="s">
        <v>4</v>
      </c>
      <c r="H171" s="97"/>
      <c r="I171" s="133">
        <v>45623</v>
      </c>
      <c r="J171" s="98"/>
      <c r="K171" s="98"/>
      <c r="L171" s="98"/>
      <c r="M171" s="98"/>
      <c r="N171" s="96" t="s">
        <v>66</v>
      </c>
      <c r="O171" s="97"/>
    </row>
    <row r="172" spans="1:15" s="99" customFormat="1" ht="171.6" x14ac:dyDescent="0.25">
      <c r="A172" s="72" t="str">
        <f>'Scenario Test'!$A$14</f>
        <v>DPT_TRF</v>
      </c>
      <c r="B172" s="14" t="str">
        <f>VLOOKUP(TestCase!A172,'Scenario Test'!$A$5:$B$129,2,0)</f>
        <v>Transfer from deposit account to deposit account</v>
      </c>
      <c r="C172" s="94" t="s">
        <v>314</v>
      </c>
      <c r="D172" s="94"/>
      <c r="E172" s="73" t="s">
        <v>781</v>
      </c>
      <c r="F172" s="95" t="s">
        <v>126</v>
      </c>
      <c r="G172" s="96" t="s">
        <v>4</v>
      </c>
      <c r="H172" s="97"/>
      <c r="I172" s="133">
        <v>45623</v>
      </c>
      <c r="J172" s="98"/>
      <c r="K172" s="98"/>
      <c r="L172" s="98"/>
      <c r="M172" s="98"/>
      <c r="N172" s="96" t="s">
        <v>66</v>
      </c>
      <c r="O172" s="97"/>
    </row>
    <row r="173" spans="1:15" s="99" customFormat="1" ht="145.19999999999999" x14ac:dyDescent="0.25">
      <c r="A173" s="72" t="str">
        <f>'Scenario Test'!$A$14</f>
        <v>DPT_TRF</v>
      </c>
      <c r="B173" s="14" t="str">
        <f>VLOOKUP(TestCase!A173,'Scenario Test'!$A$5:$B$129,2,0)</f>
        <v>Transfer from deposit account to deposit account</v>
      </c>
      <c r="C173" s="94" t="s">
        <v>315</v>
      </c>
      <c r="D173" s="94"/>
      <c r="E173" s="75" t="s">
        <v>782</v>
      </c>
      <c r="F173" s="95" t="s">
        <v>126</v>
      </c>
      <c r="G173" s="96" t="s">
        <v>4</v>
      </c>
      <c r="H173" s="97"/>
      <c r="I173" s="133">
        <v>45623</v>
      </c>
      <c r="J173" s="98"/>
      <c r="K173" s="98"/>
      <c r="L173" s="98"/>
      <c r="M173" s="98"/>
      <c r="N173" s="96" t="s">
        <v>66</v>
      </c>
      <c r="O173" s="97"/>
    </row>
    <row r="174" spans="1:15" s="99" customFormat="1" ht="158.4" x14ac:dyDescent="0.25">
      <c r="A174" s="72" t="str">
        <f>'Scenario Test'!$A$14</f>
        <v>DPT_TRF</v>
      </c>
      <c r="B174" s="14" t="str">
        <f>VLOOKUP(TestCase!A174,'Scenario Test'!$A$5:$B$129,2,0)</f>
        <v>Transfer from deposit account to deposit account</v>
      </c>
      <c r="C174" s="94" t="s">
        <v>316</v>
      </c>
      <c r="D174" s="94"/>
      <c r="E174" s="75" t="s">
        <v>783</v>
      </c>
      <c r="F174" s="95" t="s">
        <v>126</v>
      </c>
      <c r="G174" s="96" t="s">
        <v>4</v>
      </c>
      <c r="H174" s="97"/>
      <c r="I174" s="133">
        <v>45623</v>
      </c>
      <c r="J174" s="98"/>
      <c r="K174" s="98"/>
      <c r="L174" s="98"/>
      <c r="M174" s="98"/>
      <c r="N174" s="96" t="s">
        <v>66</v>
      </c>
      <c r="O174" s="97"/>
    </row>
    <row r="175" spans="1:15" s="99" customFormat="1" ht="132" x14ac:dyDescent="0.25">
      <c r="A175" s="72" t="str">
        <f>'Scenario Test'!$A$14</f>
        <v>DPT_TRF</v>
      </c>
      <c r="B175" s="14" t="str">
        <f>VLOOKUP(TestCase!A175,'Scenario Test'!$A$5:$B$129,2,0)</f>
        <v>Transfer from deposit account to deposit account</v>
      </c>
      <c r="C175" s="94" t="s">
        <v>317</v>
      </c>
      <c r="D175" s="94"/>
      <c r="E175" s="75" t="s">
        <v>784</v>
      </c>
      <c r="F175" s="95" t="s">
        <v>126</v>
      </c>
      <c r="G175" s="96" t="s">
        <v>4</v>
      </c>
      <c r="H175" s="97"/>
      <c r="I175" s="133">
        <v>45623</v>
      </c>
      <c r="J175" s="98"/>
      <c r="K175" s="98"/>
      <c r="L175" s="98"/>
      <c r="M175" s="98"/>
      <c r="N175" s="96" t="s">
        <v>66</v>
      </c>
      <c r="O175" s="97"/>
    </row>
    <row r="176" spans="1:15" s="99" customFormat="1" ht="158.4" x14ac:dyDescent="0.25">
      <c r="A176" s="72" t="str">
        <f>'Scenario Test'!$A$14</f>
        <v>DPT_TRF</v>
      </c>
      <c r="B176" s="14" t="str">
        <f>VLOOKUP(TestCase!A176,'Scenario Test'!$A$5:$B$129,2,0)</f>
        <v>Transfer from deposit account to deposit account</v>
      </c>
      <c r="C176" s="94" t="s">
        <v>318</v>
      </c>
      <c r="D176" s="94"/>
      <c r="E176" s="75" t="s">
        <v>785</v>
      </c>
      <c r="F176" s="95" t="s">
        <v>126</v>
      </c>
      <c r="G176" s="96" t="s">
        <v>4</v>
      </c>
      <c r="H176" s="97"/>
      <c r="I176" s="133">
        <v>45623</v>
      </c>
      <c r="J176" s="98"/>
      <c r="K176" s="98"/>
      <c r="L176" s="98"/>
      <c r="M176" s="98"/>
      <c r="N176" s="96" t="s">
        <v>66</v>
      </c>
      <c r="O176" s="97"/>
    </row>
    <row r="177" spans="1:15" s="99" customFormat="1" ht="145.19999999999999" x14ac:dyDescent="0.25">
      <c r="A177" s="72" t="str">
        <f>'Scenario Test'!$A$14</f>
        <v>DPT_TRF</v>
      </c>
      <c r="B177" s="14" t="str">
        <f>VLOOKUP(TestCase!A177,'Scenario Test'!$A$5:$B$129,2,0)</f>
        <v>Transfer from deposit account to deposit account</v>
      </c>
      <c r="C177" s="94" t="s">
        <v>319</v>
      </c>
      <c r="D177" s="94"/>
      <c r="E177" s="75" t="s">
        <v>786</v>
      </c>
      <c r="F177" s="95" t="s">
        <v>126</v>
      </c>
      <c r="G177" s="96" t="s">
        <v>4</v>
      </c>
      <c r="H177" s="97"/>
      <c r="I177" s="133">
        <v>45623</v>
      </c>
      <c r="J177" s="98"/>
      <c r="K177" s="98"/>
      <c r="L177" s="98"/>
      <c r="M177" s="98"/>
      <c r="N177" s="96" t="s">
        <v>66</v>
      </c>
      <c r="O177" s="97"/>
    </row>
    <row r="178" spans="1:15" s="99" customFormat="1" ht="224.4" x14ac:dyDescent="0.25">
      <c r="A178" s="72" t="str">
        <f>'Scenario Test'!$A$14</f>
        <v>DPT_TRF</v>
      </c>
      <c r="B178" s="14" t="str">
        <f>VLOOKUP(TestCase!A178,'Scenario Test'!$A$5:$B$129,2,0)</f>
        <v>Transfer from deposit account to deposit account</v>
      </c>
      <c r="C178" s="94" t="s">
        <v>320</v>
      </c>
      <c r="D178" s="94"/>
      <c r="E178" s="75" t="s">
        <v>787</v>
      </c>
      <c r="F178" s="95" t="s">
        <v>126</v>
      </c>
      <c r="G178" s="96" t="s">
        <v>4</v>
      </c>
      <c r="H178" s="97"/>
      <c r="I178" s="133">
        <v>45623</v>
      </c>
      <c r="J178" s="98"/>
      <c r="K178" s="98"/>
      <c r="L178" s="98"/>
      <c r="M178" s="98"/>
      <c r="N178" s="96" t="s">
        <v>66</v>
      </c>
      <c r="O178" s="97"/>
    </row>
    <row r="179" spans="1:15" s="99" customFormat="1" ht="224.4" x14ac:dyDescent="0.25">
      <c r="A179" s="72" t="str">
        <f>'Scenario Test'!$A$14</f>
        <v>DPT_TRF</v>
      </c>
      <c r="B179" s="14" t="str">
        <f>VLOOKUP(TestCase!A179,'Scenario Test'!$A$5:$B$129,2,0)</f>
        <v>Transfer from deposit account to deposit account</v>
      </c>
      <c r="C179" s="94" t="s">
        <v>321</v>
      </c>
      <c r="D179" s="94"/>
      <c r="E179" s="75" t="s">
        <v>788</v>
      </c>
      <c r="F179" s="95" t="s">
        <v>126</v>
      </c>
      <c r="G179" s="96" t="s">
        <v>4</v>
      </c>
      <c r="H179" s="97"/>
      <c r="I179" s="133">
        <v>45623</v>
      </c>
      <c r="J179" s="98"/>
      <c r="K179" s="98"/>
      <c r="L179" s="98"/>
      <c r="M179" s="98"/>
      <c r="N179" s="96" t="s">
        <v>66</v>
      </c>
      <c r="O179" s="97"/>
    </row>
    <row r="180" spans="1:15" s="99" customFormat="1" ht="224.4" x14ac:dyDescent="0.25">
      <c r="A180" s="72" t="str">
        <f>'Scenario Test'!$A$14</f>
        <v>DPT_TRF</v>
      </c>
      <c r="B180" s="14" t="str">
        <f>VLOOKUP(TestCase!A180,'Scenario Test'!$A$5:$B$129,2,0)</f>
        <v>Transfer from deposit account to deposit account</v>
      </c>
      <c r="C180" s="94" t="s">
        <v>322</v>
      </c>
      <c r="D180" s="94"/>
      <c r="E180" s="75" t="s">
        <v>789</v>
      </c>
      <c r="F180" s="95" t="s">
        <v>126</v>
      </c>
      <c r="G180" s="96" t="s">
        <v>4</v>
      </c>
      <c r="H180" s="97"/>
      <c r="I180" s="133">
        <v>45623</v>
      </c>
      <c r="J180" s="98"/>
      <c r="K180" s="98"/>
      <c r="L180" s="98"/>
      <c r="M180" s="98"/>
      <c r="N180" s="96" t="s">
        <v>66</v>
      </c>
      <c r="O180" s="97"/>
    </row>
    <row r="181" spans="1:15" s="99" customFormat="1" ht="224.4" x14ac:dyDescent="0.25">
      <c r="A181" s="72" t="str">
        <f>'Scenario Test'!$A$14</f>
        <v>DPT_TRF</v>
      </c>
      <c r="B181" s="14" t="str">
        <f>VLOOKUP(TestCase!A181,'Scenario Test'!$A$5:$B$129,2,0)</f>
        <v>Transfer from deposit account to deposit account</v>
      </c>
      <c r="C181" s="94" t="s">
        <v>323</v>
      </c>
      <c r="D181" s="94"/>
      <c r="E181" s="75" t="s">
        <v>790</v>
      </c>
      <c r="F181" s="95" t="s">
        <v>126</v>
      </c>
      <c r="G181" s="96" t="s">
        <v>4</v>
      </c>
      <c r="H181" s="97"/>
      <c r="I181" s="133">
        <v>45623</v>
      </c>
      <c r="J181" s="98"/>
      <c r="K181" s="98"/>
      <c r="L181" s="98"/>
      <c r="M181" s="98"/>
      <c r="N181" s="96" t="s">
        <v>66</v>
      </c>
      <c r="O181" s="97"/>
    </row>
    <row r="182" spans="1:15" s="99" customFormat="1" ht="224.4" x14ac:dyDescent="0.25">
      <c r="A182" s="72" t="str">
        <f>'Scenario Test'!$A$14</f>
        <v>DPT_TRF</v>
      </c>
      <c r="B182" s="14" t="str">
        <f>VLOOKUP(TestCase!A182,'Scenario Test'!$A$5:$B$129,2,0)</f>
        <v>Transfer from deposit account to deposit account</v>
      </c>
      <c r="C182" s="94" t="s">
        <v>331</v>
      </c>
      <c r="D182" s="94"/>
      <c r="E182" s="75" t="s">
        <v>791</v>
      </c>
      <c r="F182" s="95" t="s">
        <v>126</v>
      </c>
      <c r="G182" s="96" t="s">
        <v>4</v>
      </c>
      <c r="H182" s="97"/>
      <c r="I182" s="133">
        <v>45623</v>
      </c>
      <c r="J182" s="98"/>
      <c r="K182" s="98"/>
      <c r="L182" s="98"/>
      <c r="M182" s="98"/>
      <c r="N182" s="96" t="s">
        <v>66</v>
      </c>
      <c r="O182" s="97"/>
    </row>
    <row r="183" spans="1:15" s="99" customFormat="1" x14ac:dyDescent="0.25">
      <c r="A183" s="72" t="str">
        <f>'Scenario Test'!$A$14</f>
        <v>DPT_TRF</v>
      </c>
      <c r="B183" s="14" t="str">
        <f>VLOOKUP(TestCase!A183,'Scenario Test'!$A$5:$B$129,2,0)</f>
        <v>Transfer from deposit account to deposit account</v>
      </c>
      <c r="C183" s="94" t="s">
        <v>332</v>
      </c>
      <c r="D183" s="94"/>
      <c r="E183" s="76" t="s">
        <v>120</v>
      </c>
      <c r="F183" s="95" t="s">
        <v>243</v>
      </c>
      <c r="G183" s="96" t="s">
        <v>4</v>
      </c>
      <c r="H183" s="97"/>
      <c r="I183" s="133">
        <v>45623</v>
      </c>
      <c r="J183" s="98"/>
      <c r="K183" s="98"/>
      <c r="L183" s="98"/>
      <c r="M183" s="98"/>
      <c r="N183" s="96" t="s">
        <v>66</v>
      </c>
      <c r="O183" s="97"/>
    </row>
    <row r="184" spans="1:15" x14ac:dyDescent="0.25">
      <c r="A184" s="41" t="str">
        <f>'Scenario Test'!$A$26</f>
        <v>DPT_CLS_001</v>
      </c>
      <c r="B184" s="42" t="str">
        <f>VLOOKUP(TestCase!A184,'Scenario Test'!$A$5:$B$129,2,0)</f>
        <v>Close deposit account</v>
      </c>
      <c r="C184" s="41"/>
      <c r="D184" s="41"/>
      <c r="E184" s="41"/>
      <c r="F184" s="41"/>
      <c r="G184" s="43"/>
      <c r="H184" s="42"/>
      <c r="I184" s="43"/>
      <c r="J184" s="42"/>
      <c r="K184" s="42"/>
      <c r="L184" s="42"/>
      <c r="M184" s="42"/>
      <c r="N184" s="42"/>
      <c r="O184" s="42"/>
    </row>
    <row r="185" spans="1:15" s="99" customFormat="1" ht="184.8" x14ac:dyDescent="0.25">
      <c r="A185" s="72" t="str">
        <f>'Scenario Test'!$A$26</f>
        <v>DPT_CLS_001</v>
      </c>
      <c r="B185" s="14" t="str">
        <f>VLOOKUP(TestCase!A185,'Scenario Test'!$A$5:$B$129,2,0)</f>
        <v>Close deposit account</v>
      </c>
      <c r="C185" s="94" t="s">
        <v>330</v>
      </c>
      <c r="D185" s="94"/>
      <c r="E185" s="75" t="s">
        <v>350</v>
      </c>
      <c r="F185" s="95" t="s">
        <v>243</v>
      </c>
      <c r="G185" s="96" t="s">
        <v>4</v>
      </c>
      <c r="H185" s="97"/>
      <c r="I185" s="133">
        <v>45618</v>
      </c>
      <c r="J185" s="98"/>
      <c r="K185" s="98"/>
      <c r="L185" s="98"/>
      <c r="M185" s="98"/>
      <c r="N185" s="96" t="s">
        <v>66</v>
      </c>
      <c r="O185" s="97"/>
    </row>
    <row r="186" spans="1:15" s="99" customFormat="1" ht="184.8" x14ac:dyDescent="0.25">
      <c r="A186" s="72" t="str">
        <f>'Scenario Test'!$A$26</f>
        <v>DPT_CLS_001</v>
      </c>
      <c r="B186" s="14" t="str">
        <f>VLOOKUP(TestCase!A186,'Scenario Test'!$A$5:$B$129,2,0)</f>
        <v>Close deposit account</v>
      </c>
      <c r="C186" s="94" t="s">
        <v>337</v>
      </c>
      <c r="D186" s="94"/>
      <c r="E186" s="75" t="s">
        <v>351</v>
      </c>
      <c r="F186" s="75" t="s">
        <v>156</v>
      </c>
      <c r="G186" s="96" t="s">
        <v>4</v>
      </c>
      <c r="H186" s="97"/>
      <c r="I186" s="133">
        <v>45618</v>
      </c>
      <c r="J186" s="98"/>
      <c r="K186" s="98"/>
      <c r="L186" s="98"/>
      <c r="M186" s="98"/>
      <c r="N186" s="96" t="s">
        <v>66</v>
      </c>
      <c r="O186" s="97"/>
    </row>
    <row r="187" spans="1:15" s="99" customFormat="1" x14ac:dyDescent="0.25">
      <c r="A187" s="72" t="str">
        <f>'Scenario Test'!$A$26</f>
        <v>DPT_CLS_001</v>
      </c>
      <c r="B187" s="14" t="str">
        <f>VLOOKUP(TestCase!A187,'Scenario Test'!$A$5:$B$129,2,0)</f>
        <v>Close deposit account</v>
      </c>
      <c r="C187" s="94" t="s">
        <v>338</v>
      </c>
      <c r="D187" s="94" t="str">
        <f>C186</f>
        <v>CLS_001_002</v>
      </c>
      <c r="E187" s="78" t="s">
        <v>157</v>
      </c>
      <c r="F187" s="95" t="s">
        <v>243</v>
      </c>
      <c r="G187" s="96" t="s">
        <v>4</v>
      </c>
      <c r="H187" s="97"/>
      <c r="I187" s="133">
        <v>45618</v>
      </c>
      <c r="J187" s="98"/>
      <c r="K187" s="98"/>
      <c r="L187" s="98"/>
      <c r="M187" s="98"/>
      <c r="N187" s="96" t="s">
        <v>66</v>
      </c>
      <c r="O187" s="97"/>
    </row>
    <row r="188" spans="1:15" s="99" customFormat="1" ht="198" x14ac:dyDescent="0.25">
      <c r="A188" s="72" t="str">
        <f>'Scenario Test'!$A$26</f>
        <v>DPT_CLS_001</v>
      </c>
      <c r="B188" s="14" t="str">
        <f>VLOOKUP(TestCase!A188,'Scenario Test'!$A$5:$B$129,2,0)</f>
        <v>Close deposit account</v>
      </c>
      <c r="C188" s="94" t="s">
        <v>339</v>
      </c>
      <c r="D188" s="94"/>
      <c r="E188" s="75" t="s">
        <v>349</v>
      </c>
      <c r="F188" s="95" t="s">
        <v>243</v>
      </c>
      <c r="G188" s="96" t="s">
        <v>4</v>
      </c>
      <c r="H188" s="97"/>
      <c r="I188" s="133">
        <v>45618</v>
      </c>
      <c r="J188" s="98"/>
      <c r="K188" s="98"/>
      <c r="L188" s="98"/>
      <c r="M188" s="98"/>
      <c r="N188" s="96" t="s">
        <v>66</v>
      </c>
      <c r="O188" s="97"/>
    </row>
    <row r="189" spans="1:15" s="99" customFormat="1" ht="198" x14ac:dyDescent="0.25">
      <c r="A189" s="72" t="str">
        <f>'Scenario Test'!$A$26</f>
        <v>DPT_CLS_001</v>
      </c>
      <c r="B189" s="14" t="str">
        <f>VLOOKUP(TestCase!A189,'Scenario Test'!$A$5:$B$129,2,0)</f>
        <v>Close deposit account</v>
      </c>
      <c r="C189" s="94" t="s">
        <v>340</v>
      </c>
      <c r="D189" s="94"/>
      <c r="E189" s="75" t="s">
        <v>347</v>
      </c>
      <c r="F189" s="95" t="s">
        <v>243</v>
      </c>
      <c r="G189" s="96" t="s">
        <v>4</v>
      </c>
      <c r="H189" s="97"/>
      <c r="I189" s="133">
        <v>45618</v>
      </c>
      <c r="J189" s="98"/>
      <c r="K189" s="98"/>
      <c r="L189" s="98"/>
      <c r="M189" s="98"/>
      <c r="N189" s="96" t="s">
        <v>66</v>
      </c>
      <c r="O189" s="97"/>
    </row>
    <row r="190" spans="1:15" s="99" customFormat="1" ht="198" x14ac:dyDescent="0.25">
      <c r="A190" s="72" t="str">
        <f>'Scenario Test'!$A$26</f>
        <v>DPT_CLS_001</v>
      </c>
      <c r="B190" s="14" t="str">
        <f>VLOOKUP(TestCase!A190,'Scenario Test'!$A$5:$B$129,2,0)</f>
        <v>Close deposit account</v>
      </c>
      <c r="C190" s="94" t="s">
        <v>341</v>
      </c>
      <c r="D190" s="94"/>
      <c r="E190" s="75" t="s">
        <v>346</v>
      </c>
      <c r="F190" s="95" t="s">
        <v>243</v>
      </c>
      <c r="G190" s="96" t="s">
        <v>4</v>
      </c>
      <c r="H190" s="97"/>
      <c r="I190" s="133">
        <v>45618</v>
      </c>
      <c r="J190" s="98"/>
      <c r="K190" s="98"/>
      <c r="L190" s="98"/>
      <c r="M190" s="98"/>
      <c r="N190" s="96" t="s">
        <v>66</v>
      </c>
      <c r="O190" s="97"/>
    </row>
    <row r="191" spans="1:15" s="99" customFormat="1" ht="198" x14ac:dyDescent="0.25">
      <c r="A191" s="72" t="str">
        <f>'Scenario Test'!$A$26</f>
        <v>DPT_CLS_001</v>
      </c>
      <c r="B191" s="14" t="str">
        <f>VLOOKUP(TestCase!A191,'Scenario Test'!$A$5:$B$129,2,0)</f>
        <v>Close deposit account</v>
      </c>
      <c r="C191" s="94" t="s">
        <v>342</v>
      </c>
      <c r="D191" s="94"/>
      <c r="E191" s="75" t="s">
        <v>352</v>
      </c>
      <c r="F191" s="75" t="s">
        <v>156</v>
      </c>
      <c r="G191" s="96" t="s">
        <v>4</v>
      </c>
      <c r="H191" s="97"/>
      <c r="I191" s="133">
        <v>45618</v>
      </c>
      <c r="J191" s="98"/>
      <c r="K191" s="98"/>
      <c r="L191" s="98"/>
      <c r="M191" s="98"/>
      <c r="N191" s="96" t="s">
        <v>66</v>
      </c>
      <c r="O191" s="97"/>
    </row>
    <row r="192" spans="1:15" s="99" customFormat="1" x14ac:dyDescent="0.25">
      <c r="A192" s="72" t="str">
        <f>'Scenario Test'!$A$26</f>
        <v>DPT_CLS_001</v>
      </c>
      <c r="B192" s="14" t="str">
        <f>VLOOKUP(TestCase!A192,'Scenario Test'!$A$5:$B$129,2,0)</f>
        <v>Close deposit account</v>
      </c>
      <c r="C192" s="94" t="s">
        <v>343</v>
      </c>
      <c r="D192" s="94" t="str">
        <f>C191</f>
        <v>CLS_001_007</v>
      </c>
      <c r="E192" s="78" t="s">
        <v>157</v>
      </c>
      <c r="F192" s="95" t="s">
        <v>243</v>
      </c>
      <c r="G192" s="96" t="s">
        <v>4</v>
      </c>
      <c r="H192" s="97"/>
      <c r="I192" s="133">
        <v>45618</v>
      </c>
      <c r="J192" s="98"/>
      <c r="K192" s="98"/>
      <c r="L192" s="98"/>
      <c r="M192" s="98"/>
      <c r="N192" s="96" t="s">
        <v>66</v>
      </c>
      <c r="O192" s="97"/>
    </row>
    <row r="193" spans="1:15" s="99" customFormat="1" ht="198" x14ac:dyDescent="0.25">
      <c r="A193" s="72" t="str">
        <f>'Scenario Test'!$A$26</f>
        <v>DPT_CLS_001</v>
      </c>
      <c r="B193" s="14" t="str">
        <f>VLOOKUP(TestCase!A193,'Scenario Test'!$A$5:$B$129,2,0)</f>
        <v>Close deposit account</v>
      </c>
      <c r="C193" s="94" t="s">
        <v>344</v>
      </c>
      <c r="D193" s="94"/>
      <c r="E193" s="75" t="s">
        <v>345</v>
      </c>
      <c r="F193" s="75" t="s">
        <v>156</v>
      </c>
      <c r="G193" s="96" t="s">
        <v>4</v>
      </c>
      <c r="H193" s="97"/>
      <c r="I193" s="133">
        <v>45618</v>
      </c>
      <c r="J193" s="98"/>
      <c r="K193" s="98"/>
      <c r="L193" s="98"/>
      <c r="M193" s="98"/>
      <c r="N193" s="96" t="s">
        <v>66</v>
      </c>
      <c r="O193" s="97"/>
    </row>
    <row r="194" spans="1:15" s="99" customFormat="1" x14ac:dyDescent="0.25">
      <c r="A194" s="72" t="str">
        <f>'Scenario Test'!$A$26</f>
        <v>DPT_CLS_001</v>
      </c>
      <c r="B194" s="14" t="str">
        <f>VLOOKUP(TestCase!A194,'Scenario Test'!$A$5:$B$129,2,0)</f>
        <v>Close deposit account</v>
      </c>
      <c r="C194" s="94" t="s">
        <v>353</v>
      </c>
      <c r="D194" s="94" t="str">
        <f>C193</f>
        <v>CLS_001_009</v>
      </c>
      <c r="E194" s="78" t="s">
        <v>157</v>
      </c>
      <c r="F194" s="95" t="s">
        <v>243</v>
      </c>
      <c r="G194" s="96" t="s">
        <v>4</v>
      </c>
      <c r="H194" s="97"/>
      <c r="I194" s="133">
        <v>45618</v>
      </c>
      <c r="J194" s="98"/>
      <c r="K194" s="98"/>
      <c r="L194" s="98"/>
      <c r="M194" s="98"/>
      <c r="N194" s="96" t="s">
        <v>66</v>
      </c>
      <c r="O194" s="97"/>
    </row>
    <row r="195" spans="1:15" s="99" customFormat="1" ht="198" x14ac:dyDescent="0.25">
      <c r="A195" s="72" t="str">
        <f>'Scenario Test'!$A$26</f>
        <v>DPT_CLS_001</v>
      </c>
      <c r="B195" s="14" t="str">
        <f>VLOOKUP(TestCase!A195,'Scenario Test'!$A$5:$B$129,2,0)</f>
        <v>Close deposit account</v>
      </c>
      <c r="C195" s="94" t="s">
        <v>354</v>
      </c>
      <c r="D195" s="94"/>
      <c r="E195" s="75" t="s">
        <v>348</v>
      </c>
      <c r="F195" s="75" t="s">
        <v>156</v>
      </c>
      <c r="G195" s="96" t="s">
        <v>4</v>
      </c>
      <c r="H195" s="97"/>
      <c r="I195" s="133">
        <v>45618</v>
      </c>
      <c r="J195" s="98"/>
      <c r="K195" s="98"/>
      <c r="L195" s="98"/>
      <c r="M195" s="98"/>
      <c r="N195" s="96" t="s">
        <v>66</v>
      </c>
      <c r="O195" s="97"/>
    </row>
    <row r="196" spans="1:15" s="99" customFormat="1" x14ac:dyDescent="0.25">
      <c r="A196" s="72" t="str">
        <f>'Scenario Test'!$A$26</f>
        <v>DPT_CLS_001</v>
      </c>
      <c r="B196" s="14" t="str">
        <f>VLOOKUP(TestCase!A196,'Scenario Test'!$A$5:$B$129,2,0)</f>
        <v>Close deposit account</v>
      </c>
      <c r="C196" s="94" t="s">
        <v>355</v>
      </c>
      <c r="D196" s="94" t="str">
        <f>C195</f>
        <v>CLS_001_011</v>
      </c>
      <c r="E196" s="78" t="s">
        <v>157</v>
      </c>
      <c r="F196" s="95" t="s">
        <v>243</v>
      </c>
      <c r="G196" s="96" t="s">
        <v>4</v>
      </c>
      <c r="H196" s="97"/>
      <c r="I196" s="133">
        <v>45618</v>
      </c>
      <c r="J196" s="98"/>
      <c r="K196" s="98"/>
      <c r="L196" s="98"/>
      <c r="M196" s="98"/>
      <c r="N196" s="96" t="s">
        <v>66</v>
      </c>
      <c r="O196" s="97"/>
    </row>
    <row r="197" spans="1:15" s="99" customFormat="1" ht="250.8" x14ac:dyDescent="0.25">
      <c r="A197" s="72" t="str">
        <f>'Scenario Test'!$A$26</f>
        <v>DPT_CLS_001</v>
      </c>
      <c r="B197" s="14" t="str">
        <f>VLOOKUP(TestCase!A197,'Scenario Test'!$A$5:$B$129,2,0)</f>
        <v>Close deposit account</v>
      </c>
      <c r="C197" s="94" t="s">
        <v>356</v>
      </c>
      <c r="D197" s="94"/>
      <c r="E197" s="75" t="s">
        <v>397</v>
      </c>
      <c r="F197" s="75"/>
      <c r="G197" s="96" t="s">
        <v>4</v>
      </c>
      <c r="H197" s="97"/>
      <c r="I197" s="133">
        <v>45618</v>
      </c>
      <c r="J197" s="98"/>
      <c r="K197" s="98"/>
      <c r="L197" s="98"/>
      <c r="M197" s="98"/>
      <c r="N197" s="96" t="s">
        <v>66</v>
      </c>
      <c r="O197" s="97"/>
    </row>
    <row r="198" spans="1:15" s="99" customFormat="1" ht="250.8" x14ac:dyDescent="0.25">
      <c r="A198" s="72" t="str">
        <f>'Scenario Test'!$A$26</f>
        <v>DPT_CLS_001</v>
      </c>
      <c r="B198" s="14" t="str">
        <f>VLOOKUP(TestCase!A198,'Scenario Test'!$A$5:$B$129,2,0)</f>
        <v>Close deposit account</v>
      </c>
      <c r="C198" s="94" t="s">
        <v>357</v>
      </c>
      <c r="D198" s="94"/>
      <c r="E198" s="75" t="s">
        <v>398</v>
      </c>
      <c r="F198" s="75"/>
      <c r="G198" s="96" t="s">
        <v>4</v>
      </c>
      <c r="H198" s="97"/>
      <c r="I198" s="133">
        <v>45618</v>
      </c>
      <c r="J198" s="98"/>
      <c r="K198" s="98"/>
      <c r="L198" s="98"/>
      <c r="M198" s="98"/>
      <c r="N198" s="96" t="s">
        <v>66</v>
      </c>
      <c r="O198" s="97"/>
    </row>
    <row r="199" spans="1:15" s="99" customFormat="1" ht="250.8" x14ac:dyDescent="0.25">
      <c r="A199" s="72" t="str">
        <f>'Scenario Test'!$A$26</f>
        <v>DPT_CLS_001</v>
      </c>
      <c r="B199" s="14" t="str">
        <f>VLOOKUP(TestCase!A199,'Scenario Test'!$A$5:$B$129,2,0)</f>
        <v>Close deposit account</v>
      </c>
      <c r="C199" s="94" t="s">
        <v>358</v>
      </c>
      <c r="D199" s="94"/>
      <c r="E199" s="75" t="s">
        <v>399</v>
      </c>
      <c r="F199" s="75"/>
      <c r="G199" s="96" t="s">
        <v>4</v>
      </c>
      <c r="H199" s="97"/>
      <c r="I199" s="133">
        <v>45618</v>
      </c>
      <c r="J199" s="98"/>
      <c r="K199" s="98"/>
      <c r="L199" s="98"/>
      <c r="M199" s="98"/>
      <c r="N199" s="96" t="s">
        <v>66</v>
      </c>
      <c r="O199" s="97"/>
    </row>
    <row r="200" spans="1:15" s="99" customFormat="1" ht="250.8" x14ac:dyDescent="0.25">
      <c r="A200" s="72" t="str">
        <f>'Scenario Test'!$A$26</f>
        <v>DPT_CLS_001</v>
      </c>
      <c r="B200" s="14" t="str">
        <f>VLOOKUP(TestCase!A200,'Scenario Test'!$A$5:$B$129,2,0)</f>
        <v>Close deposit account</v>
      </c>
      <c r="C200" s="94" t="s">
        <v>359</v>
      </c>
      <c r="D200" s="94"/>
      <c r="E200" s="75" t="s">
        <v>400</v>
      </c>
      <c r="F200" s="75"/>
      <c r="G200" s="96" t="s">
        <v>4</v>
      </c>
      <c r="H200" s="97"/>
      <c r="I200" s="133">
        <v>45618</v>
      </c>
      <c r="J200" s="98"/>
      <c r="K200" s="98"/>
      <c r="L200" s="98"/>
      <c r="M200" s="98"/>
      <c r="N200" s="96" t="s">
        <v>66</v>
      </c>
      <c r="O200" s="97"/>
    </row>
    <row r="201" spans="1:15" s="99" customFormat="1" ht="250.8" x14ac:dyDescent="0.25">
      <c r="A201" s="72" t="str">
        <f>'Scenario Test'!$A$26</f>
        <v>DPT_CLS_001</v>
      </c>
      <c r="B201" s="14" t="str">
        <f>VLOOKUP(TestCase!A201,'Scenario Test'!$A$5:$B$129,2,0)</f>
        <v>Close deposit account</v>
      </c>
      <c r="C201" s="94" t="s">
        <v>360</v>
      </c>
      <c r="D201" s="94"/>
      <c r="E201" s="75" t="s">
        <v>401</v>
      </c>
      <c r="F201" s="75"/>
      <c r="G201" s="96" t="s">
        <v>4</v>
      </c>
      <c r="H201" s="97"/>
      <c r="I201" s="133">
        <v>45618</v>
      </c>
      <c r="J201" s="98"/>
      <c r="K201" s="98"/>
      <c r="L201" s="98"/>
      <c r="M201" s="98"/>
      <c r="N201" s="96" t="s">
        <v>66</v>
      </c>
      <c r="O201" s="97"/>
    </row>
    <row r="202" spans="1:15" s="99" customFormat="1" ht="250.8" x14ac:dyDescent="0.25">
      <c r="A202" s="72" t="str">
        <f>'Scenario Test'!$A$26</f>
        <v>DPT_CLS_001</v>
      </c>
      <c r="B202" s="14" t="str">
        <f>VLOOKUP(TestCase!A202,'Scenario Test'!$A$5:$B$129,2,0)</f>
        <v>Close deposit account</v>
      </c>
      <c r="C202" s="94" t="s">
        <v>361</v>
      </c>
      <c r="D202" s="94"/>
      <c r="E202" s="75" t="s">
        <v>402</v>
      </c>
      <c r="F202" s="75"/>
      <c r="G202" s="96" t="s">
        <v>4</v>
      </c>
      <c r="H202" s="97"/>
      <c r="I202" s="133">
        <v>45618</v>
      </c>
      <c r="J202" s="98"/>
      <c r="K202" s="98"/>
      <c r="L202" s="98"/>
      <c r="M202" s="98"/>
      <c r="N202" s="96" t="s">
        <v>66</v>
      </c>
      <c r="O202" s="97"/>
    </row>
    <row r="203" spans="1:15" s="99" customFormat="1" ht="237.6" x14ac:dyDescent="0.25">
      <c r="A203" s="72" t="str">
        <f>'Scenario Test'!$A$26</f>
        <v>DPT_CLS_001</v>
      </c>
      <c r="B203" s="14" t="str">
        <f>VLOOKUP(TestCase!A203,'Scenario Test'!$A$5:$B$129,2,0)</f>
        <v>Close deposit account</v>
      </c>
      <c r="C203" s="94" t="s">
        <v>362</v>
      </c>
      <c r="D203" s="94"/>
      <c r="E203" s="75" t="s">
        <v>429</v>
      </c>
      <c r="F203" s="75"/>
      <c r="G203" s="96" t="s">
        <v>4</v>
      </c>
      <c r="H203" s="97"/>
      <c r="I203" s="133">
        <v>45618</v>
      </c>
      <c r="J203" s="98"/>
      <c r="K203" s="98"/>
      <c r="L203" s="98"/>
      <c r="M203" s="98"/>
      <c r="N203" s="96" t="s">
        <v>66</v>
      </c>
      <c r="O203" s="97"/>
    </row>
    <row r="204" spans="1:15" s="99" customFormat="1" ht="237.6" x14ac:dyDescent="0.25">
      <c r="A204" s="72" t="str">
        <f>'Scenario Test'!$A$26</f>
        <v>DPT_CLS_001</v>
      </c>
      <c r="B204" s="14" t="str">
        <f>VLOOKUP(TestCase!A204,'Scenario Test'!$A$5:$B$129,2,0)</f>
        <v>Close deposit account</v>
      </c>
      <c r="C204" s="94" t="s">
        <v>363</v>
      </c>
      <c r="D204" s="94"/>
      <c r="E204" s="75" t="s">
        <v>429</v>
      </c>
      <c r="F204" s="75"/>
      <c r="G204" s="96" t="s">
        <v>4</v>
      </c>
      <c r="H204" s="97"/>
      <c r="I204" s="133">
        <v>45618</v>
      </c>
      <c r="J204" s="98"/>
      <c r="K204" s="98"/>
      <c r="L204" s="98"/>
      <c r="M204" s="98"/>
      <c r="N204" s="96" t="s">
        <v>66</v>
      </c>
      <c r="O204" s="97"/>
    </row>
    <row r="205" spans="1:15" s="99" customFormat="1" ht="237.6" x14ac:dyDescent="0.25">
      <c r="A205" s="72" t="str">
        <f>'Scenario Test'!$A$26</f>
        <v>DPT_CLS_001</v>
      </c>
      <c r="B205" s="14" t="str">
        <f>VLOOKUP(TestCase!A205,'Scenario Test'!$A$5:$B$129,2,0)</f>
        <v>Close deposit account</v>
      </c>
      <c r="C205" s="94" t="s">
        <v>364</v>
      </c>
      <c r="D205" s="94"/>
      <c r="E205" s="75" t="s">
        <v>430</v>
      </c>
      <c r="F205" s="75"/>
      <c r="G205" s="96" t="s">
        <v>4</v>
      </c>
      <c r="H205" s="97"/>
      <c r="I205" s="133">
        <v>45618</v>
      </c>
      <c r="J205" s="98"/>
      <c r="K205" s="98"/>
      <c r="L205" s="98"/>
      <c r="M205" s="98"/>
      <c r="N205" s="96" t="s">
        <v>66</v>
      </c>
      <c r="O205" s="97"/>
    </row>
    <row r="206" spans="1:15" s="99" customFormat="1" ht="237.6" x14ac:dyDescent="0.25">
      <c r="A206" s="72" t="str">
        <f>'Scenario Test'!$A$26</f>
        <v>DPT_CLS_001</v>
      </c>
      <c r="B206" s="14" t="str">
        <f>VLOOKUP(TestCase!A206,'Scenario Test'!$A$5:$B$129,2,0)</f>
        <v>Close deposit account</v>
      </c>
      <c r="C206" s="94" t="s">
        <v>365</v>
      </c>
      <c r="D206" s="94"/>
      <c r="E206" s="75" t="s">
        <v>430</v>
      </c>
      <c r="F206" s="75"/>
      <c r="G206" s="96" t="s">
        <v>4</v>
      </c>
      <c r="H206" s="97"/>
      <c r="I206" s="133">
        <v>45618</v>
      </c>
      <c r="J206" s="98"/>
      <c r="K206" s="98"/>
      <c r="L206" s="98"/>
      <c r="M206" s="98"/>
      <c r="N206" s="96" t="s">
        <v>66</v>
      </c>
      <c r="O206" s="97"/>
    </row>
    <row r="207" spans="1:15" s="99" customFormat="1" x14ac:dyDescent="0.25">
      <c r="A207" s="72" t="str">
        <f>'Scenario Test'!$A$26</f>
        <v>DPT_CLS_001</v>
      </c>
      <c r="B207" s="14" t="str">
        <f>VLOOKUP(TestCase!A207,'Scenario Test'!$A$5:$B$129,2,0)</f>
        <v>Close deposit account</v>
      </c>
      <c r="C207" s="94" t="s">
        <v>366</v>
      </c>
      <c r="D207" s="94"/>
      <c r="E207" s="76" t="s">
        <v>729</v>
      </c>
      <c r="F207" s="75"/>
      <c r="G207" s="96" t="s">
        <v>4</v>
      </c>
      <c r="H207" s="97"/>
      <c r="I207" s="133">
        <v>45618</v>
      </c>
      <c r="J207" s="98"/>
      <c r="K207" s="98"/>
      <c r="L207" s="98"/>
      <c r="M207" s="98"/>
      <c r="N207" s="96" t="s">
        <v>66</v>
      </c>
      <c r="O207" s="97"/>
    </row>
    <row r="208" spans="1:15" s="99" customFormat="1" x14ac:dyDescent="0.25">
      <c r="A208" s="72" t="str">
        <f>'Scenario Test'!$A$26</f>
        <v>DPT_CLS_001</v>
      </c>
      <c r="B208" s="14" t="str">
        <f>VLOOKUP(TestCase!A208,'Scenario Test'!$A$5:$B$129,2,0)</f>
        <v>Close deposit account</v>
      </c>
      <c r="C208" s="94" t="s">
        <v>367</v>
      </c>
      <c r="D208" s="94"/>
      <c r="E208" s="76" t="s">
        <v>730</v>
      </c>
      <c r="F208" s="75"/>
      <c r="G208" s="96" t="s">
        <v>4</v>
      </c>
      <c r="H208" s="97"/>
      <c r="I208" s="133">
        <v>45618</v>
      </c>
      <c r="J208" s="98"/>
      <c r="K208" s="98"/>
      <c r="L208" s="98"/>
      <c r="M208" s="98"/>
      <c r="N208" s="96" t="s">
        <v>66</v>
      </c>
      <c r="O208" s="97"/>
    </row>
    <row r="209" spans="1:15" s="99" customFormat="1" x14ac:dyDescent="0.25">
      <c r="A209" s="72" t="str">
        <f>'Scenario Test'!$A$26</f>
        <v>DPT_CLS_001</v>
      </c>
      <c r="B209" s="14" t="str">
        <f>VLOOKUP(TestCase!A209,'Scenario Test'!$A$5:$B$129,2,0)</f>
        <v>Close deposit account</v>
      </c>
      <c r="C209" s="94" t="s">
        <v>368</v>
      </c>
      <c r="D209" s="94"/>
      <c r="E209" s="76" t="s">
        <v>792</v>
      </c>
      <c r="F209" s="75"/>
      <c r="G209" s="96" t="s">
        <v>4</v>
      </c>
      <c r="H209" s="97"/>
      <c r="I209" s="133">
        <v>45618</v>
      </c>
      <c r="J209" s="98"/>
      <c r="K209" s="98"/>
      <c r="L209" s="98"/>
      <c r="M209" s="98"/>
      <c r="N209" s="96" t="s">
        <v>66</v>
      </c>
      <c r="O209" s="97"/>
    </row>
    <row r="210" spans="1:15" s="99" customFormat="1" ht="118.8" x14ac:dyDescent="0.25">
      <c r="A210" s="72" t="str">
        <f>'Scenario Test'!$A$26</f>
        <v>DPT_CLS_001</v>
      </c>
      <c r="B210" s="14" t="str">
        <f>VLOOKUP(TestCase!A210,'Scenario Test'!$A$5:$B$129,2,0)</f>
        <v>Close deposit account</v>
      </c>
      <c r="C210" s="94" t="s">
        <v>369</v>
      </c>
      <c r="D210" s="94"/>
      <c r="E210" s="75" t="s">
        <v>793</v>
      </c>
      <c r="F210" s="75"/>
      <c r="G210" s="96" t="s">
        <v>4</v>
      </c>
      <c r="H210" s="97"/>
      <c r="I210" s="133">
        <v>45618</v>
      </c>
      <c r="J210" s="98"/>
      <c r="K210" s="98"/>
      <c r="L210" s="98"/>
      <c r="M210" s="98"/>
      <c r="N210" s="96" t="s">
        <v>66</v>
      </c>
      <c r="O210" s="97"/>
    </row>
    <row r="211" spans="1:15" s="99" customFormat="1" ht="118.8" x14ac:dyDescent="0.25">
      <c r="A211" s="72" t="str">
        <f>'Scenario Test'!$A$26</f>
        <v>DPT_CLS_001</v>
      </c>
      <c r="B211" s="14" t="str">
        <f>VLOOKUP(TestCase!A211,'Scenario Test'!$A$5:$B$129,2,0)</f>
        <v>Close deposit account</v>
      </c>
      <c r="C211" s="94" t="s">
        <v>370</v>
      </c>
      <c r="D211" s="94"/>
      <c r="E211" s="75" t="s">
        <v>794</v>
      </c>
      <c r="F211" s="75"/>
      <c r="G211" s="96" t="s">
        <v>4</v>
      </c>
      <c r="H211" s="97"/>
      <c r="I211" s="133">
        <v>45618</v>
      </c>
      <c r="J211" s="98"/>
      <c r="K211" s="98"/>
      <c r="L211" s="98"/>
      <c r="M211" s="98"/>
      <c r="N211" s="96" t="s">
        <v>66</v>
      </c>
      <c r="O211" s="97"/>
    </row>
    <row r="212" spans="1:15" s="99" customFormat="1" ht="118.8" x14ac:dyDescent="0.25">
      <c r="A212" s="72" t="str">
        <f>'Scenario Test'!$A$26</f>
        <v>DPT_CLS_001</v>
      </c>
      <c r="B212" s="14" t="str">
        <f>VLOOKUP(TestCase!A212,'Scenario Test'!$A$5:$B$129,2,0)</f>
        <v>Close deposit account</v>
      </c>
      <c r="C212" s="94" t="s">
        <v>371</v>
      </c>
      <c r="D212" s="94"/>
      <c r="E212" s="75" t="s">
        <v>795</v>
      </c>
      <c r="F212" s="75"/>
      <c r="G212" s="96" t="s">
        <v>4</v>
      </c>
      <c r="H212" s="97"/>
      <c r="I212" s="133">
        <v>45618</v>
      </c>
      <c r="J212" s="98"/>
      <c r="K212" s="98"/>
      <c r="L212" s="98"/>
      <c r="M212" s="98"/>
      <c r="N212" s="96" t="s">
        <v>66</v>
      </c>
      <c r="O212" s="97"/>
    </row>
    <row r="213" spans="1:15" s="99" customFormat="1" ht="132" x14ac:dyDescent="0.25">
      <c r="A213" s="72" t="str">
        <f>'Scenario Test'!$A$26</f>
        <v>DPT_CLS_001</v>
      </c>
      <c r="B213" s="14" t="str">
        <f>VLOOKUP(TestCase!A213,'Scenario Test'!$A$5:$B$129,2,0)</f>
        <v>Close deposit account</v>
      </c>
      <c r="C213" s="94" t="s">
        <v>372</v>
      </c>
      <c r="D213" s="94"/>
      <c r="E213" s="75" t="s">
        <v>796</v>
      </c>
      <c r="F213" s="75"/>
      <c r="G213" s="96" t="s">
        <v>4</v>
      </c>
      <c r="H213" s="97"/>
      <c r="I213" s="133">
        <v>45618</v>
      </c>
      <c r="J213" s="98"/>
      <c r="K213" s="98"/>
      <c r="L213" s="98"/>
      <c r="M213" s="98"/>
      <c r="N213" s="96" t="s">
        <v>66</v>
      </c>
      <c r="O213" s="97"/>
    </row>
    <row r="214" spans="1:15" s="99" customFormat="1" ht="118.8" x14ac:dyDescent="0.25">
      <c r="A214" s="72" t="str">
        <f>'Scenario Test'!$A$26</f>
        <v>DPT_CLS_001</v>
      </c>
      <c r="B214" s="14" t="str">
        <f>VLOOKUP(TestCase!A214,'Scenario Test'!$A$5:$B$129,2,0)</f>
        <v>Close deposit account</v>
      </c>
      <c r="C214" s="94" t="s">
        <v>373</v>
      </c>
      <c r="D214" s="94"/>
      <c r="E214" s="75" t="s">
        <v>797</v>
      </c>
      <c r="F214" s="75"/>
      <c r="G214" s="96" t="s">
        <v>4</v>
      </c>
      <c r="H214" s="97"/>
      <c r="I214" s="133">
        <v>45618</v>
      </c>
      <c r="J214" s="98"/>
      <c r="K214" s="98"/>
      <c r="L214" s="98"/>
      <c r="M214" s="98"/>
      <c r="N214" s="96" t="s">
        <v>66</v>
      </c>
      <c r="O214" s="97"/>
    </row>
    <row r="215" spans="1:15" s="99" customFormat="1" ht="118.8" x14ac:dyDescent="0.25">
      <c r="A215" s="72" t="str">
        <f>'Scenario Test'!$A$26</f>
        <v>DPT_CLS_001</v>
      </c>
      <c r="B215" s="14" t="str">
        <f>VLOOKUP(TestCase!A215,'Scenario Test'!$A$5:$B$129,2,0)</f>
        <v>Close deposit account</v>
      </c>
      <c r="C215" s="94" t="s">
        <v>374</v>
      </c>
      <c r="D215" s="94"/>
      <c r="E215" s="75" t="s">
        <v>798</v>
      </c>
      <c r="F215" s="75"/>
      <c r="G215" s="96" t="s">
        <v>4</v>
      </c>
      <c r="H215" s="97"/>
      <c r="I215" s="133">
        <v>45618</v>
      </c>
      <c r="J215" s="98"/>
      <c r="K215" s="98"/>
      <c r="L215" s="98"/>
      <c r="M215" s="98"/>
      <c r="N215" s="96" t="s">
        <v>66</v>
      </c>
      <c r="O215" s="97"/>
    </row>
    <row r="216" spans="1:15" s="99" customFormat="1" x14ac:dyDescent="0.25">
      <c r="A216" s="72" t="str">
        <f>'Scenario Test'!$A$26</f>
        <v>DPT_CLS_001</v>
      </c>
      <c r="B216" s="14" t="str">
        <f>VLOOKUP(TestCase!A216,'Scenario Test'!$A$5:$B$129,2,0)</f>
        <v>Close deposit account</v>
      </c>
      <c r="C216" s="94" t="s">
        <v>485</v>
      </c>
      <c r="D216" s="94"/>
      <c r="E216" s="76" t="s">
        <v>120</v>
      </c>
      <c r="F216" s="95" t="s">
        <v>243</v>
      </c>
      <c r="G216" s="96" t="s">
        <v>4</v>
      </c>
      <c r="H216" s="97"/>
      <c r="I216" s="133">
        <v>45623</v>
      </c>
      <c r="J216" s="98"/>
      <c r="K216" s="98"/>
      <c r="L216" s="98"/>
      <c r="M216" s="98"/>
      <c r="N216" s="96" t="s">
        <v>66</v>
      </c>
      <c r="O216" s="97"/>
    </row>
    <row r="217" spans="1:15" x14ac:dyDescent="0.25">
      <c r="A217" s="41" t="str">
        <f>'Scenario Test'!$A$27</f>
        <v>DPT_DLS_001</v>
      </c>
      <c r="B217" s="42" t="str">
        <f>VLOOKUP(TestCase!A217,'Scenario Test'!$A$5:$B$129,2,0)</f>
        <v>Close deposit account by deposit</v>
      </c>
      <c r="C217" s="41"/>
      <c r="D217" s="41"/>
      <c r="E217" s="41"/>
      <c r="F217" s="41"/>
      <c r="G217" s="43"/>
      <c r="H217" s="42"/>
      <c r="I217" s="43"/>
      <c r="J217" s="42"/>
      <c r="K217" s="42"/>
      <c r="L217" s="42"/>
      <c r="M217" s="42"/>
      <c r="N217" s="42"/>
      <c r="O217" s="42"/>
    </row>
    <row r="218" spans="1:15" s="99" customFormat="1" ht="250.8" x14ac:dyDescent="0.25">
      <c r="A218" s="72" t="str">
        <f>'Scenario Test'!$A$27</f>
        <v>DPT_DLS_001</v>
      </c>
      <c r="B218" s="14" t="str">
        <f>VLOOKUP(TestCase!A218,'Scenario Test'!$A$5:$B$129,2,0)</f>
        <v>Close deposit account by deposit</v>
      </c>
      <c r="C218" s="94" t="s">
        <v>435</v>
      </c>
      <c r="D218" s="94"/>
      <c r="E218" s="75" t="s">
        <v>512</v>
      </c>
      <c r="F218" s="95" t="s">
        <v>243</v>
      </c>
      <c r="G218" s="96" t="s">
        <v>4</v>
      </c>
      <c r="H218" s="97"/>
      <c r="I218" s="133">
        <v>45618</v>
      </c>
      <c r="J218" s="98"/>
      <c r="K218" s="98"/>
      <c r="L218" s="98"/>
      <c r="M218" s="98"/>
      <c r="N218" s="96" t="s">
        <v>66</v>
      </c>
      <c r="O218" s="97"/>
    </row>
    <row r="219" spans="1:15" s="99" customFormat="1" ht="250.8" x14ac:dyDescent="0.25">
      <c r="A219" s="72" t="str">
        <f>'Scenario Test'!$A$27</f>
        <v>DPT_DLS_001</v>
      </c>
      <c r="B219" s="14" t="str">
        <f>VLOOKUP(TestCase!A219,'Scenario Test'!$A$5:$B$129,2,0)</f>
        <v>Close deposit account by deposit</v>
      </c>
      <c r="C219" s="94" t="s">
        <v>436</v>
      </c>
      <c r="D219" s="94"/>
      <c r="E219" s="75" t="s">
        <v>513</v>
      </c>
      <c r="F219" s="75" t="s">
        <v>156</v>
      </c>
      <c r="G219" s="96" t="s">
        <v>4</v>
      </c>
      <c r="H219" s="97"/>
      <c r="I219" s="133">
        <v>45618</v>
      </c>
      <c r="J219" s="98"/>
      <c r="K219" s="98"/>
      <c r="L219" s="98"/>
      <c r="M219" s="98"/>
      <c r="N219" s="96" t="s">
        <v>66</v>
      </c>
      <c r="O219" s="97"/>
    </row>
    <row r="220" spans="1:15" s="99" customFormat="1" x14ac:dyDescent="0.25">
      <c r="A220" s="72" t="str">
        <f>'Scenario Test'!$A$27</f>
        <v>DPT_DLS_001</v>
      </c>
      <c r="B220" s="14" t="str">
        <f>VLOOKUP(TestCase!A220,'Scenario Test'!$A$5:$B$129,2,0)</f>
        <v>Close deposit account by deposit</v>
      </c>
      <c r="C220" s="94" t="s">
        <v>437</v>
      </c>
      <c r="D220" s="94" t="str">
        <f>C219</f>
        <v>DLS_001_002</v>
      </c>
      <c r="E220" s="78" t="s">
        <v>157</v>
      </c>
      <c r="F220" s="95" t="s">
        <v>126</v>
      </c>
      <c r="G220" s="96" t="s">
        <v>4</v>
      </c>
      <c r="H220" s="97"/>
      <c r="I220" s="133">
        <v>45618</v>
      </c>
      <c r="J220" s="98"/>
      <c r="K220" s="98"/>
      <c r="L220" s="98"/>
      <c r="M220" s="98"/>
      <c r="N220" s="96" t="s">
        <v>66</v>
      </c>
      <c r="O220" s="97"/>
    </row>
    <row r="221" spans="1:15" s="99" customFormat="1" ht="264" x14ac:dyDescent="0.25">
      <c r="A221" s="72" t="str">
        <f>'Scenario Test'!$A$27</f>
        <v>DPT_DLS_001</v>
      </c>
      <c r="B221" s="14" t="str">
        <f>VLOOKUP(TestCase!A221,'Scenario Test'!$A$5:$B$129,2,0)</f>
        <v>Close deposit account by deposit</v>
      </c>
      <c r="C221" s="94" t="s">
        <v>438</v>
      </c>
      <c r="D221" s="94"/>
      <c r="E221" s="75" t="s">
        <v>514</v>
      </c>
      <c r="F221" s="95" t="s">
        <v>243</v>
      </c>
      <c r="G221" s="96" t="s">
        <v>4</v>
      </c>
      <c r="H221" s="97"/>
      <c r="I221" s="133">
        <v>45618</v>
      </c>
      <c r="J221" s="98"/>
      <c r="K221" s="98"/>
      <c r="L221" s="98"/>
      <c r="M221" s="98"/>
      <c r="N221" s="96" t="s">
        <v>66</v>
      </c>
      <c r="O221" s="97"/>
    </row>
    <row r="222" spans="1:15" s="99" customFormat="1" ht="264" x14ac:dyDescent="0.25">
      <c r="A222" s="72" t="str">
        <f>'Scenario Test'!$A$27</f>
        <v>DPT_DLS_001</v>
      </c>
      <c r="B222" s="14" t="str">
        <f>VLOOKUP(TestCase!A222,'Scenario Test'!$A$5:$B$129,2,0)</f>
        <v>Close deposit account by deposit</v>
      </c>
      <c r="C222" s="94" t="s">
        <v>439</v>
      </c>
      <c r="D222" s="94"/>
      <c r="E222" s="75" t="s">
        <v>515</v>
      </c>
      <c r="F222" s="95" t="s">
        <v>243</v>
      </c>
      <c r="G222" s="96" t="s">
        <v>4</v>
      </c>
      <c r="H222" s="97"/>
      <c r="I222" s="133">
        <v>45618</v>
      </c>
      <c r="J222" s="98"/>
      <c r="K222" s="98"/>
      <c r="L222" s="98"/>
      <c r="M222" s="98"/>
      <c r="N222" s="96" t="s">
        <v>66</v>
      </c>
      <c r="O222" s="97"/>
    </row>
    <row r="223" spans="1:15" s="99" customFormat="1" ht="264" x14ac:dyDescent="0.25">
      <c r="A223" s="72" t="str">
        <f>'Scenario Test'!$A$27</f>
        <v>DPT_DLS_001</v>
      </c>
      <c r="B223" s="14" t="str">
        <f>VLOOKUP(TestCase!A223,'Scenario Test'!$A$5:$B$129,2,0)</f>
        <v>Close deposit account by deposit</v>
      </c>
      <c r="C223" s="94" t="s">
        <v>440</v>
      </c>
      <c r="D223" s="94"/>
      <c r="E223" s="75" t="s">
        <v>516</v>
      </c>
      <c r="F223" s="95" t="s">
        <v>243</v>
      </c>
      <c r="G223" s="96" t="s">
        <v>4</v>
      </c>
      <c r="H223" s="97"/>
      <c r="I223" s="133">
        <v>45618</v>
      </c>
      <c r="J223" s="98"/>
      <c r="K223" s="98"/>
      <c r="L223" s="98"/>
      <c r="M223" s="98"/>
      <c r="N223" s="96" t="s">
        <v>66</v>
      </c>
      <c r="O223" s="97"/>
    </row>
    <row r="224" spans="1:15" s="99" customFormat="1" ht="264" x14ac:dyDescent="0.25">
      <c r="A224" s="72" t="str">
        <f>'Scenario Test'!$A$27</f>
        <v>DPT_DLS_001</v>
      </c>
      <c r="B224" s="14" t="str">
        <f>VLOOKUP(TestCase!A224,'Scenario Test'!$A$5:$B$129,2,0)</f>
        <v>Close deposit account by deposit</v>
      </c>
      <c r="C224" s="94" t="s">
        <v>441</v>
      </c>
      <c r="D224" s="94"/>
      <c r="E224" s="75" t="s">
        <v>517</v>
      </c>
      <c r="F224" s="75" t="s">
        <v>156</v>
      </c>
      <c r="G224" s="96" t="s">
        <v>4</v>
      </c>
      <c r="H224" s="97"/>
      <c r="I224" s="133">
        <v>45618</v>
      </c>
      <c r="J224" s="98"/>
      <c r="K224" s="98"/>
      <c r="L224" s="98"/>
      <c r="M224" s="98"/>
      <c r="N224" s="96" t="s">
        <v>66</v>
      </c>
      <c r="O224" s="97"/>
    </row>
    <row r="225" spans="1:15" s="99" customFormat="1" x14ac:dyDescent="0.25">
      <c r="A225" s="72" t="str">
        <f>'Scenario Test'!$A$27</f>
        <v>DPT_DLS_001</v>
      </c>
      <c r="B225" s="14" t="str">
        <f>VLOOKUP(TestCase!A225,'Scenario Test'!$A$5:$B$129,2,0)</f>
        <v>Close deposit account by deposit</v>
      </c>
      <c r="C225" s="94" t="s">
        <v>442</v>
      </c>
      <c r="D225" s="94" t="str">
        <f>C224</f>
        <v>DLS_001_007</v>
      </c>
      <c r="E225" s="78" t="s">
        <v>157</v>
      </c>
      <c r="F225" s="95" t="s">
        <v>126</v>
      </c>
      <c r="G225" s="96" t="s">
        <v>4</v>
      </c>
      <c r="H225" s="97"/>
      <c r="I225" s="133">
        <v>45618</v>
      </c>
      <c r="J225" s="98"/>
      <c r="K225" s="98"/>
      <c r="L225" s="98"/>
      <c r="M225" s="98"/>
      <c r="N225" s="96" t="s">
        <v>66</v>
      </c>
      <c r="O225" s="97"/>
    </row>
    <row r="226" spans="1:15" s="99" customFormat="1" ht="264" x14ac:dyDescent="0.25">
      <c r="A226" s="72" t="str">
        <f>'Scenario Test'!$A$27</f>
        <v>DPT_DLS_001</v>
      </c>
      <c r="B226" s="14" t="str">
        <f>VLOOKUP(TestCase!A226,'Scenario Test'!$A$5:$B$129,2,0)</f>
        <v>Close deposit account by deposit</v>
      </c>
      <c r="C226" s="94" t="s">
        <v>443</v>
      </c>
      <c r="D226" s="94"/>
      <c r="E226" s="75" t="s">
        <v>518</v>
      </c>
      <c r="F226" s="75" t="s">
        <v>156</v>
      </c>
      <c r="G226" s="96" t="s">
        <v>4</v>
      </c>
      <c r="H226" s="97"/>
      <c r="I226" s="133">
        <v>45618</v>
      </c>
      <c r="J226" s="98"/>
      <c r="K226" s="98"/>
      <c r="L226" s="98"/>
      <c r="M226" s="98"/>
      <c r="N226" s="96" t="s">
        <v>66</v>
      </c>
      <c r="O226" s="97"/>
    </row>
    <row r="227" spans="1:15" s="99" customFormat="1" x14ac:dyDescent="0.25">
      <c r="A227" s="72" t="str">
        <f>'Scenario Test'!$A$27</f>
        <v>DPT_DLS_001</v>
      </c>
      <c r="B227" s="14" t="str">
        <f>VLOOKUP(TestCase!A227,'Scenario Test'!$A$5:$B$129,2,0)</f>
        <v>Close deposit account by deposit</v>
      </c>
      <c r="C227" s="94" t="s">
        <v>444</v>
      </c>
      <c r="D227" s="94" t="str">
        <f>C226</f>
        <v>DLS_001_009</v>
      </c>
      <c r="E227" s="78" t="s">
        <v>157</v>
      </c>
      <c r="F227" s="95" t="s">
        <v>126</v>
      </c>
      <c r="G227" s="96" t="s">
        <v>4</v>
      </c>
      <c r="H227" s="97"/>
      <c r="I227" s="133">
        <v>45618</v>
      </c>
      <c r="J227" s="98"/>
      <c r="K227" s="98"/>
      <c r="L227" s="98"/>
      <c r="M227" s="98"/>
      <c r="N227" s="96" t="s">
        <v>66</v>
      </c>
      <c r="O227" s="97"/>
    </row>
    <row r="228" spans="1:15" s="99" customFormat="1" ht="264" x14ac:dyDescent="0.25">
      <c r="A228" s="72" t="str">
        <f>'Scenario Test'!$A$27</f>
        <v>DPT_DLS_001</v>
      </c>
      <c r="B228" s="14" t="str">
        <f>VLOOKUP(TestCase!A228,'Scenario Test'!$A$5:$B$129,2,0)</f>
        <v>Close deposit account by deposit</v>
      </c>
      <c r="C228" s="94" t="s">
        <v>445</v>
      </c>
      <c r="D228" s="94"/>
      <c r="E228" s="75" t="s">
        <v>519</v>
      </c>
      <c r="F228" s="75" t="s">
        <v>156</v>
      </c>
      <c r="G228" s="96" t="s">
        <v>4</v>
      </c>
      <c r="H228" s="97"/>
      <c r="I228" s="133">
        <v>45618</v>
      </c>
      <c r="J228" s="98"/>
      <c r="K228" s="98"/>
      <c r="L228" s="98"/>
      <c r="M228" s="98"/>
      <c r="N228" s="96" t="s">
        <v>66</v>
      </c>
      <c r="O228" s="97"/>
    </row>
    <row r="229" spans="1:15" s="99" customFormat="1" x14ac:dyDescent="0.25">
      <c r="A229" s="72" t="str">
        <f>'Scenario Test'!$A$27</f>
        <v>DPT_DLS_001</v>
      </c>
      <c r="B229" s="14" t="str">
        <f>VLOOKUP(TestCase!A229,'Scenario Test'!$A$5:$B$129,2,0)</f>
        <v>Close deposit account by deposit</v>
      </c>
      <c r="C229" s="94" t="s">
        <v>446</v>
      </c>
      <c r="D229" s="94" t="str">
        <f>C228</f>
        <v>DLS_001_011</v>
      </c>
      <c r="E229" s="78" t="s">
        <v>157</v>
      </c>
      <c r="F229" s="95" t="s">
        <v>126</v>
      </c>
      <c r="G229" s="96" t="s">
        <v>4</v>
      </c>
      <c r="H229" s="97"/>
      <c r="I229" s="133">
        <v>45618</v>
      </c>
      <c r="J229" s="98"/>
      <c r="K229" s="98"/>
      <c r="L229" s="98"/>
      <c r="M229" s="98"/>
      <c r="N229" s="96" t="s">
        <v>66</v>
      </c>
      <c r="O229" s="97"/>
    </row>
    <row r="230" spans="1:15" s="99" customFormat="1" ht="316.8" x14ac:dyDescent="0.25">
      <c r="A230" s="72" t="str">
        <f>'Scenario Test'!$A$27</f>
        <v>DPT_DLS_001</v>
      </c>
      <c r="B230" s="14" t="str">
        <f>VLOOKUP(TestCase!A230,'Scenario Test'!$A$5:$B$129,2,0)</f>
        <v>Close deposit account by deposit</v>
      </c>
      <c r="C230" s="94" t="s">
        <v>447</v>
      </c>
      <c r="D230" s="94"/>
      <c r="E230" s="75" t="s">
        <v>520</v>
      </c>
      <c r="F230" s="75"/>
      <c r="G230" s="96" t="s">
        <v>4</v>
      </c>
      <c r="H230" s="97"/>
      <c r="I230" s="133">
        <v>45618</v>
      </c>
      <c r="J230" s="98"/>
      <c r="K230" s="98"/>
      <c r="L230" s="98"/>
      <c r="M230" s="98"/>
      <c r="N230" s="96" t="s">
        <v>66</v>
      </c>
      <c r="O230" s="97"/>
    </row>
    <row r="231" spans="1:15" s="99" customFormat="1" ht="316.8" x14ac:dyDescent="0.25">
      <c r="A231" s="72" t="str">
        <f>'Scenario Test'!$A$27</f>
        <v>DPT_DLS_001</v>
      </c>
      <c r="B231" s="14" t="str">
        <f>VLOOKUP(TestCase!A231,'Scenario Test'!$A$5:$B$129,2,0)</f>
        <v>Close deposit account by deposit</v>
      </c>
      <c r="C231" s="94" t="s">
        <v>448</v>
      </c>
      <c r="D231" s="94"/>
      <c r="E231" s="75" t="s">
        <v>521</v>
      </c>
      <c r="F231" s="75"/>
      <c r="G231" s="96" t="s">
        <v>4</v>
      </c>
      <c r="H231" s="97"/>
      <c r="I231" s="133">
        <v>45618</v>
      </c>
      <c r="J231" s="98"/>
      <c r="K231" s="98"/>
      <c r="L231" s="98"/>
      <c r="M231" s="98"/>
      <c r="N231" s="96" t="s">
        <v>66</v>
      </c>
      <c r="O231" s="97"/>
    </row>
    <row r="232" spans="1:15" s="99" customFormat="1" ht="316.8" x14ac:dyDescent="0.25">
      <c r="A232" s="72" t="str">
        <f>'Scenario Test'!$A$27</f>
        <v>DPT_DLS_001</v>
      </c>
      <c r="B232" s="14" t="str">
        <f>VLOOKUP(TestCase!A232,'Scenario Test'!$A$5:$B$129,2,0)</f>
        <v>Close deposit account by deposit</v>
      </c>
      <c r="C232" s="94" t="s">
        <v>449</v>
      </c>
      <c r="D232" s="94"/>
      <c r="E232" s="75" t="s">
        <v>522</v>
      </c>
      <c r="F232" s="75"/>
      <c r="G232" s="96" t="s">
        <v>4</v>
      </c>
      <c r="H232" s="97"/>
      <c r="I232" s="133">
        <v>45618</v>
      </c>
      <c r="J232" s="98"/>
      <c r="K232" s="98"/>
      <c r="L232" s="98"/>
      <c r="M232" s="98"/>
      <c r="N232" s="96" t="s">
        <v>66</v>
      </c>
      <c r="O232" s="97"/>
    </row>
    <row r="233" spans="1:15" s="99" customFormat="1" ht="316.8" x14ac:dyDescent="0.25">
      <c r="A233" s="72" t="str">
        <f>'Scenario Test'!$A$27</f>
        <v>DPT_DLS_001</v>
      </c>
      <c r="B233" s="14" t="str">
        <f>VLOOKUP(TestCase!A233,'Scenario Test'!$A$5:$B$129,2,0)</f>
        <v>Close deposit account by deposit</v>
      </c>
      <c r="C233" s="94" t="s">
        <v>450</v>
      </c>
      <c r="D233" s="94"/>
      <c r="E233" s="75" t="s">
        <v>523</v>
      </c>
      <c r="F233" s="75"/>
      <c r="G233" s="96" t="s">
        <v>4</v>
      </c>
      <c r="H233" s="97"/>
      <c r="I233" s="133">
        <v>45618</v>
      </c>
      <c r="J233" s="98"/>
      <c r="K233" s="98"/>
      <c r="L233" s="98"/>
      <c r="M233" s="98"/>
      <c r="N233" s="96" t="s">
        <v>66</v>
      </c>
      <c r="O233" s="97"/>
    </row>
    <row r="234" spans="1:15" s="99" customFormat="1" ht="316.8" x14ac:dyDescent="0.25">
      <c r="A234" s="72" t="str">
        <f>'Scenario Test'!$A$27</f>
        <v>DPT_DLS_001</v>
      </c>
      <c r="B234" s="14" t="str">
        <f>VLOOKUP(TestCase!A234,'Scenario Test'!$A$5:$B$129,2,0)</f>
        <v>Close deposit account by deposit</v>
      </c>
      <c r="C234" s="94" t="s">
        <v>451</v>
      </c>
      <c r="D234" s="94"/>
      <c r="E234" s="75" t="s">
        <v>524</v>
      </c>
      <c r="F234" s="75"/>
      <c r="G234" s="96" t="s">
        <v>4</v>
      </c>
      <c r="H234" s="97"/>
      <c r="I234" s="133">
        <v>45618</v>
      </c>
      <c r="J234" s="98"/>
      <c r="K234" s="98"/>
      <c r="L234" s="98"/>
      <c r="M234" s="98"/>
      <c r="N234" s="96" t="s">
        <v>66</v>
      </c>
      <c r="O234" s="97"/>
    </row>
    <row r="235" spans="1:15" s="99" customFormat="1" ht="316.8" x14ac:dyDescent="0.25">
      <c r="A235" s="72" t="str">
        <f>'Scenario Test'!$A$27</f>
        <v>DPT_DLS_001</v>
      </c>
      <c r="B235" s="14" t="str">
        <f>VLOOKUP(TestCase!A235,'Scenario Test'!$A$5:$B$129,2,0)</f>
        <v>Close deposit account by deposit</v>
      </c>
      <c r="C235" s="94" t="s">
        <v>452</v>
      </c>
      <c r="D235" s="94"/>
      <c r="E235" s="75" t="s">
        <v>525</v>
      </c>
      <c r="F235" s="75"/>
      <c r="G235" s="96" t="s">
        <v>4</v>
      </c>
      <c r="H235" s="97"/>
      <c r="I235" s="133">
        <v>45618</v>
      </c>
      <c r="J235" s="98"/>
      <c r="K235" s="98"/>
      <c r="L235" s="98"/>
      <c r="M235" s="98"/>
      <c r="N235" s="96" t="s">
        <v>66</v>
      </c>
      <c r="O235" s="97"/>
    </row>
    <row r="236" spans="1:15" s="99" customFormat="1" ht="303.60000000000002" x14ac:dyDescent="0.25">
      <c r="A236" s="72" t="str">
        <f>'Scenario Test'!$A$27</f>
        <v>DPT_DLS_001</v>
      </c>
      <c r="B236" s="14" t="str">
        <f>VLOOKUP(TestCase!A236,'Scenario Test'!$A$5:$B$129,2,0)</f>
        <v>Close deposit account by deposit</v>
      </c>
      <c r="C236" s="94" t="s">
        <v>453</v>
      </c>
      <c r="D236" s="94"/>
      <c r="E236" s="75" t="s">
        <v>526</v>
      </c>
      <c r="F236" s="75"/>
      <c r="G236" s="96" t="s">
        <v>4</v>
      </c>
      <c r="H236" s="97"/>
      <c r="I236" s="133">
        <v>45618</v>
      </c>
      <c r="J236" s="98"/>
      <c r="K236" s="98"/>
      <c r="L236" s="98"/>
      <c r="M236" s="98"/>
      <c r="N236" s="96" t="s">
        <v>66</v>
      </c>
      <c r="O236" s="97"/>
    </row>
    <row r="237" spans="1:15" s="99" customFormat="1" ht="303.60000000000002" x14ac:dyDescent="0.25">
      <c r="A237" s="72" t="str">
        <f>'Scenario Test'!$A$27</f>
        <v>DPT_DLS_001</v>
      </c>
      <c r="B237" s="14" t="str">
        <f>VLOOKUP(TestCase!A237,'Scenario Test'!$A$5:$B$129,2,0)</f>
        <v>Close deposit account by deposit</v>
      </c>
      <c r="C237" s="94" t="s">
        <v>454</v>
      </c>
      <c r="D237" s="94"/>
      <c r="E237" s="75" t="s">
        <v>527</v>
      </c>
      <c r="F237" s="75"/>
      <c r="G237" s="96" t="s">
        <v>4</v>
      </c>
      <c r="H237" s="97"/>
      <c r="I237" s="133">
        <v>45618</v>
      </c>
      <c r="J237" s="98"/>
      <c r="K237" s="98"/>
      <c r="L237" s="98"/>
      <c r="M237" s="98"/>
      <c r="N237" s="96" t="s">
        <v>66</v>
      </c>
      <c r="O237" s="97"/>
    </row>
    <row r="238" spans="1:15" s="99" customFormat="1" x14ac:dyDescent="0.25">
      <c r="A238" s="72" t="str">
        <f>'Scenario Test'!$A$27</f>
        <v>DPT_DLS_001</v>
      </c>
      <c r="B238" s="14" t="str">
        <f>VLOOKUP(TestCase!A238,'Scenario Test'!$A$5:$B$129,2,0)</f>
        <v>Close deposit account by deposit</v>
      </c>
      <c r="C238" s="94" t="s">
        <v>455</v>
      </c>
      <c r="D238" s="94"/>
      <c r="E238" s="76" t="s">
        <v>729</v>
      </c>
      <c r="F238" s="75"/>
      <c r="G238" s="96" t="s">
        <v>4</v>
      </c>
      <c r="H238" s="97"/>
      <c r="I238" s="133">
        <v>45618</v>
      </c>
      <c r="J238" s="98"/>
      <c r="K238" s="98"/>
      <c r="L238" s="98"/>
      <c r="M238" s="98"/>
      <c r="N238" s="96" t="s">
        <v>66</v>
      </c>
      <c r="O238" s="97"/>
    </row>
    <row r="239" spans="1:15" s="99" customFormat="1" x14ac:dyDescent="0.25">
      <c r="A239" s="72" t="str">
        <f>'Scenario Test'!$A$27</f>
        <v>DPT_DLS_001</v>
      </c>
      <c r="B239" s="14" t="str">
        <f>VLOOKUP(TestCase!A239,'Scenario Test'!$A$5:$B$129,2,0)</f>
        <v>Close deposit account by deposit</v>
      </c>
      <c r="C239" s="94" t="s">
        <v>456</v>
      </c>
      <c r="D239" s="94"/>
      <c r="E239" s="76" t="s">
        <v>730</v>
      </c>
      <c r="F239" s="75"/>
      <c r="G239" s="96" t="s">
        <v>4</v>
      </c>
      <c r="H239" s="97"/>
      <c r="I239" s="133">
        <v>45618</v>
      </c>
      <c r="J239" s="98"/>
      <c r="K239" s="98"/>
      <c r="L239" s="98"/>
      <c r="M239" s="98"/>
      <c r="N239" s="96" t="s">
        <v>66</v>
      </c>
      <c r="O239" s="97"/>
    </row>
    <row r="240" spans="1:15" s="99" customFormat="1" x14ac:dyDescent="0.25">
      <c r="A240" s="72" t="str">
        <f>'Scenario Test'!$A$27</f>
        <v>DPT_DLS_001</v>
      </c>
      <c r="B240" s="14" t="str">
        <f>VLOOKUP(TestCase!A240,'Scenario Test'!$A$5:$B$129,2,0)</f>
        <v>Close deposit account by deposit</v>
      </c>
      <c r="C240" s="94" t="s">
        <v>457</v>
      </c>
      <c r="D240" s="94"/>
      <c r="E240" s="76" t="s">
        <v>792</v>
      </c>
      <c r="F240" s="75"/>
      <c r="G240" s="96" t="s">
        <v>4</v>
      </c>
      <c r="H240" s="97"/>
      <c r="I240" s="133">
        <v>45618</v>
      </c>
      <c r="J240" s="98"/>
      <c r="K240" s="98"/>
      <c r="L240" s="98"/>
      <c r="M240" s="98"/>
      <c r="N240" s="96" t="s">
        <v>66</v>
      </c>
      <c r="O240" s="97"/>
    </row>
    <row r="241" spans="1:15" s="99" customFormat="1" x14ac:dyDescent="0.25">
      <c r="A241" s="72" t="str">
        <f>'Scenario Test'!$A$27</f>
        <v>DPT_DLS_001</v>
      </c>
      <c r="B241" s="14" t="str">
        <f>VLOOKUP(TestCase!A241,'Scenario Test'!$A$5:$B$129,2,0)</f>
        <v>Close deposit account by deposit</v>
      </c>
      <c r="C241" s="94" t="s">
        <v>456</v>
      </c>
      <c r="D241" s="94"/>
      <c r="E241" s="76" t="s">
        <v>799</v>
      </c>
      <c r="F241" s="75"/>
      <c r="G241" s="96" t="s">
        <v>4</v>
      </c>
      <c r="H241" s="97"/>
      <c r="I241" s="133">
        <v>45618</v>
      </c>
      <c r="J241" s="98"/>
      <c r="K241" s="98"/>
      <c r="L241" s="98"/>
      <c r="M241" s="98"/>
      <c r="N241" s="96" t="s">
        <v>66</v>
      </c>
      <c r="O241" s="97"/>
    </row>
    <row r="242" spans="1:15" s="99" customFormat="1" x14ac:dyDescent="0.25">
      <c r="A242" s="72" t="str">
        <f>'Scenario Test'!$A$27</f>
        <v>DPT_DLS_001</v>
      </c>
      <c r="B242" s="14" t="str">
        <f>VLOOKUP(TestCase!A242,'Scenario Test'!$A$5:$B$129,2,0)</f>
        <v>Close deposit account by deposit</v>
      </c>
      <c r="C242" s="94" t="s">
        <v>456</v>
      </c>
      <c r="D242" s="94"/>
      <c r="E242" s="76" t="s">
        <v>800</v>
      </c>
      <c r="F242" s="75"/>
      <c r="G242" s="96" t="s">
        <v>4</v>
      </c>
      <c r="H242" s="97"/>
      <c r="I242" s="133">
        <v>45618</v>
      </c>
      <c r="J242" s="98"/>
      <c r="K242" s="98"/>
      <c r="L242" s="98"/>
      <c r="M242" s="98"/>
      <c r="N242" s="96" t="s">
        <v>66</v>
      </c>
      <c r="O242" s="97"/>
    </row>
    <row r="243" spans="1:15" s="99" customFormat="1" ht="171.6" x14ac:dyDescent="0.25">
      <c r="A243" s="72" t="str">
        <f>'Scenario Test'!$A$27</f>
        <v>DPT_DLS_001</v>
      </c>
      <c r="B243" s="14" t="str">
        <f>VLOOKUP(TestCase!A243,'Scenario Test'!$A$5:$B$129,2,0)</f>
        <v>Close deposit account by deposit</v>
      </c>
      <c r="C243" s="94" t="s">
        <v>458</v>
      </c>
      <c r="D243" s="94"/>
      <c r="E243" s="75" t="s">
        <v>801</v>
      </c>
      <c r="F243" s="75"/>
      <c r="G243" s="96" t="s">
        <v>4</v>
      </c>
      <c r="H243" s="97"/>
      <c r="I243" s="133">
        <v>45618</v>
      </c>
      <c r="J243" s="98"/>
      <c r="K243" s="98"/>
      <c r="L243" s="98"/>
      <c r="M243" s="98"/>
      <c r="N243" s="96" t="s">
        <v>66</v>
      </c>
      <c r="O243" s="97"/>
    </row>
    <row r="244" spans="1:15" s="99" customFormat="1" ht="171.6" x14ac:dyDescent="0.25">
      <c r="A244" s="72" t="str">
        <f>'Scenario Test'!$A$27</f>
        <v>DPT_DLS_001</v>
      </c>
      <c r="B244" s="14" t="str">
        <f>VLOOKUP(TestCase!A244,'Scenario Test'!$A$5:$B$129,2,0)</f>
        <v>Close deposit account by deposit</v>
      </c>
      <c r="C244" s="94" t="s">
        <v>459</v>
      </c>
      <c r="D244" s="94"/>
      <c r="E244" s="75" t="s">
        <v>802</v>
      </c>
      <c r="F244" s="75"/>
      <c r="G244" s="96" t="s">
        <v>4</v>
      </c>
      <c r="H244" s="97"/>
      <c r="I244" s="133">
        <v>45624</v>
      </c>
      <c r="J244" s="98"/>
      <c r="K244" s="98"/>
      <c r="L244" s="98"/>
      <c r="M244" s="98"/>
      <c r="N244" s="96" t="s">
        <v>66</v>
      </c>
      <c r="O244" s="97"/>
    </row>
    <row r="245" spans="1:15" s="99" customFormat="1" ht="171.6" x14ac:dyDescent="0.25">
      <c r="A245" s="72" t="str">
        <f>'Scenario Test'!$A$27</f>
        <v>DPT_DLS_001</v>
      </c>
      <c r="B245" s="14" t="str">
        <f>VLOOKUP(TestCase!A245,'Scenario Test'!$A$5:$B$129,2,0)</f>
        <v>Close deposit account by deposit</v>
      </c>
      <c r="C245" s="94" t="s">
        <v>460</v>
      </c>
      <c r="D245" s="94"/>
      <c r="E245" s="75" t="s">
        <v>803</v>
      </c>
      <c r="F245" s="75"/>
      <c r="G245" s="96" t="s">
        <v>4</v>
      </c>
      <c r="H245" s="97"/>
      <c r="I245" s="133">
        <v>45624</v>
      </c>
      <c r="J245" s="98"/>
      <c r="K245" s="98"/>
      <c r="L245" s="98"/>
      <c r="M245" s="98"/>
      <c r="N245" s="96" t="s">
        <v>66</v>
      </c>
      <c r="O245" s="97"/>
    </row>
    <row r="246" spans="1:15" s="99" customFormat="1" ht="184.8" x14ac:dyDescent="0.25">
      <c r="A246" s="72" t="str">
        <f>'Scenario Test'!$A$27</f>
        <v>DPT_DLS_001</v>
      </c>
      <c r="B246" s="14" t="str">
        <f>VLOOKUP(TestCase!A246,'Scenario Test'!$A$5:$B$129,2,0)</f>
        <v>Close deposit account by deposit</v>
      </c>
      <c r="C246" s="94" t="s">
        <v>461</v>
      </c>
      <c r="D246" s="94"/>
      <c r="E246" s="75" t="s">
        <v>804</v>
      </c>
      <c r="F246" s="75"/>
      <c r="G246" s="96" t="s">
        <v>4</v>
      </c>
      <c r="H246" s="97"/>
      <c r="I246" s="133">
        <v>45624</v>
      </c>
      <c r="J246" s="98"/>
      <c r="K246" s="98"/>
      <c r="L246" s="98"/>
      <c r="M246" s="98"/>
      <c r="N246" s="96" t="s">
        <v>66</v>
      </c>
      <c r="O246" s="97"/>
    </row>
    <row r="247" spans="1:15" s="99" customFormat="1" ht="184.8" x14ac:dyDescent="0.25">
      <c r="A247" s="72" t="str">
        <f>'Scenario Test'!$A$27</f>
        <v>DPT_DLS_001</v>
      </c>
      <c r="B247" s="14" t="str">
        <f>VLOOKUP(TestCase!A247,'Scenario Test'!$A$5:$B$129,2,0)</f>
        <v>Close deposit account by deposit</v>
      </c>
      <c r="C247" s="94" t="s">
        <v>462</v>
      </c>
      <c r="D247" s="94"/>
      <c r="E247" s="75" t="s">
        <v>805</v>
      </c>
      <c r="F247" s="75"/>
      <c r="G247" s="96" t="s">
        <v>4</v>
      </c>
      <c r="H247" s="97"/>
      <c r="I247" s="133">
        <v>45624</v>
      </c>
      <c r="J247" s="98"/>
      <c r="K247" s="98"/>
      <c r="L247" s="98"/>
      <c r="M247" s="98"/>
      <c r="N247" s="96" t="s">
        <v>66</v>
      </c>
      <c r="O247" s="97"/>
    </row>
    <row r="248" spans="1:15" s="99" customFormat="1" ht="171.6" x14ac:dyDescent="0.25">
      <c r="A248" s="72" t="str">
        <f>'Scenario Test'!$A$27</f>
        <v>DPT_DLS_001</v>
      </c>
      <c r="B248" s="14" t="str">
        <f>VLOOKUP(TestCase!A248,'Scenario Test'!$A$5:$B$129,2,0)</f>
        <v>Close deposit account by deposit</v>
      </c>
      <c r="C248" s="94" t="s">
        <v>463</v>
      </c>
      <c r="D248" s="94"/>
      <c r="E248" s="75" t="s">
        <v>806</v>
      </c>
      <c r="F248" s="75"/>
      <c r="G248" s="96" t="s">
        <v>4</v>
      </c>
      <c r="H248" s="97"/>
      <c r="I248" s="133">
        <v>45624</v>
      </c>
      <c r="J248" s="98"/>
      <c r="K248" s="98"/>
      <c r="L248" s="98"/>
      <c r="M248" s="98"/>
      <c r="N248" s="96" t="s">
        <v>66</v>
      </c>
      <c r="O248" s="97"/>
    </row>
    <row r="249" spans="1:15" s="99" customFormat="1" ht="171.6" x14ac:dyDescent="0.25">
      <c r="A249" s="72" t="str">
        <f>'Scenario Test'!$A$27</f>
        <v>DPT_DLS_001</v>
      </c>
      <c r="B249" s="14" t="str">
        <f>VLOOKUP(TestCase!A249,'Scenario Test'!$A$5:$B$129,2,0)</f>
        <v>Close deposit account by deposit</v>
      </c>
      <c r="C249" s="94" t="s">
        <v>463</v>
      </c>
      <c r="D249" s="94"/>
      <c r="E249" s="75" t="s">
        <v>807</v>
      </c>
      <c r="F249" s="75"/>
      <c r="G249" s="96" t="s">
        <v>4</v>
      </c>
      <c r="H249" s="97"/>
      <c r="I249" s="133">
        <v>45624</v>
      </c>
      <c r="J249" s="98"/>
      <c r="K249" s="98"/>
      <c r="L249" s="98"/>
      <c r="M249" s="98"/>
      <c r="N249" s="96" t="s">
        <v>66</v>
      </c>
      <c r="O249" s="97"/>
    </row>
    <row r="250" spans="1:15" s="99" customFormat="1" ht="171.6" x14ac:dyDescent="0.25">
      <c r="A250" s="72" t="str">
        <f>'Scenario Test'!$A$27</f>
        <v>DPT_DLS_001</v>
      </c>
      <c r="B250" s="14" t="str">
        <f>VLOOKUP(TestCase!A250,'Scenario Test'!$A$5:$B$129,2,0)</f>
        <v>Close deposit account by deposit</v>
      </c>
      <c r="C250" s="94" t="s">
        <v>463</v>
      </c>
      <c r="D250" s="94"/>
      <c r="E250" s="75" t="s">
        <v>808</v>
      </c>
      <c r="F250" s="75"/>
      <c r="G250" s="96" t="s">
        <v>4</v>
      </c>
      <c r="H250" s="97"/>
      <c r="I250" s="133">
        <v>45624</v>
      </c>
      <c r="J250" s="98"/>
      <c r="K250" s="98"/>
      <c r="L250" s="98"/>
      <c r="M250" s="98"/>
      <c r="N250" s="96" t="s">
        <v>66</v>
      </c>
      <c r="O250" s="97"/>
    </row>
    <row r="251" spans="1:15" s="99" customFormat="1" ht="171.6" x14ac:dyDescent="0.25">
      <c r="A251" s="72" t="str">
        <f>'Scenario Test'!$A$27</f>
        <v>DPT_DLS_001</v>
      </c>
      <c r="B251" s="14" t="str">
        <f>VLOOKUP(TestCase!A251,'Scenario Test'!$A$5:$B$129,2,0)</f>
        <v>Close deposit account by deposit</v>
      </c>
      <c r="C251" s="94" t="s">
        <v>463</v>
      </c>
      <c r="D251" s="94"/>
      <c r="E251" s="75" t="s">
        <v>809</v>
      </c>
      <c r="F251" s="75"/>
      <c r="G251" s="96" t="s">
        <v>4</v>
      </c>
      <c r="H251" s="97"/>
      <c r="I251" s="133">
        <v>45624</v>
      </c>
      <c r="J251" s="98"/>
      <c r="K251" s="98"/>
      <c r="L251" s="98"/>
      <c r="M251" s="98"/>
      <c r="N251" s="96" t="s">
        <v>66</v>
      </c>
      <c r="O251" s="97"/>
    </row>
    <row r="252" spans="1:15" s="99" customFormat="1" ht="171.6" x14ac:dyDescent="0.25">
      <c r="A252" s="72" t="str">
        <f>'Scenario Test'!$A$27</f>
        <v>DPT_DLS_001</v>
      </c>
      <c r="B252" s="14" t="str">
        <f>VLOOKUP(TestCase!A252,'Scenario Test'!$A$5:$B$129,2,0)</f>
        <v>Close deposit account by deposit</v>
      </c>
      <c r="C252" s="94" t="s">
        <v>463</v>
      </c>
      <c r="D252" s="94"/>
      <c r="E252" s="75" t="s">
        <v>810</v>
      </c>
      <c r="F252" s="75"/>
      <c r="G252" s="96" t="s">
        <v>4</v>
      </c>
      <c r="H252" s="97"/>
      <c r="I252" s="133">
        <v>45624</v>
      </c>
      <c r="J252" s="98"/>
      <c r="K252" s="98"/>
      <c r="L252" s="98"/>
      <c r="M252" s="98"/>
      <c r="N252" s="96" t="s">
        <v>66</v>
      </c>
      <c r="O252" s="97"/>
    </row>
    <row r="253" spans="1:15" s="99" customFormat="1" x14ac:dyDescent="0.25">
      <c r="A253" s="72" t="str">
        <f>'Scenario Test'!$A$27</f>
        <v>DPT_DLS_001</v>
      </c>
      <c r="B253" s="14" t="str">
        <f>VLOOKUP(TestCase!A253,'Scenario Test'!$A$5:$B$129,2,0)</f>
        <v>Close deposit account by deposit</v>
      </c>
      <c r="C253" s="94" t="s">
        <v>484</v>
      </c>
      <c r="D253" s="94"/>
      <c r="E253" s="76" t="s">
        <v>120</v>
      </c>
      <c r="F253" s="95" t="s">
        <v>243</v>
      </c>
      <c r="G253" s="96" t="s">
        <v>4</v>
      </c>
      <c r="H253" s="97"/>
      <c r="I253" s="133">
        <v>45624</v>
      </c>
      <c r="J253" s="98"/>
      <c r="K253" s="98"/>
      <c r="L253" s="98"/>
      <c r="M253" s="98"/>
      <c r="N253" s="96" t="s">
        <v>66</v>
      </c>
      <c r="O253" s="97"/>
    </row>
    <row r="254" spans="1:15" x14ac:dyDescent="0.25">
      <c r="A254" s="41" t="str">
        <f>'Scenario Test'!$A$28</f>
        <v>DPT_MLS_001</v>
      </c>
      <c r="B254" s="42" t="str">
        <f>VLOOKUP(TestCase!A254,'Scenario Test'!$A$5:$B$129,2,0)</f>
        <v>Close deposit account by miscellaneous</v>
      </c>
      <c r="C254" s="41"/>
      <c r="D254" s="41"/>
      <c r="E254" s="41"/>
      <c r="F254" s="41"/>
      <c r="G254" s="43"/>
      <c r="H254" s="42"/>
      <c r="I254" s="43"/>
      <c r="J254" s="42"/>
      <c r="K254" s="42"/>
      <c r="L254" s="42"/>
      <c r="M254" s="42"/>
      <c r="N254" s="42"/>
      <c r="O254" s="42"/>
    </row>
    <row r="255" spans="1:15" s="99" customFormat="1" ht="237.6" x14ac:dyDescent="0.25">
      <c r="A255" s="72" t="str">
        <f>'Scenario Test'!$A$28</f>
        <v>DPT_MLS_001</v>
      </c>
      <c r="B255" s="14" t="str">
        <f>VLOOKUP(TestCase!A255,'Scenario Test'!$A$5:$B$129,2,0)</f>
        <v>Close deposit account by miscellaneous</v>
      </c>
      <c r="C255" s="94" t="s">
        <v>534</v>
      </c>
      <c r="D255" s="94"/>
      <c r="E255" s="75" t="s">
        <v>570</v>
      </c>
      <c r="F255" s="95" t="s">
        <v>243</v>
      </c>
      <c r="G255" s="96" t="s">
        <v>4</v>
      </c>
      <c r="H255" s="97"/>
      <c r="I255" s="133">
        <v>45624</v>
      </c>
      <c r="J255" s="98"/>
      <c r="K255" s="98"/>
      <c r="L255" s="98"/>
      <c r="M255" s="98"/>
      <c r="N255" s="96" t="s">
        <v>66</v>
      </c>
      <c r="O255" s="97"/>
    </row>
    <row r="256" spans="1:15" s="99" customFormat="1" ht="237.6" x14ac:dyDescent="0.25">
      <c r="A256" s="72" t="str">
        <f>'Scenario Test'!$A$28</f>
        <v>DPT_MLS_001</v>
      </c>
      <c r="B256" s="14" t="str">
        <f>VLOOKUP(TestCase!A256,'Scenario Test'!$A$5:$B$129,2,0)</f>
        <v>Close deposit account by miscellaneous</v>
      </c>
      <c r="C256" s="94" t="s">
        <v>535</v>
      </c>
      <c r="D256" s="94"/>
      <c r="E256" s="75" t="s">
        <v>571</v>
      </c>
      <c r="F256" s="75" t="s">
        <v>156</v>
      </c>
      <c r="G256" s="96" t="s">
        <v>4</v>
      </c>
      <c r="H256" s="97"/>
      <c r="I256" s="133">
        <v>45624</v>
      </c>
      <c r="J256" s="98"/>
      <c r="K256" s="98"/>
      <c r="L256" s="98"/>
      <c r="M256" s="98"/>
      <c r="N256" s="96" t="s">
        <v>66</v>
      </c>
      <c r="O256" s="97"/>
    </row>
    <row r="257" spans="1:15" s="99" customFormat="1" x14ac:dyDescent="0.25">
      <c r="A257" s="72" t="str">
        <f>'Scenario Test'!$A$28</f>
        <v>DPT_MLS_001</v>
      </c>
      <c r="B257" s="14" t="str">
        <f>VLOOKUP(TestCase!A257,'Scenario Test'!$A$5:$B$129,2,0)</f>
        <v>Close deposit account by miscellaneous</v>
      </c>
      <c r="C257" s="94" t="s">
        <v>536</v>
      </c>
      <c r="D257" s="94" t="str">
        <f>C256</f>
        <v>MLS_001_002</v>
      </c>
      <c r="E257" s="78" t="s">
        <v>157</v>
      </c>
      <c r="F257" s="95" t="s">
        <v>243</v>
      </c>
      <c r="G257" s="96" t="s">
        <v>4</v>
      </c>
      <c r="H257" s="97"/>
      <c r="I257" s="133">
        <v>45624</v>
      </c>
      <c r="J257" s="98"/>
      <c r="K257" s="98"/>
      <c r="L257" s="98"/>
      <c r="M257" s="98"/>
      <c r="N257" s="96" t="s">
        <v>66</v>
      </c>
      <c r="O257" s="97"/>
    </row>
    <row r="258" spans="1:15" s="99" customFormat="1" ht="250.8" x14ac:dyDescent="0.25">
      <c r="A258" s="72" t="str">
        <f>'Scenario Test'!$A$28</f>
        <v>DPT_MLS_001</v>
      </c>
      <c r="B258" s="14" t="str">
        <f>VLOOKUP(TestCase!A258,'Scenario Test'!$A$5:$B$129,2,0)</f>
        <v>Close deposit account by miscellaneous</v>
      </c>
      <c r="C258" s="94" t="s">
        <v>537</v>
      </c>
      <c r="D258" s="94"/>
      <c r="E258" s="75" t="s">
        <v>572</v>
      </c>
      <c r="F258" s="95" t="s">
        <v>243</v>
      </c>
      <c r="G258" s="96" t="s">
        <v>4</v>
      </c>
      <c r="H258" s="97"/>
      <c r="I258" s="133">
        <v>45624</v>
      </c>
      <c r="J258" s="98"/>
      <c r="K258" s="98"/>
      <c r="L258" s="98"/>
      <c r="M258" s="98"/>
      <c r="N258" s="96" t="s">
        <v>66</v>
      </c>
      <c r="O258" s="97"/>
    </row>
    <row r="259" spans="1:15" s="99" customFormat="1" ht="250.8" x14ac:dyDescent="0.25">
      <c r="A259" s="72" t="str">
        <f>'Scenario Test'!$A$28</f>
        <v>DPT_MLS_001</v>
      </c>
      <c r="B259" s="14" t="str">
        <f>VLOOKUP(TestCase!A259,'Scenario Test'!$A$5:$B$129,2,0)</f>
        <v>Close deposit account by miscellaneous</v>
      </c>
      <c r="C259" s="94" t="s">
        <v>538</v>
      </c>
      <c r="D259" s="94"/>
      <c r="E259" s="75" t="s">
        <v>573</v>
      </c>
      <c r="F259" s="95" t="s">
        <v>243</v>
      </c>
      <c r="G259" s="96" t="s">
        <v>4</v>
      </c>
      <c r="H259" s="97"/>
      <c r="I259" s="133">
        <v>45624</v>
      </c>
      <c r="J259" s="98"/>
      <c r="K259" s="98"/>
      <c r="L259" s="98"/>
      <c r="M259" s="98"/>
      <c r="N259" s="96" t="s">
        <v>66</v>
      </c>
      <c r="O259" s="97"/>
    </row>
    <row r="260" spans="1:15" s="99" customFormat="1" ht="250.8" x14ac:dyDescent="0.25">
      <c r="A260" s="72" t="str">
        <f>'Scenario Test'!$A$28</f>
        <v>DPT_MLS_001</v>
      </c>
      <c r="B260" s="14" t="str">
        <f>VLOOKUP(TestCase!A260,'Scenario Test'!$A$5:$B$129,2,0)</f>
        <v>Close deposit account by miscellaneous</v>
      </c>
      <c r="C260" s="94" t="s">
        <v>539</v>
      </c>
      <c r="D260" s="94"/>
      <c r="E260" s="75" t="s">
        <v>574</v>
      </c>
      <c r="F260" s="95" t="s">
        <v>243</v>
      </c>
      <c r="G260" s="96" t="s">
        <v>4</v>
      </c>
      <c r="H260" s="97"/>
      <c r="I260" s="133">
        <v>45624</v>
      </c>
      <c r="J260" s="98"/>
      <c r="K260" s="98"/>
      <c r="L260" s="98"/>
      <c r="M260" s="98"/>
      <c r="N260" s="96" t="s">
        <v>66</v>
      </c>
      <c r="O260" s="97"/>
    </row>
    <row r="261" spans="1:15" s="99" customFormat="1" ht="250.8" x14ac:dyDescent="0.25">
      <c r="A261" s="72" t="str">
        <f>'Scenario Test'!$A$28</f>
        <v>DPT_MLS_001</v>
      </c>
      <c r="B261" s="14" t="str">
        <f>VLOOKUP(TestCase!A261,'Scenario Test'!$A$5:$B$129,2,0)</f>
        <v>Close deposit account by miscellaneous</v>
      </c>
      <c r="C261" s="94" t="s">
        <v>540</v>
      </c>
      <c r="D261" s="94"/>
      <c r="E261" s="75" t="s">
        <v>575</v>
      </c>
      <c r="F261" s="75" t="s">
        <v>156</v>
      </c>
      <c r="G261" s="96" t="s">
        <v>4</v>
      </c>
      <c r="H261" s="97"/>
      <c r="I261" s="133">
        <v>45624</v>
      </c>
      <c r="J261" s="98"/>
      <c r="K261" s="98"/>
      <c r="L261" s="98"/>
      <c r="M261" s="98"/>
      <c r="N261" s="96" t="s">
        <v>66</v>
      </c>
      <c r="O261" s="97"/>
    </row>
    <row r="262" spans="1:15" s="99" customFormat="1" x14ac:dyDescent="0.25">
      <c r="A262" s="72" t="str">
        <f>'Scenario Test'!$A$28</f>
        <v>DPT_MLS_001</v>
      </c>
      <c r="B262" s="14" t="str">
        <f>VLOOKUP(TestCase!A262,'Scenario Test'!$A$5:$B$129,2,0)</f>
        <v>Close deposit account by miscellaneous</v>
      </c>
      <c r="C262" s="94" t="s">
        <v>541</v>
      </c>
      <c r="D262" s="94" t="str">
        <f>C261</f>
        <v>MLS_001_007</v>
      </c>
      <c r="E262" s="78" t="s">
        <v>157</v>
      </c>
      <c r="F262" s="95" t="s">
        <v>243</v>
      </c>
      <c r="G262" s="96" t="s">
        <v>4</v>
      </c>
      <c r="H262" s="97"/>
      <c r="I262" s="133">
        <v>45624</v>
      </c>
      <c r="J262" s="98"/>
      <c r="K262" s="98"/>
      <c r="L262" s="98"/>
      <c r="M262" s="98"/>
      <c r="N262" s="96" t="s">
        <v>66</v>
      </c>
      <c r="O262" s="97"/>
    </row>
    <row r="263" spans="1:15" s="99" customFormat="1" ht="250.8" x14ac:dyDescent="0.25">
      <c r="A263" s="72" t="str">
        <f>'Scenario Test'!$A$28</f>
        <v>DPT_MLS_001</v>
      </c>
      <c r="B263" s="14" t="str">
        <f>VLOOKUP(TestCase!A263,'Scenario Test'!$A$5:$B$129,2,0)</f>
        <v>Close deposit account by miscellaneous</v>
      </c>
      <c r="C263" s="94" t="s">
        <v>542</v>
      </c>
      <c r="D263" s="94"/>
      <c r="E263" s="75" t="s">
        <v>576</v>
      </c>
      <c r="F263" s="75" t="s">
        <v>156</v>
      </c>
      <c r="G263" s="96" t="s">
        <v>4</v>
      </c>
      <c r="H263" s="97"/>
      <c r="I263" s="133">
        <v>45624</v>
      </c>
      <c r="J263" s="98"/>
      <c r="K263" s="98"/>
      <c r="L263" s="98"/>
      <c r="M263" s="98"/>
      <c r="N263" s="96" t="s">
        <v>66</v>
      </c>
      <c r="O263" s="97"/>
    </row>
    <row r="264" spans="1:15" s="99" customFormat="1" x14ac:dyDescent="0.25">
      <c r="A264" s="72" t="str">
        <f>'Scenario Test'!$A$28</f>
        <v>DPT_MLS_001</v>
      </c>
      <c r="B264" s="14" t="str">
        <f>VLOOKUP(TestCase!A264,'Scenario Test'!$A$5:$B$129,2,0)</f>
        <v>Close deposit account by miscellaneous</v>
      </c>
      <c r="C264" s="94" t="s">
        <v>543</v>
      </c>
      <c r="D264" s="94" t="str">
        <f>C263</f>
        <v>MLS_001_009</v>
      </c>
      <c r="E264" s="78" t="s">
        <v>157</v>
      </c>
      <c r="F264" s="95" t="s">
        <v>243</v>
      </c>
      <c r="G264" s="96" t="s">
        <v>4</v>
      </c>
      <c r="H264" s="97"/>
      <c r="I264" s="133">
        <v>45624</v>
      </c>
      <c r="J264" s="98"/>
      <c r="K264" s="98"/>
      <c r="L264" s="98"/>
      <c r="M264" s="98"/>
      <c r="N264" s="96" t="s">
        <v>66</v>
      </c>
      <c r="O264" s="97"/>
    </row>
    <row r="265" spans="1:15" s="99" customFormat="1" ht="250.8" x14ac:dyDescent="0.25">
      <c r="A265" s="72" t="str">
        <f>'Scenario Test'!$A$28</f>
        <v>DPT_MLS_001</v>
      </c>
      <c r="B265" s="14" t="str">
        <f>VLOOKUP(TestCase!A265,'Scenario Test'!$A$5:$B$129,2,0)</f>
        <v>Close deposit account by miscellaneous</v>
      </c>
      <c r="C265" s="94" t="s">
        <v>544</v>
      </c>
      <c r="D265" s="94"/>
      <c r="E265" s="75" t="s">
        <v>577</v>
      </c>
      <c r="F265" s="75" t="s">
        <v>156</v>
      </c>
      <c r="G265" s="96" t="s">
        <v>4</v>
      </c>
      <c r="H265" s="97"/>
      <c r="I265" s="133">
        <v>45624</v>
      </c>
      <c r="J265" s="98"/>
      <c r="K265" s="98"/>
      <c r="L265" s="98"/>
      <c r="M265" s="98"/>
      <c r="N265" s="96" t="s">
        <v>66</v>
      </c>
      <c r="O265" s="97"/>
    </row>
    <row r="266" spans="1:15" s="99" customFormat="1" x14ac:dyDescent="0.25">
      <c r="A266" s="72" t="str">
        <f>'Scenario Test'!$A$28</f>
        <v>DPT_MLS_001</v>
      </c>
      <c r="B266" s="14" t="str">
        <f>VLOOKUP(TestCase!A266,'Scenario Test'!$A$5:$B$129,2,0)</f>
        <v>Close deposit account by miscellaneous</v>
      </c>
      <c r="C266" s="94" t="s">
        <v>545</v>
      </c>
      <c r="D266" s="94" t="str">
        <f>C265</f>
        <v>MLS_001_011</v>
      </c>
      <c r="E266" s="78" t="s">
        <v>157</v>
      </c>
      <c r="F266" s="95" t="s">
        <v>243</v>
      </c>
      <c r="G266" s="96" t="s">
        <v>4</v>
      </c>
      <c r="H266" s="97"/>
      <c r="I266" s="133">
        <v>45624</v>
      </c>
      <c r="J266" s="98"/>
      <c r="K266" s="98"/>
      <c r="L266" s="98"/>
      <c r="M266" s="98"/>
      <c r="N266" s="96" t="s">
        <v>66</v>
      </c>
      <c r="O266" s="97"/>
    </row>
    <row r="267" spans="1:15" s="99" customFormat="1" ht="303.60000000000002" x14ac:dyDescent="0.25">
      <c r="A267" s="72" t="str">
        <f>'Scenario Test'!$A$28</f>
        <v>DPT_MLS_001</v>
      </c>
      <c r="B267" s="14" t="str">
        <f>VLOOKUP(TestCase!A267,'Scenario Test'!$A$5:$B$129,2,0)</f>
        <v>Close deposit account by miscellaneous</v>
      </c>
      <c r="C267" s="94" t="s">
        <v>546</v>
      </c>
      <c r="D267" s="94"/>
      <c r="E267" s="75" t="s">
        <v>578</v>
      </c>
      <c r="F267" s="75"/>
      <c r="G267" s="96" t="s">
        <v>4</v>
      </c>
      <c r="H267" s="97"/>
      <c r="I267" s="133">
        <v>45624</v>
      </c>
      <c r="J267" s="98"/>
      <c r="K267" s="98"/>
      <c r="L267" s="98"/>
      <c r="M267" s="98"/>
      <c r="N267" s="96" t="s">
        <v>66</v>
      </c>
      <c r="O267" s="97"/>
    </row>
    <row r="268" spans="1:15" s="99" customFormat="1" ht="303.60000000000002" x14ac:dyDescent="0.25">
      <c r="A268" s="72" t="str">
        <f>'Scenario Test'!$A$28</f>
        <v>DPT_MLS_001</v>
      </c>
      <c r="B268" s="14" t="str">
        <f>VLOOKUP(TestCase!A268,'Scenario Test'!$A$5:$B$129,2,0)</f>
        <v>Close deposit account by miscellaneous</v>
      </c>
      <c r="C268" s="94" t="s">
        <v>547</v>
      </c>
      <c r="D268" s="94"/>
      <c r="E268" s="75" t="s">
        <v>579</v>
      </c>
      <c r="F268" s="75"/>
      <c r="G268" s="96" t="s">
        <v>4</v>
      </c>
      <c r="H268" s="97"/>
      <c r="I268" s="133">
        <v>45624</v>
      </c>
      <c r="J268" s="98"/>
      <c r="K268" s="98"/>
      <c r="L268" s="98"/>
      <c r="M268" s="98"/>
      <c r="N268" s="96" t="s">
        <v>66</v>
      </c>
      <c r="O268" s="97"/>
    </row>
    <row r="269" spans="1:15" s="99" customFormat="1" ht="303.60000000000002" x14ac:dyDescent="0.25">
      <c r="A269" s="72" t="str">
        <f>'Scenario Test'!$A$28</f>
        <v>DPT_MLS_001</v>
      </c>
      <c r="B269" s="14" t="str">
        <f>VLOOKUP(TestCase!A269,'Scenario Test'!$A$5:$B$129,2,0)</f>
        <v>Close deposit account by miscellaneous</v>
      </c>
      <c r="C269" s="94" t="s">
        <v>548</v>
      </c>
      <c r="D269" s="94"/>
      <c r="E269" s="75" t="s">
        <v>580</v>
      </c>
      <c r="F269" s="75"/>
      <c r="G269" s="96" t="s">
        <v>4</v>
      </c>
      <c r="H269" s="97"/>
      <c r="I269" s="133">
        <v>45624</v>
      </c>
      <c r="J269" s="98"/>
      <c r="K269" s="98"/>
      <c r="L269" s="98"/>
      <c r="M269" s="98"/>
      <c r="N269" s="96" t="s">
        <v>66</v>
      </c>
      <c r="O269" s="97"/>
    </row>
    <row r="270" spans="1:15" s="99" customFormat="1" ht="303.60000000000002" x14ac:dyDescent="0.25">
      <c r="A270" s="72" t="str">
        <f>'Scenario Test'!$A$28</f>
        <v>DPT_MLS_001</v>
      </c>
      <c r="B270" s="14" t="str">
        <f>VLOOKUP(TestCase!A270,'Scenario Test'!$A$5:$B$129,2,0)</f>
        <v>Close deposit account by miscellaneous</v>
      </c>
      <c r="C270" s="94" t="s">
        <v>549</v>
      </c>
      <c r="D270" s="94"/>
      <c r="E270" s="75" t="s">
        <v>581</v>
      </c>
      <c r="F270" s="75"/>
      <c r="G270" s="96" t="s">
        <v>4</v>
      </c>
      <c r="H270" s="97"/>
      <c r="I270" s="133">
        <v>45624</v>
      </c>
      <c r="J270" s="98"/>
      <c r="K270" s="98"/>
      <c r="L270" s="98"/>
      <c r="M270" s="98"/>
      <c r="N270" s="96" t="s">
        <v>66</v>
      </c>
      <c r="O270" s="97"/>
    </row>
    <row r="271" spans="1:15" s="99" customFormat="1" ht="303.60000000000002" x14ac:dyDescent="0.25">
      <c r="A271" s="72" t="str">
        <f>'Scenario Test'!$A$28</f>
        <v>DPT_MLS_001</v>
      </c>
      <c r="B271" s="14" t="str">
        <f>VLOOKUP(TestCase!A271,'Scenario Test'!$A$5:$B$129,2,0)</f>
        <v>Close deposit account by miscellaneous</v>
      </c>
      <c r="C271" s="94" t="s">
        <v>550</v>
      </c>
      <c r="D271" s="94"/>
      <c r="E271" s="75" t="s">
        <v>582</v>
      </c>
      <c r="F271" s="75"/>
      <c r="G271" s="96" t="s">
        <v>4</v>
      </c>
      <c r="H271" s="97"/>
      <c r="I271" s="133">
        <v>45624</v>
      </c>
      <c r="J271" s="98"/>
      <c r="K271" s="98"/>
      <c r="L271" s="98"/>
      <c r="M271" s="98"/>
      <c r="N271" s="96" t="s">
        <v>66</v>
      </c>
      <c r="O271" s="97"/>
    </row>
    <row r="272" spans="1:15" s="99" customFormat="1" ht="303.60000000000002" x14ac:dyDescent="0.25">
      <c r="A272" s="72" t="str">
        <f>'Scenario Test'!$A$28</f>
        <v>DPT_MLS_001</v>
      </c>
      <c r="B272" s="14" t="str">
        <f>VLOOKUP(TestCase!A272,'Scenario Test'!$A$5:$B$129,2,0)</f>
        <v>Close deposit account by miscellaneous</v>
      </c>
      <c r="C272" s="94" t="s">
        <v>551</v>
      </c>
      <c r="D272" s="94"/>
      <c r="E272" s="75" t="s">
        <v>583</v>
      </c>
      <c r="F272" s="75"/>
      <c r="G272" s="96" t="s">
        <v>4</v>
      </c>
      <c r="H272" s="97"/>
      <c r="I272" s="133">
        <v>45624</v>
      </c>
      <c r="J272" s="98"/>
      <c r="K272" s="98"/>
      <c r="L272" s="98"/>
      <c r="M272" s="98"/>
      <c r="N272" s="96" t="s">
        <v>66</v>
      </c>
      <c r="O272" s="97"/>
    </row>
    <row r="273" spans="1:15" s="99" customFormat="1" ht="290.39999999999998" x14ac:dyDescent="0.25">
      <c r="A273" s="72" t="str">
        <f>'Scenario Test'!$A$28</f>
        <v>DPT_MLS_001</v>
      </c>
      <c r="B273" s="14" t="str">
        <f>VLOOKUP(TestCase!A273,'Scenario Test'!$A$5:$B$129,2,0)</f>
        <v>Close deposit account by miscellaneous</v>
      </c>
      <c r="C273" s="94" t="s">
        <v>552</v>
      </c>
      <c r="D273" s="94"/>
      <c r="E273" s="75" t="s">
        <v>584</v>
      </c>
      <c r="F273" s="75"/>
      <c r="G273" s="96" t="s">
        <v>4</v>
      </c>
      <c r="H273" s="97"/>
      <c r="I273" s="133">
        <v>45624</v>
      </c>
      <c r="J273" s="98"/>
      <c r="K273" s="98"/>
      <c r="L273" s="98"/>
      <c r="M273" s="98"/>
      <c r="N273" s="96" t="s">
        <v>66</v>
      </c>
      <c r="O273" s="97"/>
    </row>
    <row r="274" spans="1:15" s="99" customFormat="1" ht="290.39999999999998" x14ac:dyDescent="0.25">
      <c r="A274" s="72" t="str">
        <f>'Scenario Test'!$A$28</f>
        <v>DPT_MLS_001</v>
      </c>
      <c r="B274" s="14" t="str">
        <f>VLOOKUP(TestCase!A274,'Scenario Test'!$A$5:$B$129,2,0)</f>
        <v>Close deposit account by miscellaneous</v>
      </c>
      <c r="C274" s="94" t="s">
        <v>553</v>
      </c>
      <c r="D274" s="94"/>
      <c r="E274" s="75" t="s">
        <v>584</v>
      </c>
      <c r="F274" s="75"/>
      <c r="G274" s="96" t="s">
        <v>4</v>
      </c>
      <c r="H274" s="97"/>
      <c r="I274" s="133">
        <v>45624</v>
      </c>
      <c r="J274" s="98"/>
      <c r="K274" s="98"/>
      <c r="L274" s="98"/>
      <c r="M274" s="98"/>
      <c r="N274" s="96" t="s">
        <v>66</v>
      </c>
      <c r="O274" s="97"/>
    </row>
    <row r="275" spans="1:15" s="99" customFormat="1" ht="290.39999999999998" x14ac:dyDescent="0.25">
      <c r="A275" s="72" t="str">
        <f>'Scenario Test'!$A$28</f>
        <v>DPT_MLS_001</v>
      </c>
      <c r="B275" s="14" t="str">
        <f>VLOOKUP(TestCase!A275,'Scenario Test'!$A$5:$B$129,2,0)</f>
        <v>Close deposit account by miscellaneous</v>
      </c>
      <c r="C275" s="94" t="s">
        <v>554</v>
      </c>
      <c r="D275" s="94"/>
      <c r="E275" s="75" t="s">
        <v>585</v>
      </c>
      <c r="F275" s="75"/>
      <c r="G275" s="96" t="s">
        <v>4</v>
      </c>
      <c r="H275" s="97"/>
      <c r="I275" s="133">
        <v>45624</v>
      </c>
      <c r="J275" s="98"/>
      <c r="K275" s="98"/>
      <c r="L275" s="98"/>
      <c r="M275" s="98"/>
      <c r="N275" s="96" t="s">
        <v>66</v>
      </c>
      <c r="O275" s="97"/>
    </row>
    <row r="276" spans="1:15" s="99" customFormat="1" ht="290.39999999999998" x14ac:dyDescent="0.25">
      <c r="A276" s="72" t="str">
        <f>'Scenario Test'!$A$28</f>
        <v>DPT_MLS_001</v>
      </c>
      <c r="B276" s="14" t="str">
        <f>VLOOKUP(TestCase!A276,'Scenario Test'!$A$5:$B$129,2,0)</f>
        <v>Close deposit account by miscellaneous</v>
      </c>
      <c r="C276" s="94" t="s">
        <v>555</v>
      </c>
      <c r="D276" s="94"/>
      <c r="E276" s="75" t="s">
        <v>585</v>
      </c>
      <c r="F276" s="75"/>
      <c r="G276" s="96" t="s">
        <v>4</v>
      </c>
      <c r="H276" s="97"/>
      <c r="I276" s="133">
        <v>45624</v>
      </c>
      <c r="J276" s="98"/>
      <c r="K276" s="98"/>
      <c r="L276" s="98"/>
      <c r="M276" s="98"/>
      <c r="N276" s="96" t="s">
        <v>66</v>
      </c>
      <c r="O276" s="97"/>
    </row>
    <row r="277" spans="1:15" s="99" customFormat="1" ht="290.39999999999998" x14ac:dyDescent="0.25">
      <c r="A277" s="72" t="str">
        <f>'Scenario Test'!$A$28</f>
        <v>DPT_MLS_001</v>
      </c>
      <c r="B277" s="14" t="str">
        <f>VLOOKUP(TestCase!A277,'Scenario Test'!$A$5:$B$129,2,0)</f>
        <v>Close deposit account by miscellaneous</v>
      </c>
      <c r="C277" s="94" t="s">
        <v>556</v>
      </c>
      <c r="D277" s="94"/>
      <c r="E277" s="75" t="s">
        <v>585</v>
      </c>
      <c r="F277" s="75"/>
      <c r="G277" s="96" t="s">
        <v>4</v>
      </c>
      <c r="H277" s="97"/>
      <c r="I277" s="133">
        <v>45624</v>
      </c>
      <c r="J277" s="98"/>
      <c r="K277" s="98"/>
      <c r="L277" s="98"/>
      <c r="M277" s="98"/>
      <c r="N277" s="96" t="s">
        <v>66</v>
      </c>
      <c r="O277" s="97"/>
    </row>
    <row r="278" spans="1:15" s="99" customFormat="1" x14ac:dyDescent="0.25">
      <c r="A278" s="72" t="str">
        <f>'Scenario Test'!$A$28</f>
        <v>DPT_MLS_001</v>
      </c>
      <c r="B278" s="14" t="str">
        <f>VLOOKUP(TestCase!A278,'Scenario Test'!$A$5:$B$129,2,0)</f>
        <v>Close deposit account by miscellaneous</v>
      </c>
      <c r="C278" s="94" t="s">
        <v>557</v>
      </c>
      <c r="D278" s="94"/>
      <c r="E278" s="76" t="s">
        <v>729</v>
      </c>
      <c r="F278" s="75"/>
      <c r="G278" s="96" t="s">
        <v>4</v>
      </c>
      <c r="H278" s="97"/>
      <c r="I278" s="133">
        <v>45624</v>
      </c>
      <c r="J278" s="98"/>
      <c r="K278" s="98"/>
      <c r="L278" s="98"/>
      <c r="M278" s="98"/>
      <c r="N278" s="96" t="s">
        <v>66</v>
      </c>
      <c r="O278" s="97"/>
    </row>
    <row r="279" spans="1:15" s="99" customFormat="1" x14ac:dyDescent="0.25">
      <c r="A279" s="72" t="str">
        <f>'Scenario Test'!$A$28</f>
        <v>DPT_MLS_001</v>
      </c>
      <c r="B279" s="14" t="str">
        <f>VLOOKUP(TestCase!A279,'Scenario Test'!$A$5:$B$129,2,0)</f>
        <v>Close deposit account by miscellaneous</v>
      </c>
      <c r="C279" s="94" t="s">
        <v>558</v>
      </c>
      <c r="D279" s="94"/>
      <c r="E279" s="76" t="s">
        <v>730</v>
      </c>
      <c r="F279" s="75"/>
      <c r="G279" s="96" t="s">
        <v>4</v>
      </c>
      <c r="H279" s="97"/>
      <c r="I279" s="133">
        <v>45624</v>
      </c>
      <c r="J279" s="98"/>
      <c r="K279" s="98"/>
      <c r="L279" s="98"/>
      <c r="M279" s="98"/>
      <c r="N279" s="96" t="s">
        <v>66</v>
      </c>
      <c r="O279" s="97"/>
    </row>
    <row r="280" spans="1:15" s="99" customFormat="1" x14ac:dyDescent="0.25">
      <c r="A280" s="72" t="str">
        <f>'Scenario Test'!$A$28</f>
        <v>DPT_MLS_001</v>
      </c>
      <c r="B280" s="14" t="str">
        <f>VLOOKUP(TestCase!A280,'Scenario Test'!$A$5:$B$129,2,0)</f>
        <v>Close deposit account by miscellaneous</v>
      </c>
      <c r="C280" s="94" t="s">
        <v>559</v>
      </c>
      <c r="D280" s="94"/>
      <c r="E280" s="76" t="s">
        <v>811</v>
      </c>
      <c r="F280" s="75"/>
      <c r="G280" s="96" t="s">
        <v>4</v>
      </c>
      <c r="H280" s="97"/>
      <c r="I280" s="133">
        <v>45624</v>
      </c>
      <c r="J280" s="98"/>
      <c r="K280" s="98"/>
      <c r="L280" s="98"/>
      <c r="M280" s="98"/>
      <c r="N280" s="96" t="s">
        <v>66</v>
      </c>
      <c r="O280" s="97"/>
    </row>
    <row r="281" spans="1:15" s="99" customFormat="1" x14ac:dyDescent="0.25">
      <c r="A281" s="72" t="str">
        <f>'Scenario Test'!$A$28</f>
        <v>DPT_MLS_001</v>
      </c>
      <c r="B281" s="14" t="str">
        <f>VLOOKUP(TestCase!A281,'Scenario Test'!$A$5:$B$129,2,0)</f>
        <v>Close deposit account by miscellaneous</v>
      </c>
      <c r="C281" s="94" t="s">
        <v>560</v>
      </c>
      <c r="D281" s="94"/>
      <c r="E281" s="76" t="s">
        <v>812</v>
      </c>
      <c r="F281" s="75"/>
      <c r="G281" s="96" t="s">
        <v>4</v>
      </c>
      <c r="H281" s="97"/>
      <c r="I281" s="133">
        <v>45624</v>
      </c>
      <c r="J281" s="98"/>
      <c r="K281" s="98"/>
      <c r="L281" s="98"/>
      <c r="M281" s="98"/>
      <c r="N281" s="96" t="s">
        <v>66</v>
      </c>
      <c r="O281" s="97"/>
    </row>
    <row r="282" spans="1:15" s="99" customFormat="1" x14ac:dyDescent="0.25">
      <c r="A282" s="72" t="str">
        <f>'Scenario Test'!$A$28</f>
        <v>DPT_MLS_001</v>
      </c>
      <c r="B282" s="14" t="str">
        <f>VLOOKUP(TestCase!A282,'Scenario Test'!$A$5:$B$129,2,0)</f>
        <v>Close deposit account by miscellaneous</v>
      </c>
      <c r="C282" s="94" t="s">
        <v>561</v>
      </c>
      <c r="D282" s="94"/>
      <c r="E282" s="76" t="s">
        <v>813</v>
      </c>
      <c r="F282" s="75"/>
      <c r="G282" s="96" t="s">
        <v>4</v>
      </c>
      <c r="H282" s="97"/>
      <c r="I282" s="133">
        <v>45624</v>
      </c>
      <c r="J282" s="98"/>
      <c r="K282" s="98"/>
      <c r="L282" s="98"/>
      <c r="M282" s="98"/>
      <c r="N282" s="96" t="s">
        <v>66</v>
      </c>
      <c r="O282" s="97"/>
    </row>
    <row r="283" spans="1:15" s="99" customFormat="1" ht="158.4" x14ac:dyDescent="0.25">
      <c r="A283" s="72" t="str">
        <f>'Scenario Test'!$A$28</f>
        <v>DPT_MLS_001</v>
      </c>
      <c r="B283" s="14" t="str">
        <f>VLOOKUP(TestCase!A283,'Scenario Test'!$A$5:$B$129,2,0)</f>
        <v>Close deposit account by miscellaneous</v>
      </c>
      <c r="C283" s="94" t="s">
        <v>562</v>
      </c>
      <c r="D283" s="94"/>
      <c r="E283" s="75" t="s">
        <v>814</v>
      </c>
      <c r="F283" s="75"/>
      <c r="G283" s="96" t="s">
        <v>4</v>
      </c>
      <c r="H283" s="97"/>
      <c r="I283" s="133">
        <v>45624</v>
      </c>
      <c r="J283" s="98"/>
      <c r="K283" s="98"/>
      <c r="L283" s="98"/>
      <c r="M283" s="98"/>
      <c r="N283" s="96" t="s">
        <v>66</v>
      </c>
      <c r="O283" s="97"/>
    </row>
    <row r="284" spans="1:15" s="99" customFormat="1" ht="237.6" x14ac:dyDescent="0.25">
      <c r="A284" s="72" t="str">
        <f>'Scenario Test'!$A$28</f>
        <v>DPT_MLS_001</v>
      </c>
      <c r="B284" s="14" t="str">
        <f>VLOOKUP(TestCase!A284,'Scenario Test'!$A$5:$B$129,2,0)</f>
        <v>Close deposit account by miscellaneous</v>
      </c>
      <c r="C284" s="94" t="s">
        <v>563</v>
      </c>
      <c r="D284" s="94"/>
      <c r="E284" s="75" t="s">
        <v>586</v>
      </c>
      <c r="F284" s="75"/>
      <c r="G284" s="96" t="s">
        <v>4</v>
      </c>
      <c r="H284" s="97"/>
      <c r="I284" s="133">
        <v>45624</v>
      </c>
      <c r="J284" s="98"/>
      <c r="K284" s="98"/>
      <c r="L284" s="98"/>
      <c r="M284" s="98"/>
      <c r="N284" s="96" t="s">
        <v>66</v>
      </c>
      <c r="O284" s="97"/>
    </row>
    <row r="285" spans="1:15" s="99" customFormat="1" ht="237.6" x14ac:dyDescent="0.25">
      <c r="A285" s="72" t="str">
        <f>'Scenario Test'!$A$28</f>
        <v>DPT_MLS_001</v>
      </c>
      <c r="B285" s="14" t="str">
        <f>VLOOKUP(TestCase!A285,'Scenario Test'!$A$5:$B$129,2,0)</f>
        <v>Close deposit account by miscellaneous</v>
      </c>
      <c r="C285" s="94" t="s">
        <v>564</v>
      </c>
      <c r="D285" s="94"/>
      <c r="E285" s="75" t="s">
        <v>587</v>
      </c>
      <c r="F285" s="75"/>
      <c r="G285" s="96" t="s">
        <v>4</v>
      </c>
      <c r="H285" s="97"/>
      <c r="I285" s="133">
        <v>45624</v>
      </c>
      <c r="J285" s="98"/>
      <c r="K285" s="98"/>
      <c r="L285" s="98"/>
      <c r="M285" s="98"/>
      <c r="N285" s="96" t="s">
        <v>66</v>
      </c>
      <c r="O285" s="97"/>
    </row>
    <row r="286" spans="1:15" s="99" customFormat="1" ht="250.8" x14ac:dyDescent="0.25">
      <c r="A286" s="72" t="str">
        <f>'Scenario Test'!$A$28</f>
        <v>DPT_MLS_001</v>
      </c>
      <c r="B286" s="14" t="str">
        <f>VLOOKUP(TestCase!A286,'Scenario Test'!$A$5:$B$129,2,0)</f>
        <v>Close deposit account by miscellaneous</v>
      </c>
      <c r="C286" s="94" t="s">
        <v>565</v>
      </c>
      <c r="D286" s="94"/>
      <c r="E286" s="75" t="s">
        <v>588</v>
      </c>
      <c r="F286" s="75"/>
      <c r="G286" s="96" t="s">
        <v>4</v>
      </c>
      <c r="H286" s="97"/>
      <c r="I286" s="133">
        <v>45624</v>
      </c>
      <c r="J286" s="98"/>
      <c r="K286" s="98"/>
      <c r="L286" s="98"/>
      <c r="M286" s="98"/>
      <c r="N286" s="96" t="s">
        <v>66</v>
      </c>
      <c r="O286" s="97"/>
    </row>
    <row r="287" spans="1:15" s="99" customFormat="1" ht="237.6" x14ac:dyDescent="0.25">
      <c r="A287" s="72" t="str">
        <f>'Scenario Test'!$A$28</f>
        <v>DPT_MLS_001</v>
      </c>
      <c r="B287" s="14" t="str">
        <f>VLOOKUP(TestCase!A287,'Scenario Test'!$A$5:$B$129,2,0)</f>
        <v>Close deposit account by miscellaneous</v>
      </c>
      <c r="C287" s="94" t="s">
        <v>566</v>
      </c>
      <c r="D287" s="94"/>
      <c r="E287" s="75" t="s">
        <v>589</v>
      </c>
      <c r="F287" s="75"/>
      <c r="G287" s="96" t="s">
        <v>4</v>
      </c>
      <c r="H287" s="97"/>
      <c r="I287" s="133">
        <v>45624</v>
      </c>
      <c r="J287" s="98"/>
      <c r="K287" s="98"/>
      <c r="L287" s="98"/>
      <c r="M287" s="98"/>
      <c r="N287" s="96" t="s">
        <v>66</v>
      </c>
      <c r="O287" s="97"/>
    </row>
    <row r="288" spans="1:15" s="99" customFormat="1" ht="237.6" x14ac:dyDescent="0.25">
      <c r="A288" s="72" t="str">
        <f>'Scenario Test'!$A$28</f>
        <v>DPT_MLS_001</v>
      </c>
      <c r="B288" s="14" t="str">
        <f>VLOOKUP(TestCase!A288,'Scenario Test'!$A$5:$B$129,2,0)</f>
        <v>Close deposit account by miscellaneous</v>
      </c>
      <c r="C288" s="94" t="s">
        <v>567</v>
      </c>
      <c r="D288" s="94"/>
      <c r="E288" s="75" t="s">
        <v>590</v>
      </c>
      <c r="F288" s="75"/>
      <c r="G288" s="96" t="s">
        <v>4</v>
      </c>
      <c r="H288" s="97"/>
      <c r="I288" s="133">
        <v>45624</v>
      </c>
      <c r="J288" s="98"/>
      <c r="K288" s="98"/>
      <c r="L288" s="98"/>
      <c r="M288" s="98"/>
      <c r="N288" s="96" t="s">
        <v>66</v>
      </c>
      <c r="O288" s="97"/>
    </row>
    <row r="289" spans="1:15" s="99" customFormat="1" ht="237.6" x14ac:dyDescent="0.25">
      <c r="A289" s="72" t="str">
        <f>'Scenario Test'!$A$28</f>
        <v>DPT_MLS_001</v>
      </c>
      <c r="B289" s="14" t="str">
        <f>VLOOKUP(TestCase!A289,'Scenario Test'!$A$5:$B$129,2,0)</f>
        <v>Close deposit account by miscellaneous</v>
      </c>
      <c r="C289" s="94" t="s">
        <v>568</v>
      </c>
      <c r="D289" s="94"/>
      <c r="E289" s="75" t="s">
        <v>591</v>
      </c>
      <c r="F289" s="75"/>
      <c r="G289" s="96" t="s">
        <v>4</v>
      </c>
      <c r="H289" s="97"/>
      <c r="I289" s="133">
        <v>45624</v>
      </c>
      <c r="J289" s="98"/>
      <c r="K289" s="98"/>
      <c r="L289" s="98"/>
      <c r="M289" s="98"/>
      <c r="N289" s="96" t="s">
        <v>66</v>
      </c>
      <c r="O289" s="97"/>
    </row>
    <row r="290" spans="1:15" s="99" customFormat="1" x14ac:dyDescent="0.25">
      <c r="A290" s="72" t="str">
        <f>'Scenario Test'!$A$28</f>
        <v>DPT_MLS_001</v>
      </c>
      <c r="B290" s="14" t="str">
        <f>VLOOKUP(TestCase!A290,'Scenario Test'!$A$5:$B$129,2,0)</f>
        <v>Close deposit account by miscellaneous</v>
      </c>
      <c r="C290" s="94" t="s">
        <v>569</v>
      </c>
      <c r="D290" s="94"/>
      <c r="E290" s="76" t="s">
        <v>120</v>
      </c>
      <c r="F290" s="95" t="s">
        <v>243</v>
      </c>
      <c r="G290" s="96" t="s">
        <v>4</v>
      </c>
      <c r="H290" s="97"/>
      <c r="I290" s="133">
        <v>45624</v>
      </c>
      <c r="J290" s="98"/>
      <c r="K290" s="98"/>
      <c r="L290" s="98"/>
      <c r="M290" s="98"/>
      <c r="N290" s="96" t="s">
        <v>66</v>
      </c>
      <c r="O290" s="97"/>
    </row>
    <row r="291" spans="1:15" x14ac:dyDescent="0.25">
      <c r="A291" s="41" t="str">
        <f>'Scenario Test'!$A$29</f>
        <v>DPT_CLS_002</v>
      </c>
      <c r="B291" s="42" t="str">
        <f>VLOOKUP(TestCase!A291,'Scenario Test'!$A$5:$B$129,2,0)</f>
        <v>Close deposit account - Early Termination</v>
      </c>
      <c r="C291" s="41"/>
      <c r="D291" s="41"/>
      <c r="E291" s="41"/>
      <c r="F291" s="41"/>
      <c r="G291" s="43"/>
      <c r="H291" s="42"/>
      <c r="I291" s="43"/>
      <c r="J291" s="42"/>
      <c r="K291" s="42"/>
      <c r="L291" s="42"/>
      <c r="M291" s="42"/>
      <c r="N291" s="42"/>
      <c r="O291" s="42"/>
    </row>
    <row r="292" spans="1:15" s="99" customFormat="1" ht="250.8" x14ac:dyDescent="0.25">
      <c r="A292" s="72" t="str">
        <f>'Scenario Test'!$A$29</f>
        <v>DPT_CLS_002</v>
      </c>
      <c r="B292" s="14" t="str">
        <f>VLOOKUP(TestCase!A292,'Scenario Test'!$A$5:$B$129,2,0)</f>
        <v>Close deposit account - Early Termination</v>
      </c>
      <c r="C292" s="94" t="s">
        <v>407</v>
      </c>
      <c r="D292" s="94"/>
      <c r="E292" s="75" t="s">
        <v>375</v>
      </c>
      <c r="F292" s="75"/>
      <c r="G292" s="96" t="s">
        <v>4</v>
      </c>
      <c r="H292" s="97"/>
      <c r="I292" s="133">
        <v>45618</v>
      </c>
      <c r="J292" s="98"/>
      <c r="K292" s="98"/>
      <c r="L292" s="98"/>
      <c r="M292" s="98"/>
      <c r="N292" s="96" t="s">
        <v>66</v>
      </c>
      <c r="O292" s="97"/>
    </row>
    <row r="293" spans="1:15" s="99" customFormat="1" ht="250.8" x14ac:dyDescent="0.25">
      <c r="A293" s="72" t="str">
        <f>'Scenario Test'!$A$29</f>
        <v>DPT_CLS_002</v>
      </c>
      <c r="B293" s="14" t="str">
        <f>VLOOKUP(TestCase!A293,'Scenario Test'!$A$5:$B$129,2,0)</f>
        <v>Close deposit account - Early Termination</v>
      </c>
      <c r="C293" s="94" t="s">
        <v>408</v>
      </c>
      <c r="D293" s="94"/>
      <c r="E293" s="75" t="s">
        <v>376</v>
      </c>
      <c r="F293" s="75"/>
      <c r="G293" s="96" t="s">
        <v>4</v>
      </c>
      <c r="H293" s="97"/>
      <c r="I293" s="133">
        <v>45618</v>
      </c>
      <c r="J293" s="98"/>
      <c r="K293" s="98"/>
      <c r="L293" s="98"/>
      <c r="M293" s="98"/>
      <c r="N293" s="96" t="s">
        <v>66</v>
      </c>
      <c r="O293" s="97"/>
    </row>
    <row r="294" spans="1:15" s="99" customFormat="1" ht="250.8" x14ac:dyDescent="0.25">
      <c r="A294" s="72" t="str">
        <f>'Scenario Test'!$A$29</f>
        <v>DPT_CLS_002</v>
      </c>
      <c r="B294" s="14" t="str">
        <f>VLOOKUP(TestCase!A294,'Scenario Test'!$A$5:$B$129,2,0)</f>
        <v>Close deposit account - Early Termination</v>
      </c>
      <c r="C294" s="94" t="s">
        <v>409</v>
      </c>
      <c r="D294" s="94"/>
      <c r="E294" s="75" t="s">
        <v>377</v>
      </c>
      <c r="F294" s="75"/>
      <c r="G294" s="96" t="s">
        <v>4</v>
      </c>
      <c r="H294" s="97"/>
      <c r="I294" s="133">
        <v>45618</v>
      </c>
      <c r="J294" s="98"/>
      <c r="K294" s="98"/>
      <c r="L294" s="98"/>
      <c r="M294" s="98"/>
      <c r="N294" s="96" t="s">
        <v>66</v>
      </c>
      <c r="O294" s="97"/>
    </row>
    <row r="295" spans="1:15" s="99" customFormat="1" ht="250.8" x14ac:dyDescent="0.25">
      <c r="A295" s="72" t="str">
        <f>'Scenario Test'!$A$29</f>
        <v>DPT_CLS_002</v>
      </c>
      <c r="B295" s="14" t="str">
        <f>VLOOKUP(TestCase!A295,'Scenario Test'!$A$5:$B$129,2,0)</f>
        <v>Close deposit account - Early Termination</v>
      </c>
      <c r="C295" s="94" t="s">
        <v>410</v>
      </c>
      <c r="D295" s="94"/>
      <c r="E295" s="75" t="s">
        <v>378</v>
      </c>
      <c r="F295" s="75"/>
      <c r="G295" s="96" t="s">
        <v>4</v>
      </c>
      <c r="H295" s="97"/>
      <c r="I295" s="133">
        <v>45618</v>
      </c>
      <c r="J295" s="98"/>
      <c r="K295" s="98"/>
      <c r="L295" s="98"/>
      <c r="M295" s="98"/>
      <c r="N295" s="96" t="s">
        <v>66</v>
      </c>
      <c r="O295" s="97"/>
    </row>
    <row r="296" spans="1:15" s="99" customFormat="1" ht="250.8" x14ac:dyDescent="0.25">
      <c r="A296" s="72" t="str">
        <f>'Scenario Test'!$A$29</f>
        <v>DPT_CLS_002</v>
      </c>
      <c r="B296" s="14" t="str">
        <f>VLOOKUP(TestCase!A296,'Scenario Test'!$A$5:$B$129,2,0)</f>
        <v>Close deposit account - Early Termination</v>
      </c>
      <c r="C296" s="94" t="s">
        <v>411</v>
      </c>
      <c r="D296" s="94"/>
      <c r="E296" s="75" t="s">
        <v>379</v>
      </c>
      <c r="F296" s="75"/>
      <c r="G296" s="96" t="s">
        <v>4</v>
      </c>
      <c r="H296" s="97"/>
      <c r="I296" s="133">
        <v>45618</v>
      </c>
      <c r="J296" s="98"/>
      <c r="K296" s="98"/>
      <c r="L296" s="98"/>
      <c r="M296" s="98"/>
      <c r="N296" s="96" t="s">
        <v>66</v>
      </c>
      <c r="O296" s="97"/>
    </row>
    <row r="297" spans="1:15" s="99" customFormat="1" ht="250.8" x14ac:dyDescent="0.25">
      <c r="A297" s="72" t="str">
        <f>'Scenario Test'!$A$29</f>
        <v>DPT_CLS_002</v>
      </c>
      <c r="B297" s="14" t="str">
        <f>VLOOKUP(TestCase!A297,'Scenario Test'!$A$5:$B$129,2,0)</f>
        <v>Close deposit account - Early Termination</v>
      </c>
      <c r="C297" s="94" t="s">
        <v>412</v>
      </c>
      <c r="D297" s="94"/>
      <c r="E297" s="75" t="s">
        <v>380</v>
      </c>
      <c r="F297" s="75"/>
      <c r="G297" s="96" t="s">
        <v>4</v>
      </c>
      <c r="H297" s="97"/>
      <c r="I297" s="133">
        <v>45618</v>
      </c>
      <c r="J297" s="98"/>
      <c r="K297" s="98"/>
      <c r="L297" s="98"/>
      <c r="M297" s="98"/>
      <c r="N297" s="96" t="s">
        <v>66</v>
      </c>
      <c r="O297" s="97"/>
    </row>
    <row r="298" spans="1:15" s="99" customFormat="1" ht="250.8" x14ac:dyDescent="0.25">
      <c r="A298" s="72" t="str">
        <f>'Scenario Test'!$A$29</f>
        <v>DPT_CLS_002</v>
      </c>
      <c r="B298" s="14" t="str">
        <f>VLOOKUP(TestCase!A298,'Scenario Test'!$A$5:$B$129,2,0)</f>
        <v>Close deposit account - Early Termination</v>
      </c>
      <c r="C298" s="94" t="s">
        <v>413</v>
      </c>
      <c r="D298" s="94"/>
      <c r="E298" s="75" t="s">
        <v>381</v>
      </c>
      <c r="F298" s="75"/>
      <c r="G298" s="96" t="s">
        <v>4</v>
      </c>
      <c r="H298" s="97"/>
      <c r="I298" s="133">
        <v>45618</v>
      </c>
      <c r="J298" s="98"/>
      <c r="K298" s="98"/>
      <c r="L298" s="98"/>
      <c r="M298" s="98"/>
      <c r="N298" s="96" t="s">
        <v>66</v>
      </c>
      <c r="O298" s="97"/>
    </row>
    <row r="299" spans="1:15" s="99" customFormat="1" ht="250.8" x14ac:dyDescent="0.25">
      <c r="A299" s="72" t="str">
        <f>'Scenario Test'!$A$29</f>
        <v>DPT_CLS_002</v>
      </c>
      <c r="B299" s="14" t="str">
        <f>VLOOKUP(TestCase!A299,'Scenario Test'!$A$5:$B$129,2,0)</f>
        <v>Close deposit account - Early Termination</v>
      </c>
      <c r="C299" s="94" t="s">
        <v>414</v>
      </c>
      <c r="D299" s="94"/>
      <c r="E299" s="75" t="s">
        <v>382</v>
      </c>
      <c r="F299" s="75"/>
      <c r="G299" s="96" t="s">
        <v>4</v>
      </c>
      <c r="H299" s="97"/>
      <c r="I299" s="133">
        <v>45618</v>
      </c>
      <c r="J299" s="98"/>
      <c r="K299" s="98"/>
      <c r="L299" s="98"/>
      <c r="M299" s="98"/>
      <c r="N299" s="96" t="s">
        <v>66</v>
      </c>
      <c r="O299" s="97"/>
    </row>
    <row r="300" spans="1:15" s="99" customFormat="1" ht="250.8" x14ac:dyDescent="0.25">
      <c r="A300" s="72" t="str">
        <f>'Scenario Test'!$A$29</f>
        <v>DPT_CLS_002</v>
      </c>
      <c r="B300" s="14" t="str">
        <f>VLOOKUP(TestCase!A300,'Scenario Test'!$A$5:$B$129,2,0)</f>
        <v>Close deposit account - Early Termination</v>
      </c>
      <c r="C300" s="94" t="s">
        <v>415</v>
      </c>
      <c r="D300" s="94"/>
      <c r="E300" s="75" t="s">
        <v>383</v>
      </c>
      <c r="F300" s="75"/>
      <c r="G300" s="96" t="s">
        <v>4</v>
      </c>
      <c r="H300" s="97"/>
      <c r="I300" s="133">
        <v>45618</v>
      </c>
      <c r="J300" s="98"/>
      <c r="K300" s="98"/>
      <c r="L300" s="98"/>
      <c r="M300" s="98"/>
      <c r="N300" s="96" t="s">
        <v>66</v>
      </c>
      <c r="O300" s="97"/>
    </row>
    <row r="301" spans="1:15" s="99" customFormat="1" ht="250.8" x14ac:dyDescent="0.25">
      <c r="A301" s="72" t="str">
        <f>'Scenario Test'!$A$29</f>
        <v>DPT_CLS_002</v>
      </c>
      <c r="B301" s="14" t="str">
        <f>VLOOKUP(TestCase!A301,'Scenario Test'!$A$5:$B$129,2,0)</f>
        <v>Close deposit account - Early Termination</v>
      </c>
      <c r="C301" s="94" t="s">
        <v>416</v>
      </c>
      <c r="D301" s="94"/>
      <c r="E301" s="75" t="s">
        <v>384</v>
      </c>
      <c r="F301" s="75"/>
      <c r="G301" s="96" t="s">
        <v>4</v>
      </c>
      <c r="H301" s="97"/>
      <c r="I301" s="133">
        <v>45618</v>
      </c>
      <c r="J301" s="98"/>
      <c r="K301" s="98"/>
      <c r="L301" s="98"/>
      <c r="M301" s="98"/>
      <c r="N301" s="96" t="s">
        <v>66</v>
      </c>
      <c r="O301" s="97"/>
    </row>
    <row r="302" spans="1:15" s="99" customFormat="1" ht="250.8" x14ac:dyDescent="0.25">
      <c r="A302" s="72" t="str">
        <f>'Scenario Test'!$A$29</f>
        <v>DPT_CLS_002</v>
      </c>
      <c r="B302" s="14" t="str">
        <f>VLOOKUP(TestCase!A302,'Scenario Test'!$A$5:$B$129,2,0)</f>
        <v>Close deposit account - Early Termination</v>
      </c>
      <c r="C302" s="94" t="s">
        <v>417</v>
      </c>
      <c r="D302" s="94"/>
      <c r="E302" s="75" t="s">
        <v>385</v>
      </c>
      <c r="F302" s="75"/>
      <c r="G302" s="96" t="s">
        <v>4</v>
      </c>
      <c r="H302" s="97"/>
      <c r="I302" s="133">
        <v>45618</v>
      </c>
      <c r="J302" s="98"/>
      <c r="K302" s="98"/>
      <c r="L302" s="98"/>
      <c r="M302" s="98"/>
      <c r="N302" s="96" t="s">
        <v>66</v>
      </c>
      <c r="O302" s="97"/>
    </row>
    <row r="303" spans="1:15" s="99" customFormat="1" ht="250.8" x14ac:dyDescent="0.25">
      <c r="A303" s="72" t="str">
        <f>'Scenario Test'!$A$29</f>
        <v>DPT_CLS_002</v>
      </c>
      <c r="B303" s="14" t="str">
        <f>VLOOKUP(TestCase!A303,'Scenario Test'!$A$5:$B$129,2,0)</f>
        <v>Close deposit account - Early Termination</v>
      </c>
      <c r="C303" s="94" t="s">
        <v>418</v>
      </c>
      <c r="D303" s="94"/>
      <c r="E303" s="75" t="s">
        <v>386</v>
      </c>
      <c r="F303" s="75"/>
      <c r="G303" s="96" t="s">
        <v>4</v>
      </c>
      <c r="H303" s="97"/>
      <c r="I303" s="133">
        <v>45618</v>
      </c>
      <c r="J303" s="98"/>
      <c r="K303" s="98"/>
      <c r="L303" s="98"/>
      <c r="M303" s="98"/>
      <c r="N303" s="96" t="s">
        <v>66</v>
      </c>
      <c r="O303" s="97"/>
    </row>
    <row r="304" spans="1:15" s="99" customFormat="1" ht="250.8" x14ac:dyDescent="0.25">
      <c r="A304" s="72" t="str">
        <f>'Scenario Test'!$A$29</f>
        <v>DPT_CLS_002</v>
      </c>
      <c r="B304" s="14" t="str">
        <f>VLOOKUP(TestCase!A304,'Scenario Test'!$A$5:$B$129,2,0)</f>
        <v>Close deposit account - Early Termination</v>
      </c>
      <c r="C304" s="94" t="s">
        <v>419</v>
      </c>
      <c r="D304" s="94"/>
      <c r="E304" s="75" t="s">
        <v>387</v>
      </c>
      <c r="F304" s="75"/>
      <c r="G304" s="96" t="s">
        <v>4</v>
      </c>
      <c r="H304" s="97"/>
      <c r="I304" s="133">
        <v>45618</v>
      </c>
      <c r="J304" s="98"/>
      <c r="K304" s="98"/>
      <c r="L304" s="98"/>
      <c r="M304" s="98"/>
      <c r="N304" s="96" t="s">
        <v>66</v>
      </c>
      <c r="O304" s="97"/>
    </row>
    <row r="305" spans="1:15" s="99" customFormat="1" ht="250.8" x14ac:dyDescent="0.25">
      <c r="A305" s="72" t="str">
        <f>'Scenario Test'!$A$29</f>
        <v>DPT_CLS_002</v>
      </c>
      <c r="B305" s="14" t="str">
        <f>VLOOKUP(TestCase!A305,'Scenario Test'!$A$5:$B$129,2,0)</f>
        <v>Close deposit account - Early Termination</v>
      </c>
      <c r="C305" s="94" t="s">
        <v>420</v>
      </c>
      <c r="D305" s="94"/>
      <c r="E305" s="75" t="s">
        <v>388</v>
      </c>
      <c r="F305" s="75"/>
      <c r="G305" s="96" t="s">
        <v>4</v>
      </c>
      <c r="H305" s="97"/>
      <c r="I305" s="133">
        <v>45618</v>
      </c>
      <c r="J305" s="98"/>
      <c r="K305" s="98"/>
      <c r="L305" s="98"/>
      <c r="M305" s="98"/>
      <c r="N305" s="96" t="s">
        <v>66</v>
      </c>
      <c r="O305" s="97"/>
    </row>
    <row r="306" spans="1:15" s="99" customFormat="1" ht="250.8" x14ac:dyDescent="0.25">
      <c r="A306" s="72" t="str">
        <f>'Scenario Test'!$A$29</f>
        <v>DPT_CLS_002</v>
      </c>
      <c r="B306" s="14" t="str">
        <f>VLOOKUP(TestCase!A306,'Scenario Test'!$A$5:$B$129,2,0)</f>
        <v>Close deposit account - Early Termination</v>
      </c>
      <c r="C306" s="94" t="s">
        <v>421</v>
      </c>
      <c r="D306" s="94"/>
      <c r="E306" s="75" t="s">
        <v>389</v>
      </c>
      <c r="F306" s="75"/>
      <c r="G306" s="96" t="s">
        <v>4</v>
      </c>
      <c r="H306" s="97"/>
      <c r="I306" s="133">
        <v>45618</v>
      </c>
      <c r="J306" s="98"/>
      <c r="K306" s="98"/>
      <c r="L306" s="98"/>
      <c r="M306" s="98"/>
      <c r="N306" s="96" t="s">
        <v>66</v>
      </c>
      <c r="O306" s="97"/>
    </row>
    <row r="307" spans="1:15" s="99" customFormat="1" ht="250.8" x14ac:dyDescent="0.25">
      <c r="A307" s="72" t="str">
        <f>'Scenario Test'!$A$29</f>
        <v>DPT_CLS_002</v>
      </c>
      <c r="B307" s="14" t="str">
        <f>VLOOKUP(TestCase!A307,'Scenario Test'!$A$5:$B$129,2,0)</f>
        <v>Close deposit account - Early Termination</v>
      </c>
      <c r="C307" s="94" t="s">
        <v>422</v>
      </c>
      <c r="D307" s="94"/>
      <c r="E307" s="75" t="s">
        <v>390</v>
      </c>
      <c r="F307" s="75"/>
      <c r="G307" s="96" t="s">
        <v>4</v>
      </c>
      <c r="H307" s="97"/>
      <c r="I307" s="133">
        <v>45618</v>
      </c>
      <c r="J307" s="98"/>
      <c r="K307" s="98"/>
      <c r="L307" s="98"/>
      <c r="M307" s="98"/>
      <c r="N307" s="96" t="s">
        <v>66</v>
      </c>
      <c r="O307" s="97"/>
    </row>
    <row r="308" spans="1:15" s="99" customFormat="1" ht="250.8" x14ac:dyDescent="0.25">
      <c r="A308" s="72" t="str">
        <f>'Scenario Test'!$A$29</f>
        <v>DPT_CLS_002</v>
      </c>
      <c r="B308" s="14" t="str">
        <f>VLOOKUP(TestCase!A308,'Scenario Test'!$A$5:$B$129,2,0)</f>
        <v>Close deposit account - Early Termination</v>
      </c>
      <c r="C308" s="94" t="s">
        <v>423</v>
      </c>
      <c r="D308" s="94"/>
      <c r="E308" s="75" t="s">
        <v>391</v>
      </c>
      <c r="F308" s="75"/>
      <c r="G308" s="96" t="s">
        <v>4</v>
      </c>
      <c r="H308" s="97"/>
      <c r="I308" s="133">
        <v>45618</v>
      </c>
      <c r="J308" s="98"/>
      <c r="K308" s="98"/>
      <c r="L308" s="98"/>
      <c r="M308" s="98"/>
      <c r="N308" s="96" t="s">
        <v>66</v>
      </c>
      <c r="O308" s="97"/>
    </row>
    <row r="309" spans="1:15" s="99" customFormat="1" ht="250.8" x14ac:dyDescent="0.25">
      <c r="A309" s="72" t="str">
        <f>'Scenario Test'!$A$29</f>
        <v>DPT_CLS_002</v>
      </c>
      <c r="B309" s="14" t="str">
        <f>VLOOKUP(TestCase!A309,'Scenario Test'!$A$5:$B$129,2,0)</f>
        <v>Close deposit account - Early Termination</v>
      </c>
      <c r="C309" s="94" t="s">
        <v>424</v>
      </c>
      <c r="D309" s="94"/>
      <c r="E309" s="75" t="s">
        <v>392</v>
      </c>
      <c r="F309" s="75"/>
      <c r="G309" s="96" t="s">
        <v>4</v>
      </c>
      <c r="H309" s="97"/>
      <c r="I309" s="133">
        <v>45618</v>
      </c>
      <c r="J309" s="98"/>
      <c r="K309" s="98"/>
      <c r="L309" s="98"/>
      <c r="M309" s="98"/>
      <c r="N309" s="96" t="s">
        <v>66</v>
      </c>
      <c r="O309" s="97"/>
    </row>
    <row r="310" spans="1:15" s="99" customFormat="1" ht="250.8" x14ac:dyDescent="0.25">
      <c r="A310" s="72" t="str">
        <f>'Scenario Test'!$A$29</f>
        <v>DPT_CLS_002</v>
      </c>
      <c r="B310" s="14" t="str">
        <f>VLOOKUP(TestCase!A310,'Scenario Test'!$A$5:$B$129,2,0)</f>
        <v>Close deposit account - Early Termination</v>
      </c>
      <c r="C310" s="94" t="s">
        <v>425</v>
      </c>
      <c r="D310" s="94"/>
      <c r="E310" s="75" t="s">
        <v>393</v>
      </c>
      <c r="F310" s="75"/>
      <c r="G310" s="96" t="s">
        <v>4</v>
      </c>
      <c r="H310" s="97"/>
      <c r="I310" s="133">
        <v>45618</v>
      </c>
      <c r="J310" s="98"/>
      <c r="K310" s="98"/>
      <c r="L310" s="98"/>
      <c r="M310" s="98"/>
      <c r="N310" s="96" t="s">
        <v>66</v>
      </c>
      <c r="O310" s="97"/>
    </row>
    <row r="311" spans="1:15" s="99" customFormat="1" ht="250.8" x14ac:dyDescent="0.25">
      <c r="A311" s="72" t="str">
        <f>'Scenario Test'!$A$29</f>
        <v>DPT_CLS_002</v>
      </c>
      <c r="B311" s="14" t="str">
        <f>VLOOKUP(TestCase!A311,'Scenario Test'!$A$5:$B$129,2,0)</f>
        <v>Close deposit account - Early Termination</v>
      </c>
      <c r="C311" s="94" t="s">
        <v>426</v>
      </c>
      <c r="D311" s="94"/>
      <c r="E311" s="75" t="s">
        <v>394</v>
      </c>
      <c r="F311" s="75"/>
      <c r="G311" s="96" t="s">
        <v>4</v>
      </c>
      <c r="H311" s="97"/>
      <c r="I311" s="133">
        <v>45618</v>
      </c>
      <c r="J311" s="98"/>
      <c r="K311" s="98"/>
      <c r="L311" s="98"/>
      <c r="M311" s="98"/>
      <c r="N311" s="96" t="s">
        <v>66</v>
      </c>
      <c r="O311" s="97"/>
    </row>
    <row r="312" spans="1:15" s="99" customFormat="1" ht="250.8" x14ac:dyDescent="0.25">
      <c r="A312" s="72" t="str">
        <f>'Scenario Test'!$A$29</f>
        <v>DPT_CLS_002</v>
      </c>
      <c r="B312" s="14" t="str">
        <f>VLOOKUP(TestCase!A312,'Scenario Test'!$A$5:$B$129,2,0)</f>
        <v>Close deposit account - Early Termination</v>
      </c>
      <c r="C312" s="94" t="s">
        <v>427</v>
      </c>
      <c r="D312" s="94"/>
      <c r="E312" s="75" t="s">
        <v>395</v>
      </c>
      <c r="F312" s="75"/>
      <c r="G312" s="96" t="s">
        <v>4</v>
      </c>
      <c r="H312" s="97"/>
      <c r="I312" s="133">
        <v>45618</v>
      </c>
      <c r="J312" s="98"/>
      <c r="K312" s="98"/>
      <c r="L312" s="98"/>
      <c r="M312" s="98"/>
      <c r="N312" s="96" t="s">
        <v>66</v>
      </c>
      <c r="O312" s="97"/>
    </row>
    <row r="313" spans="1:15" s="99" customFormat="1" ht="250.8" x14ac:dyDescent="0.25">
      <c r="A313" s="72" t="str">
        <f>'Scenario Test'!$A$29</f>
        <v>DPT_CLS_002</v>
      </c>
      <c r="B313" s="14" t="str">
        <f>VLOOKUP(TestCase!A313,'Scenario Test'!$A$5:$B$129,2,0)</f>
        <v>Close deposit account - Early Termination</v>
      </c>
      <c r="C313" s="94" t="s">
        <v>428</v>
      </c>
      <c r="D313" s="94"/>
      <c r="E313" s="75" t="s">
        <v>396</v>
      </c>
      <c r="F313" s="75"/>
      <c r="G313" s="96" t="s">
        <v>4</v>
      </c>
      <c r="H313" s="97"/>
      <c r="I313" s="133">
        <v>45618</v>
      </c>
      <c r="J313" s="98"/>
      <c r="K313" s="98"/>
      <c r="L313" s="98"/>
      <c r="M313" s="98"/>
      <c r="N313" s="96" t="s">
        <v>66</v>
      </c>
      <c r="O313" s="97"/>
    </row>
    <row r="314" spans="1:15" s="99" customFormat="1" ht="264" x14ac:dyDescent="0.25">
      <c r="A314" s="72" t="str">
        <f>'Scenario Test'!$A$29</f>
        <v>DPT_CLS_002</v>
      </c>
      <c r="B314" s="14" t="str">
        <f>VLOOKUP(TestCase!A314,'Scenario Test'!$A$5:$B$129,2,0)</f>
        <v>Close deposit account - Early Termination</v>
      </c>
      <c r="C314" s="94" t="s">
        <v>431</v>
      </c>
      <c r="D314" s="94"/>
      <c r="E314" s="75" t="s">
        <v>403</v>
      </c>
      <c r="F314" s="75"/>
      <c r="G314" s="96" t="s">
        <v>4</v>
      </c>
      <c r="H314" s="97"/>
      <c r="I314" s="133">
        <v>45618</v>
      </c>
      <c r="J314" s="98"/>
      <c r="K314" s="98"/>
      <c r="L314" s="98"/>
      <c r="M314" s="98"/>
      <c r="N314" s="96" t="s">
        <v>66</v>
      </c>
      <c r="O314" s="97"/>
    </row>
    <row r="315" spans="1:15" s="99" customFormat="1" ht="264" x14ac:dyDescent="0.25">
      <c r="A315" s="72" t="str">
        <f>'Scenario Test'!$A$29</f>
        <v>DPT_CLS_002</v>
      </c>
      <c r="B315" s="14" t="str">
        <f>VLOOKUP(TestCase!A315,'Scenario Test'!$A$5:$B$129,2,0)</f>
        <v>Close deposit account - Early Termination</v>
      </c>
      <c r="C315" s="94" t="s">
        <v>432</v>
      </c>
      <c r="D315" s="94"/>
      <c r="E315" s="75" t="s">
        <v>404</v>
      </c>
      <c r="F315" s="75"/>
      <c r="G315" s="96" t="s">
        <v>4</v>
      </c>
      <c r="H315" s="97"/>
      <c r="I315" s="133">
        <v>45618</v>
      </c>
      <c r="J315" s="98"/>
      <c r="K315" s="98"/>
      <c r="L315" s="98"/>
      <c r="M315" s="98"/>
      <c r="N315" s="96" t="s">
        <v>66</v>
      </c>
      <c r="O315" s="97"/>
    </row>
    <row r="316" spans="1:15" s="99" customFormat="1" ht="250.8" x14ac:dyDescent="0.25">
      <c r="A316" s="72" t="str">
        <f>'Scenario Test'!$A$29</f>
        <v>DPT_CLS_002</v>
      </c>
      <c r="B316" s="14" t="str">
        <f>VLOOKUP(TestCase!A316,'Scenario Test'!$A$5:$B$129,2,0)</f>
        <v>Close deposit account - Early Termination</v>
      </c>
      <c r="C316" s="94" t="s">
        <v>433</v>
      </c>
      <c r="D316" s="94"/>
      <c r="E316" s="75" t="s">
        <v>405</v>
      </c>
      <c r="F316" s="75"/>
      <c r="G316" s="96" t="s">
        <v>4</v>
      </c>
      <c r="H316" s="97"/>
      <c r="I316" s="133">
        <v>45618</v>
      </c>
      <c r="J316" s="98"/>
      <c r="K316" s="98"/>
      <c r="L316" s="98"/>
      <c r="M316" s="98"/>
      <c r="N316" s="96" t="s">
        <v>66</v>
      </c>
      <c r="O316" s="97"/>
    </row>
    <row r="317" spans="1:15" s="99" customFormat="1" ht="250.8" x14ac:dyDescent="0.25">
      <c r="A317" s="72" t="str">
        <f>'Scenario Test'!$A$29</f>
        <v>DPT_CLS_002</v>
      </c>
      <c r="B317" s="14" t="str">
        <f>VLOOKUP(TestCase!A317,'Scenario Test'!$A$5:$B$129,2,0)</f>
        <v>Close deposit account - Early Termination</v>
      </c>
      <c r="C317" s="94" t="s">
        <v>434</v>
      </c>
      <c r="D317" s="94"/>
      <c r="E317" s="75" t="s">
        <v>406</v>
      </c>
      <c r="F317" s="75"/>
      <c r="G317" s="96" t="s">
        <v>4</v>
      </c>
      <c r="H317" s="97"/>
      <c r="I317" s="133">
        <v>45618</v>
      </c>
      <c r="J317" s="98"/>
      <c r="K317" s="98"/>
      <c r="L317" s="98"/>
      <c r="M317" s="98"/>
      <c r="N317" s="96" t="s">
        <v>66</v>
      </c>
      <c r="O317" s="97"/>
    </row>
    <row r="318" spans="1:15" x14ac:dyDescent="0.25">
      <c r="A318" s="42" t="str">
        <f>'Scenario Test'!$A$30</f>
        <v>DPT_DLS_002</v>
      </c>
      <c r="B318" s="42" t="str">
        <f>VLOOKUP(TestCase!A318,'Scenario Test'!$A$5:$B$129,2,0)</f>
        <v>Close deposit account by deposit - Early Termination</v>
      </c>
      <c r="C318" s="41"/>
      <c r="D318" s="41"/>
      <c r="E318" s="41"/>
      <c r="F318" s="41"/>
      <c r="G318" s="43"/>
      <c r="H318" s="42"/>
      <c r="I318" s="43"/>
      <c r="J318" s="42"/>
      <c r="K318" s="42"/>
      <c r="L318" s="42"/>
      <c r="M318" s="42"/>
      <c r="N318" s="42"/>
      <c r="O318" s="42"/>
    </row>
    <row r="319" spans="1:15" s="99" customFormat="1" ht="316.8" x14ac:dyDescent="0.25">
      <c r="A319" s="72" t="str">
        <f>'Scenario Test'!$A$30</f>
        <v>DPT_DLS_002</v>
      </c>
      <c r="B319" s="14" t="str">
        <f>VLOOKUP(TestCase!A319,'Scenario Test'!$A$5:$B$129,2,0)</f>
        <v>Close deposit account by deposit - Early Termination</v>
      </c>
      <c r="C319" s="94" t="s">
        <v>486</v>
      </c>
      <c r="D319" s="94"/>
      <c r="E319" s="75" t="s">
        <v>528</v>
      </c>
      <c r="F319" s="75"/>
      <c r="G319" s="96" t="s">
        <v>4</v>
      </c>
      <c r="H319" s="97"/>
      <c r="I319" s="133">
        <v>45624</v>
      </c>
      <c r="J319" s="98"/>
      <c r="K319" s="98"/>
      <c r="L319" s="98"/>
      <c r="M319" s="98"/>
      <c r="N319" s="96" t="s">
        <v>66</v>
      </c>
      <c r="O319" s="97"/>
    </row>
    <row r="320" spans="1:15" s="99" customFormat="1" ht="316.8" x14ac:dyDescent="0.25">
      <c r="A320" s="72" t="str">
        <f>'Scenario Test'!$A$30</f>
        <v>DPT_DLS_002</v>
      </c>
      <c r="B320" s="14" t="str">
        <f>VLOOKUP(TestCase!A320,'Scenario Test'!$A$5:$B$129,2,0)</f>
        <v>Close deposit account by deposit - Early Termination</v>
      </c>
      <c r="C320" s="94" t="s">
        <v>487</v>
      </c>
      <c r="D320" s="94"/>
      <c r="E320" s="75" t="s">
        <v>529</v>
      </c>
      <c r="F320" s="75"/>
      <c r="G320" s="96" t="s">
        <v>4</v>
      </c>
      <c r="H320" s="97"/>
      <c r="I320" s="133">
        <v>45624</v>
      </c>
      <c r="J320" s="98"/>
      <c r="K320" s="98"/>
      <c r="L320" s="98"/>
      <c r="M320" s="98"/>
      <c r="N320" s="96" t="s">
        <v>66</v>
      </c>
      <c r="O320" s="97"/>
    </row>
    <row r="321" spans="1:15" s="99" customFormat="1" ht="316.8" x14ac:dyDescent="0.25">
      <c r="A321" s="72" t="str">
        <f>'Scenario Test'!$A$30</f>
        <v>DPT_DLS_002</v>
      </c>
      <c r="B321" s="14" t="str">
        <f>VLOOKUP(TestCase!A321,'Scenario Test'!$A$5:$B$129,2,0)</f>
        <v>Close deposit account by deposit - Early Termination</v>
      </c>
      <c r="C321" s="94" t="s">
        <v>488</v>
      </c>
      <c r="D321" s="94"/>
      <c r="E321" s="75" t="s">
        <v>619</v>
      </c>
      <c r="F321" s="75"/>
      <c r="G321" s="96" t="s">
        <v>4</v>
      </c>
      <c r="H321" s="97"/>
      <c r="I321" s="133">
        <v>45624</v>
      </c>
      <c r="J321" s="98"/>
      <c r="K321" s="98"/>
      <c r="L321" s="98"/>
      <c r="M321" s="98"/>
      <c r="N321" s="96" t="s">
        <v>66</v>
      </c>
      <c r="O321" s="97"/>
    </row>
    <row r="322" spans="1:15" s="99" customFormat="1" ht="316.8" x14ac:dyDescent="0.25">
      <c r="A322" s="72" t="str">
        <f>'Scenario Test'!$A$30</f>
        <v>DPT_DLS_002</v>
      </c>
      <c r="B322" s="14" t="str">
        <f>VLOOKUP(TestCase!A322,'Scenario Test'!$A$5:$B$129,2,0)</f>
        <v>Close deposit account by deposit - Early Termination</v>
      </c>
      <c r="C322" s="94" t="s">
        <v>489</v>
      </c>
      <c r="D322" s="94"/>
      <c r="E322" s="75" t="s">
        <v>620</v>
      </c>
      <c r="F322" s="75"/>
      <c r="G322" s="96" t="s">
        <v>4</v>
      </c>
      <c r="H322" s="97"/>
      <c r="I322" s="133">
        <v>45624</v>
      </c>
      <c r="J322" s="98"/>
      <c r="K322" s="98"/>
      <c r="L322" s="98"/>
      <c r="M322" s="98"/>
      <c r="N322" s="96" t="s">
        <v>66</v>
      </c>
      <c r="O322" s="97"/>
    </row>
    <row r="323" spans="1:15" s="99" customFormat="1" ht="316.8" x14ac:dyDescent="0.25">
      <c r="A323" s="72" t="str">
        <f>'Scenario Test'!$A$30</f>
        <v>DPT_DLS_002</v>
      </c>
      <c r="B323" s="14" t="str">
        <f>VLOOKUP(TestCase!A323,'Scenario Test'!$A$5:$B$129,2,0)</f>
        <v>Close deposit account by deposit - Early Termination</v>
      </c>
      <c r="C323" s="94" t="s">
        <v>490</v>
      </c>
      <c r="D323" s="94"/>
      <c r="E323" s="75" t="s">
        <v>621</v>
      </c>
      <c r="F323" s="75"/>
      <c r="G323" s="96" t="s">
        <v>4</v>
      </c>
      <c r="H323" s="97"/>
      <c r="I323" s="133">
        <v>45624</v>
      </c>
      <c r="J323" s="98"/>
      <c r="K323" s="98"/>
      <c r="L323" s="98"/>
      <c r="M323" s="98"/>
      <c r="N323" s="96" t="s">
        <v>66</v>
      </c>
      <c r="O323" s="97"/>
    </row>
    <row r="324" spans="1:15" s="99" customFormat="1" ht="316.8" x14ac:dyDescent="0.25">
      <c r="A324" s="72" t="str">
        <f>'Scenario Test'!$A$30</f>
        <v>DPT_DLS_002</v>
      </c>
      <c r="B324" s="14" t="str">
        <f>VLOOKUP(TestCase!A324,'Scenario Test'!$A$5:$B$129,2,0)</f>
        <v>Close deposit account by deposit - Early Termination</v>
      </c>
      <c r="C324" s="94" t="s">
        <v>491</v>
      </c>
      <c r="D324" s="94"/>
      <c r="E324" s="75" t="s">
        <v>530</v>
      </c>
      <c r="F324" s="75"/>
      <c r="G324" s="96" t="s">
        <v>4</v>
      </c>
      <c r="H324" s="97"/>
      <c r="I324" s="133">
        <v>45624</v>
      </c>
      <c r="J324" s="98"/>
      <c r="K324" s="98"/>
      <c r="L324" s="98"/>
      <c r="M324" s="98"/>
      <c r="N324" s="96" t="s">
        <v>66</v>
      </c>
      <c r="O324" s="97"/>
    </row>
    <row r="325" spans="1:15" s="99" customFormat="1" ht="316.8" x14ac:dyDescent="0.25">
      <c r="A325" s="72" t="str">
        <f>'Scenario Test'!$A$30</f>
        <v>DPT_DLS_002</v>
      </c>
      <c r="B325" s="14" t="str">
        <f>VLOOKUP(TestCase!A325,'Scenario Test'!$A$5:$B$129,2,0)</f>
        <v>Close deposit account by deposit - Early Termination</v>
      </c>
      <c r="C325" s="94" t="s">
        <v>492</v>
      </c>
      <c r="D325" s="94"/>
      <c r="E325" s="75" t="s">
        <v>622</v>
      </c>
      <c r="F325" s="75"/>
      <c r="G325" s="96" t="s">
        <v>4</v>
      </c>
      <c r="H325" s="97"/>
      <c r="I325" s="133">
        <v>45624</v>
      </c>
      <c r="J325" s="98"/>
      <c r="K325" s="98"/>
      <c r="L325" s="98"/>
      <c r="M325" s="98"/>
      <c r="N325" s="96" t="s">
        <v>66</v>
      </c>
      <c r="O325" s="97"/>
    </row>
    <row r="326" spans="1:15" s="99" customFormat="1" ht="316.8" x14ac:dyDescent="0.25">
      <c r="A326" s="72" t="str">
        <f>'Scenario Test'!$A$30</f>
        <v>DPT_DLS_002</v>
      </c>
      <c r="B326" s="14" t="str">
        <f>VLOOKUP(TestCase!A326,'Scenario Test'!$A$5:$B$129,2,0)</f>
        <v>Close deposit account by deposit - Early Termination</v>
      </c>
      <c r="C326" s="94" t="s">
        <v>493</v>
      </c>
      <c r="D326" s="94"/>
      <c r="E326" s="75" t="s">
        <v>623</v>
      </c>
      <c r="F326" s="75"/>
      <c r="G326" s="96" t="s">
        <v>4</v>
      </c>
      <c r="H326" s="97"/>
      <c r="I326" s="133">
        <v>45624</v>
      </c>
      <c r="J326" s="98"/>
      <c r="K326" s="98"/>
      <c r="L326" s="98"/>
      <c r="M326" s="98"/>
      <c r="N326" s="96" t="s">
        <v>66</v>
      </c>
      <c r="O326" s="97"/>
    </row>
    <row r="327" spans="1:15" s="99" customFormat="1" ht="316.8" x14ac:dyDescent="0.25">
      <c r="A327" s="72" t="str">
        <f>'Scenario Test'!$A$30</f>
        <v>DPT_DLS_002</v>
      </c>
      <c r="B327" s="14" t="str">
        <f>VLOOKUP(TestCase!A327,'Scenario Test'!$A$5:$B$129,2,0)</f>
        <v>Close deposit account by deposit - Early Termination</v>
      </c>
      <c r="C327" s="94" t="s">
        <v>494</v>
      </c>
      <c r="D327" s="94"/>
      <c r="E327" s="75" t="s">
        <v>624</v>
      </c>
      <c r="F327" s="75"/>
      <c r="G327" s="96" t="s">
        <v>4</v>
      </c>
      <c r="H327" s="97"/>
      <c r="I327" s="133">
        <v>45624</v>
      </c>
      <c r="J327" s="98"/>
      <c r="K327" s="98"/>
      <c r="L327" s="98"/>
      <c r="M327" s="98"/>
      <c r="N327" s="96" t="s">
        <v>66</v>
      </c>
      <c r="O327" s="97"/>
    </row>
    <row r="328" spans="1:15" s="99" customFormat="1" ht="316.8" x14ac:dyDescent="0.25">
      <c r="A328" s="72" t="str">
        <f>'Scenario Test'!$A$30</f>
        <v>DPT_DLS_002</v>
      </c>
      <c r="B328" s="14" t="str">
        <f>VLOOKUP(TestCase!A328,'Scenario Test'!$A$5:$B$129,2,0)</f>
        <v>Close deposit account by deposit - Early Termination</v>
      </c>
      <c r="C328" s="94" t="s">
        <v>495</v>
      </c>
      <c r="D328" s="94"/>
      <c r="E328" s="75" t="s">
        <v>531</v>
      </c>
      <c r="F328" s="75"/>
      <c r="G328" s="96" t="s">
        <v>4</v>
      </c>
      <c r="H328" s="97"/>
      <c r="I328" s="133">
        <v>45624</v>
      </c>
      <c r="J328" s="98"/>
      <c r="K328" s="98"/>
      <c r="L328" s="98"/>
      <c r="M328" s="98"/>
      <c r="N328" s="96" t="s">
        <v>66</v>
      </c>
      <c r="O328" s="97"/>
    </row>
    <row r="329" spans="1:15" s="99" customFormat="1" ht="316.8" x14ac:dyDescent="0.25">
      <c r="A329" s="72" t="str">
        <f>'Scenario Test'!$A$30</f>
        <v>DPT_DLS_002</v>
      </c>
      <c r="B329" s="14" t="str">
        <f>VLOOKUP(TestCase!A329,'Scenario Test'!$A$5:$B$129,2,0)</f>
        <v>Close deposit account by deposit - Early Termination</v>
      </c>
      <c r="C329" s="94" t="s">
        <v>496</v>
      </c>
      <c r="D329" s="94"/>
      <c r="E329" s="75" t="s">
        <v>532</v>
      </c>
      <c r="F329" s="75"/>
      <c r="G329" s="96" t="s">
        <v>4</v>
      </c>
      <c r="H329" s="97"/>
      <c r="I329" s="133">
        <v>45624</v>
      </c>
      <c r="J329" s="98"/>
      <c r="K329" s="98"/>
      <c r="L329" s="98"/>
      <c r="M329" s="98"/>
      <c r="N329" s="96" t="s">
        <v>66</v>
      </c>
      <c r="O329" s="97"/>
    </row>
    <row r="330" spans="1:15" s="99" customFormat="1" ht="316.8" x14ac:dyDescent="0.25">
      <c r="A330" s="72" t="str">
        <f>'Scenario Test'!$A$30</f>
        <v>DPT_DLS_002</v>
      </c>
      <c r="B330" s="14" t="str">
        <f>VLOOKUP(TestCase!A330,'Scenario Test'!$A$5:$B$129,2,0)</f>
        <v>Close deposit account by deposit - Early Termination</v>
      </c>
      <c r="C330" s="94" t="s">
        <v>497</v>
      </c>
      <c r="D330" s="94"/>
      <c r="E330" s="75" t="s">
        <v>533</v>
      </c>
      <c r="F330" s="75"/>
      <c r="G330" s="96" t="s">
        <v>4</v>
      </c>
      <c r="H330" s="97"/>
      <c r="I330" s="133">
        <v>45624</v>
      </c>
      <c r="J330" s="98"/>
      <c r="K330" s="98"/>
      <c r="L330" s="98"/>
      <c r="M330" s="98"/>
      <c r="N330" s="96" t="s">
        <v>66</v>
      </c>
      <c r="O330" s="97"/>
    </row>
    <row r="331" spans="1:15" s="99" customFormat="1" ht="316.8" x14ac:dyDescent="0.25">
      <c r="A331" s="72" t="str">
        <f>'Scenario Test'!$A$30</f>
        <v>DPT_DLS_002</v>
      </c>
      <c r="B331" s="14" t="str">
        <f>VLOOKUP(TestCase!A331,'Scenario Test'!$A$5:$B$129,2,0)</f>
        <v>Close deposit account by deposit - Early Termination</v>
      </c>
      <c r="C331" s="94" t="s">
        <v>498</v>
      </c>
      <c r="D331" s="94"/>
      <c r="E331" s="75" t="s">
        <v>625</v>
      </c>
      <c r="F331" s="75"/>
      <c r="G331" s="96" t="s">
        <v>4</v>
      </c>
      <c r="H331" s="97"/>
      <c r="I331" s="133">
        <v>45624</v>
      </c>
      <c r="J331" s="98"/>
      <c r="K331" s="98"/>
      <c r="L331" s="98"/>
      <c r="M331" s="98"/>
      <c r="N331" s="96" t="s">
        <v>66</v>
      </c>
      <c r="O331" s="97"/>
    </row>
    <row r="332" spans="1:15" s="99" customFormat="1" ht="316.8" x14ac:dyDescent="0.25">
      <c r="A332" s="72" t="str">
        <f>'Scenario Test'!$A$30</f>
        <v>DPT_DLS_002</v>
      </c>
      <c r="B332" s="14" t="str">
        <f>VLOOKUP(TestCase!A332,'Scenario Test'!$A$5:$B$129,2,0)</f>
        <v>Close deposit account by deposit - Early Termination</v>
      </c>
      <c r="C332" s="94" t="s">
        <v>499</v>
      </c>
      <c r="D332" s="94"/>
      <c r="E332" s="75" t="s">
        <v>626</v>
      </c>
      <c r="F332" s="75"/>
      <c r="G332" s="96" t="s">
        <v>4</v>
      </c>
      <c r="H332" s="97"/>
      <c r="I332" s="133">
        <v>45624</v>
      </c>
      <c r="J332" s="98"/>
      <c r="K332" s="98"/>
      <c r="L332" s="98"/>
      <c r="M332" s="98"/>
      <c r="N332" s="96" t="s">
        <v>66</v>
      </c>
      <c r="O332" s="97"/>
    </row>
    <row r="333" spans="1:15" s="99" customFormat="1" ht="316.8" x14ac:dyDescent="0.25">
      <c r="A333" s="72" t="str">
        <f>'Scenario Test'!$A$30</f>
        <v>DPT_DLS_002</v>
      </c>
      <c r="B333" s="14" t="str">
        <f>VLOOKUP(TestCase!A333,'Scenario Test'!$A$5:$B$129,2,0)</f>
        <v>Close deposit account by deposit - Early Termination</v>
      </c>
      <c r="C333" s="94" t="s">
        <v>500</v>
      </c>
      <c r="D333" s="94"/>
      <c r="E333" s="75" t="s">
        <v>627</v>
      </c>
      <c r="F333" s="75"/>
      <c r="G333" s="96" t="s">
        <v>4</v>
      </c>
      <c r="H333" s="97"/>
      <c r="I333" s="133">
        <v>45624</v>
      </c>
      <c r="J333" s="98"/>
      <c r="K333" s="98"/>
      <c r="L333" s="98"/>
      <c r="M333" s="98"/>
      <c r="N333" s="96" t="s">
        <v>66</v>
      </c>
      <c r="O333" s="97"/>
    </row>
    <row r="334" spans="1:15" s="99" customFormat="1" ht="316.8" x14ac:dyDescent="0.25">
      <c r="A334" s="72" t="str">
        <f>'Scenario Test'!$A$30</f>
        <v>DPT_DLS_002</v>
      </c>
      <c r="B334" s="14" t="str">
        <f>VLOOKUP(TestCase!A334,'Scenario Test'!$A$5:$B$129,2,0)</f>
        <v>Close deposit account by deposit - Early Termination</v>
      </c>
      <c r="C334" s="94" t="s">
        <v>501</v>
      </c>
      <c r="D334" s="94"/>
      <c r="E334" s="75" t="s">
        <v>628</v>
      </c>
      <c r="F334" s="75"/>
      <c r="G334" s="96" t="s">
        <v>4</v>
      </c>
      <c r="H334" s="97"/>
      <c r="I334" s="133">
        <v>45624</v>
      </c>
      <c r="J334" s="98"/>
      <c r="K334" s="98"/>
      <c r="L334" s="98"/>
      <c r="M334" s="98"/>
      <c r="N334" s="96" t="s">
        <v>66</v>
      </c>
      <c r="O334" s="97"/>
    </row>
    <row r="335" spans="1:15" s="99" customFormat="1" ht="316.8" x14ac:dyDescent="0.25">
      <c r="A335" s="72" t="str">
        <f>'Scenario Test'!$A$30</f>
        <v>DPT_DLS_002</v>
      </c>
      <c r="B335" s="14" t="str">
        <f>VLOOKUP(TestCase!A335,'Scenario Test'!$A$5:$B$129,2,0)</f>
        <v>Close deposit account by deposit - Early Termination</v>
      </c>
      <c r="C335" s="94" t="s">
        <v>502</v>
      </c>
      <c r="D335" s="94"/>
      <c r="E335" s="75" t="s">
        <v>629</v>
      </c>
      <c r="F335" s="75"/>
      <c r="G335" s="96" t="s">
        <v>4</v>
      </c>
      <c r="H335" s="97"/>
      <c r="I335" s="133">
        <v>45624</v>
      </c>
      <c r="J335" s="98"/>
      <c r="K335" s="98"/>
      <c r="L335" s="98"/>
      <c r="M335" s="98"/>
      <c r="N335" s="96" t="s">
        <v>66</v>
      </c>
      <c r="O335" s="97"/>
    </row>
    <row r="336" spans="1:15" s="99" customFormat="1" ht="316.8" x14ac:dyDescent="0.25">
      <c r="A336" s="72" t="str">
        <f>'Scenario Test'!$A$30</f>
        <v>DPT_DLS_002</v>
      </c>
      <c r="B336" s="14" t="str">
        <f>VLOOKUP(TestCase!A336,'Scenario Test'!$A$5:$B$129,2,0)</f>
        <v>Close deposit account by deposit - Early Termination</v>
      </c>
      <c r="C336" s="94" t="s">
        <v>503</v>
      </c>
      <c r="D336" s="94"/>
      <c r="E336" s="75" t="s">
        <v>630</v>
      </c>
      <c r="F336" s="75"/>
      <c r="G336" s="96" t="s">
        <v>4</v>
      </c>
      <c r="H336" s="97"/>
      <c r="I336" s="133">
        <v>45624</v>
      </c>
      <c r="J336" s="98"/>
      <c r="K336" s="98"/>
      <c r="L336" s="98"/>
      <c r="M336" s="98"/>
      <c r="N336" s="96" t="s">
        <v>66</v>
      </c>
      <c r="O336" s="97"/>
    </row>
    <row r="337" spans="1:15" s="99" customFormat="1" ht="316.8" x14ac:dyDescent="0.25">
      <c r="A337" s="72" t="str">
        <f>'Scenario Test'!$A$30</f>
        <v>DPT_DLS_002</v>
      </c>
      <c r="B337" s="14" t="str">
        <f>VLOOKUP(TestCase!A337,'Scenario Test'!$A$5:$B$129,2,0)</f>
        <v>Close deposit account by deposit - Early Termination</v>
      </c>
      <c r="C337" s="94" t="s">
        <v>504</v>
      </c>
      <c r="D337" s="94"/>
      <c r="E337" s="75" t="s">
        <v>631</v>
      </c>
      <c r="F337" s="75"/>
      <c r="G337" s="96" t="s">
        <v>4</v>
      </c>
      <c r="H337" s="97"/>
      <c r="I337" s="133">
        <v>45624</v>
      </c>
      <c r="J337" s="98"/>
      <c r="K337" s="98"/>
      <c r="L337" s="98"/>
      <c r="M337" s="98"/>
      <c r="N337" s="96" t="s">
        <v>66</v>
      </c>
      <c r="O337" s="97"/>
    </row>
    <row r="338" spans="1:15" s="99" customFormat="1" ht="316.8" x14ac:dyDescent="0.25">
      <c r="A338" s="72" t="str">
        <f>'Scenario Test'!$A$30</f>
        <v>DPT_DLS_002</v>
      </c>
      <c r="B338" s="14" t="str">
        <f>VLOOKUP(TestCase!A338,'Scenario Test'!$A$5:$B$129,2,0)</f>
        <v>Close deposit account by deposit - Early Termination</v>
      </c>
      <c r="C338" s="94" t="s">
        <v>505</v>
      </c>
      <c r="D338" s="94"/>
      <c r="E338" s="75" t="s">
        <v>632</v>
      </c>
      <c r="F338" s="75"/>
      <c r="G338" s="96" t="s">
        <v>4</v>
      </c>
      <c r="H338" s="97"/>
      <c r="I338" s="133">
        <v>45624</v>
      </c>
      <c r="J338" s="98"/>
      <c r="K338" s="98"/>
      <c r="L338" s="98"/>
      <c r="M338" s="98"/>
      <c r="N338" s="96" t="s">
        <v>66</v>
      </c>
      <c r="O338" s="97"/>
    </row>
    <row r="339" spans="1:15" s="99" customFormat="1" ht="316.8" x14ac:dyDescent="0.25">
      <c r="A339" s="72" t="str">
        <f>'Scenario Test'!$A$30</f>
        <v>DPT_DLS_002</v>
      </c>
      <c r="B339" s="14" t="str">
        <f>VLOOKUP(TestCase!A339,'Scenario Test'!$A$5:$B$129,2,0)</f>
        <v>Close deposit account by deposit - Early Termination</v>
      </c>
      <c r="C339" s="94" t="s">
        <v>506</v>
      </c>
      <c r="D339" s="94"/>
      <c r="E339" s="75" t="s">
        <v>633</v>
      </c>
      <c r="F339" s="75"/>
      <c r="G339" s="96" t="s">
        <v>4</v>
      </c>
      <c r="H339" s="97"/>
      <c r="I339" s="133">
        <v>45624</v>
      </c>
      <c r="J339" s="98"/>
      <c r="K339" s="98"/>
      <c r="L339" s="98"/>
      <c r="M339" s="98"/>
      <c r="N339" s="96" t="s">
        <v>66</v>
      </c>
      <c r="O339" s="97"/>
    </row>
    <row r="340" spans="1:15" s="99" customFormat="1" ht="316.8" x14ac:dyDescent="0.25">
      <c r="A340" s="72" t="str">
        <f>'Scenario Test'!$A$30</f>
        <v>DPT_DLS_002</v>
      </c>
      <c r="B340" s="14" t="str">
        <f>VLOOKUP(TestCase!A340,'Scenario Test'!$A$5:$B$129,2,0)</f>
        <v>Close deposit account by deposit - Early Termination</v>
      </c>
      <c r="C340" s="94" t="s">
        <v>507</v>
      </c>
      <c r="D340" s="94"/>
      <c r="E340" s="75" t="s">
        <v>634</v>
      </c>
      <c r="F340" s="75"/>
      <c r="G340" s="96" t="s">
        <v>4</v>
      </c>
      <c r="H340" s="97"/>
      <c r="I340" s="133">
        <v>45624</v>
      </c>
      <c r="J340" s="98"/>
      <c r="K340" s="98"/>
      <c r="L340" s="98"/>
      <c r="M340" s="98"/>
      <c r="N340" s="96" t="s">
        <v>66</v>
      </c>
      <c r="O340" s="97"/>
    </row>
    <row r="341" spans="1:15" s="99" customFormat="1" ht="330" x14ac:dyDescent="0.25">
      <c r="A341" s="72" t="str">
        <f>'Scenario Test'!$A$30</f>
        <v>DPT_DLS_002</v>
      </c>
      <c r="B341" s="14" t="str">
        <f>VLOOKUP(TestCase!A341,'Scenario Test'!$A$5:$B$129,2,0)</f>
        <v>Close deposit account by deposit - Early Termination</v>
      </c>
      <c r="C341" s="94" t="s">
        <v>508</v>
      </c>
      <c r="D341" s="94"/>
      <c r="E341" s="75" t="s">
        <v>636</v>
      </c>
      <c r="F341" s="75"/>
      <c r="G341" s="96" t="s">
        <v>4</v>
      </c>
      <c r="H341" s="97"/>
      <c r="I341" s="133">
        <v>45624</v>
      </c>
      <c r="J341" s="98"/>
      <c r="K341" s="98"/>
      <c r="L341" s="98"/>
      <c r="M341" s="98"/>
      <c r="N341" s="96" t="s">
        <v>66</v>
      </c>
      <c r="O341" s="97"/>
    </row>
    <row r="342" spans="1:15" s="99" customFormat="1" ht="330" x14ac:dyDescent="0.25">
      <c r="A342" s="72" t="str">
        <f>'Scenario Test'!$A$30</f>
        <v>DPT_DLS_002</v>
      </c>
      <c r="B342" s="14" t="str">
        <f>VLOOKUP(TestCase!A342,'Scenario Test'!$A$5:$B$129,2,0)</f>
        <v>Close deposit account by deposit - Early Termination</v>
      </c>
      <c r="C342" s="94" t="s">
        <v>509</v>
      </c>
      <c r="D342" s="94"/>
      <c r="E342" s="75" t="s">
        <v>635</v>
      </c>
      <c r="F342" s="75"/>
      <c r="G342" s="96" t="s">
        <v>4</v>
      </c>
      <c r="H342" s="97"/>
      <c r="I342" s="133">
        <v>45624</v>
      </c>
      <c r="J342" s="98"/>
      <c r="K342" s="98"/>
      <c r="L342" s="98"/>
      <c r="M342" s="98"/>
      <c r="N342" s="96" t="s">
        <v>66</v>
      </c>
      <c r="O342" s="97"/>
    </row>
    <row r="343" spans="1:15" s="99" customFormat="1" ht="316.8" x14ac:dyDescent="0.25">
      <c r="A343" s="72" t="str">
        <f>'Scenario Test'!$A$30</f>
        <v>DPT_DLS_002</v>
      </c>
      <c r="B343" s="14" t="str">
        <f>VLOOKUP(TestCase!A343,'Scenario Test'!$A$5:$B$129,2,0)</f>
        <v>Close deposit account by deposit - Early Termination</v>
      </c>
      <c r="C343" s="94" t="s">
        <v>510</v>
      </c>
      <c r="D343" s="94"/>
      <c r="E343" s="75" t="s">
        <v>637</v>
      </c>
      <c r="F343" s="75"/>
      <c r="G343" s="96" t="s">
        <v>4</v>
      </c>
      <c r="H343" s="97"/>
      <c r="I343" s="133">
        <v>45624</v>
      </c>
      <c r="J343" s="98"/>
      <c r="K343" s="98"/>
      <c r="L343" s="98"/>
      <c r="M343" s="98"/>
      <c r="N343" s="96" t="s">
        <v>66</v>
      </c>
      <c r="O343" s="97"/>
    </row>
    <row r="344" spans="1:15" s="99" customFormat="1" ht="316.8" x14ac:dyDescent="0.25">
      <c r="A344" s="72" t="str">
        <f>'Scenario Test'!$A$30</f>
        <v>DPT_DLS_002</v>
      </c>
      <c r="B344" s="14" t="str">
        <f>VLOOKUP(TestCase!A344,'Scenario Test'!$A$5:$B$129,2,0)</f>
        <v>Close deposit account by deposit - Early Termination</v>
      </c>
      <c r="C344" s="94" t="s">
        <v>511</v>
      </c>
      <c r="D344" s="94"/>
      <c r="E344" s="75" t="s">
        <v>638</v>
      </c>
      <c r="F344" s="75"/>
      <c r="G344" s="96" t="s">
        <v>4</v>
      </c>
      <c r="H344" s="97"/>
      <c r="I344" s="133">
        <v>45624</v>
      </c>
      <c r="J344" s="98"/>
      <c r="K344" s="98"/>
      <c r="L344" s="98"/>
      <c r="M344" s="98"/>
      <c r="N344" s="96" t="s">
        <v>66</v>
      </c>
      <c r="O344" s="97"/>
    </row>
    <row r="345" spans="1:15" x14ac:dyDescent="0.25">
      <c r="A345" s="72" t="str">
        <f>'Scenario Test'!$A$30</f>
        <v>DPT_DLS_002</v>
      </c>
      <c r="B345" s="42" t="str">
        <f>VLOOKUP(TestCase!A345,'Scenario Test'!$A$5:$B$129,2,0)</f>
        <v>Close deposit account by deposit - Early Termination</v>
      </c>
      <c r="C345" s="41"/>
      <c r="D345" s="41"/>
      <c r="E345" s="41"/>
      <c r="F345" s="41"/>
      <c r="G345" s="43"/>
      <c r="H345" s="42"/>
      <c r="I345" s="43"/>
      <c r="J345" s="42"/>
      <c r="K345" s="42"/>
      <c r="L345" s="42"/>
      <c r="M345" s="42"/>
      <c r="N345" s="42"/>
      <c r="O345" s="42"/>
    </row>
    <row r="346" spans="1:15" s="99" customFormat="1" ht="316.8" x14ac:dyDescent="0.25">
      <c r="A346" s="72" t="str">
        <f>'Scenario Test'!$A$31</f>
        <v>DPT_MLS_002</v>
      </c>
      <c r="B346" s="14" t="str">
        <f>VLOOKUP(TestCase!A346,'Scenario Test'!$A$5:$B$129,2,0)</f>
        <v>Close deposit account by miscellaneous - Early Termination</v>
      </c>
      <c r="C346" s="94" t="s">
        <v>592</v>
      </c>
      <c r="D346" s="94"/>
      <c r="E346" s="75" t="s">
        <v>639</v>
      </c>
      <c r="F346" s="75"/>
      <c r="G346" s="96" t="s">
        <v>4</v>
      </c>
      <c r="H346" s="97"/>
      <c r="I346" s="133">
        <v>45624</v>
      </c>
      <c r="J346" s="98"/>
      <c r="K346" s="98"/>
      <c r="L346" s="98"/>
      <c r="M346" s="98"/>
      <c r="N346" s="96" t="s">
        <v>66</v>
      </c>
      <c r="O346" s="97"/>
    </row>
    <row r="347" spans="1:15" s="99" customFormat="1" ht="316.8" x14ac:dyDescent="0.25">
      <c r="A347" s="72" t="str">
        <f>'Scenario Test'!$A$31</f>
        <v>DPT_MLS_002</v>
      </c>
      <c r="B347" s="14" t="str">
        <f>VLOOKUP(TestCase!A347,'Scenario Test'!$A$5:$B$129,2,0)</f>
        <v>Close deposit account by miscellaneous - Early Termination</v>
      </c>
      <c r="C347" s="94" t="s">
        <v>593</v>
      </c>
      <c r="D347" s="94"/>
      <c r="E347" s="75" t="s">
        <v>640</v>
      </c>
      <c r="F347" s="75"/>
      <c r="G347" s="96" t="s">
        <v>4</v>
      </c>
      <c r="H347" s="97"/>
      <c r="I347" s="133">
        <v>45624</v>
      </c>
      <c r="J347" s="98"/>
      <c r="K347" s="98"/>
      <c r="L347" s="98"/>
      <c r="M347" s="98"/>
      <c r="N347" s="96" t="s">
        <v>66</v>
      </c>
      <c r="O347" s="97"/>
    </row>
    <row r="348" spans="1:15" s="99" customFormat="1" ht="316.8" x14ac:dyDescent="0.25">
      <c r="A348" s="72" t="str">
        <f>'Scenario Test'!$A$31</f>
        <v>DPT_MLS_002</v>
      </c>
      <c r="B348" s="14" t="str">
        <f>VLOOKUP(TestCase!A348,'Scenario Test'!$A$5:$B$129,2,0)</f>
        <v>Close deposit account by miscellaneous - Early Termination</v>
      </c>
      <c r="C348" s="94" t="s">
        <v>594</v>
      </c>
      <c r="D348" s="94"/>
      <c r="E348" s="75" t="s">
        <v>641</v>
      </c>
      <c r="F348" s="75"/>
      <c r="G348" s="96" t="s">
        <v>4</v>
      </c>
      <c r="H348" s="97"/>
      <c r="I348" s="133">
        <v>45624</v>
      </c>
      <c r="J348" s="98"/>
      <c r="K348" s="98"/>
      <c r="L348" s="98"/>
      <c r="M348" s="98"/>
      <c r="N348" s="96" t="s">
        <v>66</v>
      </c>
      <c r="O348" s="97"/>
    </row>
    <row r="349" spans="1:15" s="99" customFormat="1" ht="316.8" x14ac:dyDescent="0.25">
      <c r="A349" s="72" t="str">
        <f>'Scenario Test'!$A$31</f>
        <v>DPT_MLS_002</v>
      </c>
      <c r="B349" s="14" t="str">
        <f>VLOOKUP(TestCase!A349,'Scenario Test'!$A$5:$B$129,2,0)</f>
        <v>Close deposit account by miscellaneous - Early Termination</v>
      </c>
      <c r="C349" s="94" t="s">
        <v>595</v>
      </c>
      <c r="D349" s="94"/>
      <c r="E349" s="75" t="s">
        <v>642</v>
      </c>
      <c r="F349" s="75"/>
      <c r="G349" s="96" t="s">
        <v>4</v>
      </c>
      <c r="H349" s="97"/>
      <c r="I349" s="133">
        <v>45624</v>
      </c>
      <c r="J349" s="98"/>
      <c r="K349" s="98"/>
      <c r="L349" s="98"/>
      <c r="M349" s="98"/>
      <c r="N349" s="96" t="s">
        <v>66</v>
      </c>
      <c r="O349" s="97"/>
    </row>
    <row r="350" spans="1:15" s="99" customFormat="1" ht="316.8" x14ac:dyDescent="0.25">
      <c r="A350" s="72" t="str">
        <f>'Scenario Test'!$A$31</f>
        <v>DPT_MLS_002</v>
      </c>
      <c r="B350" s="14" t="str">
        <f>VLOOKUP(TestCase!A350,'Scenario Test'!$A$5:$B$129,2,0)</f>
        <v>Close deposit account by miscellaneous - Early Termination</v>
      </c>
      <c r="C350" s="94" t="s">
        <v>596</v>
      </c>
      <c r="D350" s="94"/>
      <c r="E350" s="75" t="s">
        <v>643</v>
      </c>
      <c r="F350" s="75"/>
      <c r="G350" s="96" t="s">
        <v>4</v>
      </c>
      <c r="H350" s="97"/>
      <c r="I350" s="133">
        <v>45624</v>
      </c>
      <c r="J350" s="98"/>
      <c r="K350" s="98"/>
      <c r="L350" s="98"/>
      <c r="M350" s="98"/>
      <c r="N350" s="96" t="s">
        <v>66</v>
      </c>
      <c r="O350" s="97"/>
    </row>
    <row r="351" spans="1:15" s="99" customFormat="1" ht="316.8" x14ac:dyDescent="0.25">
      <c r="A351" s="72" t="str">
        <f>'Scenario Test'!$A$31</f>
        <v>DPT_MLS_002</v>
      </c>
      <c r="B351" s="14" t="str">
        <f>VLOOKUP(TestCase!A351,'Scenario Test'!$A$5:$B$129,2,0)</f>
        <v>Close deposit account by miscellaneous - Early Termination</v>
      </c>
      <c r="C351" s="94" t="s">
        <v>597</v>
      </c>
      <c r="D351" s="94"/>
      <c r="E351" s="75" t="s">
        <v>644</v>
      </c>
      <c r="F351" s="75"/>
      <c r="G351" s="96" t="s">
        <v>4</v>
      </c>
      <c r="H351" s="97"/>
      <c r="I351" s="133">
        <v>45624</v>
      </c>
      <c r="J351" s="98"/>
      <c r="K351" s="98"/>
      <c r="L351" s="98"/>
      <c r="M351" s="98"/>
      <c r="N351" s="96" t="s">
        <v>66</v>
      </c>
      <c r="O351" s="97"/>
    </row>
    <row r="352" spans="1:15" s="99" customFormat="1" ht="303.60000000000002" x14ac:dyDescent="0.25">
      <c r="A352" s="72" t="str">
        <f>'Scenario Test'!$A$31</f>
        <v>DPT_MLS_002</v>
      </c>
      <c r="B352" s="14" t="str">
        <f>VLOOKUP(TestCase!A352,'Scenario Test'!$A$5:$B$129,2,0)</f>
        <v>Close deposit account by miscellaneous - Early Termination</v>
      </c>
      <c r="C352" s="94" t="s">
        <v>598</v>
      </c>
      <c r="D352" s="94"/>
      <c r="E352" s="75" t="s">
        <v>645</v>
      </c>
      <c r="F352" s="75"/>
      <c r="G352" s="96" t="s">
        <v>4</v>
      </c>
      <c r="H352" s="97"/>
      <c r="I352" s="133">
        <v>45624</v>
      </c>
      <c r="J352" s="98"/>
      <c r="K352" s="98"/>
      <c r="L352" s="98"/>
      <c r="M352" s="98"/>
      <c r="N352" s="96" t="s">
        <v>66</v>
      </c>
      <c r="O352" s="97"/>
    </row>
    <row r="353" spans="1:15" s="99" customFormat="1" ht="303.60000000000002" x14ac:dyDescent="0.25">
      <c r="A353" s="72" t="str">
        <f>'Scenario Test'!$A$31</f>
        <v>DPT_MLS_002</v>
      </c>
      <c r="B353" s="14" t="str">
        <f>VLOOKUP(TestCase!A353,'Scenario Test'!$A$5:$B$129,2,0)</f>
        <v>Close deposit account by miscellaneous - Early Termination</v>
      </c>
      <c r="C353" s="94" t="s">
        <v>599</v>
      </c>
      <c r="D353" s="94"/>
      <c r="E353" s="75" t="s">
        <v>646</v>
      </c>
      <c r="F353" s="75"/>
      <c r="G353" s="96" t="s">
        <v>4</v>
      </c>
      <c r="H353" s="97"/>
      <c r="I353" s="133">
        <v>45624</v>
      </c>
      <c r="J353" s="98"/>
      <c r="K353" s="98"/>
      <c r="L353" s="98"/>
      <c r="M353" s="98"/>
      <c r="N353" s="96" t="s">
        <v>66</v>
      </c>
      <c r="O353" s="97"/>
    </row>
    <row r="354" spans="1:15" s="99" customFormat="1" ht="303.60000000000002" x14ac:dyDescent="0.25">
      <c r="A354" s="72" t="str">
        <f>'Scenario Test'!$A$31</f>
        <v>DPT_MLS_002</v>
      </c>
      <c r="B354" s="14" t="str">
        <f>VLOOKUP(TestCase!A354,'Scenario Test'!$A$5:$B$129,2,0)</f>
        <v>Close deposit account by miscellaneous - Early Termination</v>
      </c>
      <c r="C354" s="94" t="s">
        <v>600</v>
      </c>
      <c r="D354" s="94"/>
      <c r="E354" s="75" t="s">
        <v>647</v>
      </c>
      <c r="F354" s="75"/>
      <c r="G354" s="96" t="s">
        <v>4</v>
      </c>
      <c r="H354" s="97"/>
      <c r="I354" s="133">
        <v>45624</v>
      </c>
      <c r="J354" s="98"/>
      <c r="K354" s="98"/>
      <c r="L354" s="98"/>
      <c r="M354" s="98"/>
      <c r="N354" s="96" t="s">
        <v>66</v>
      </c>
      <c r="O354" s="97"/>
    </row>
    <row r="355" spans="1:15" s="99" customFormat="1" ht="303.60000000000002" x14ac:dyDescent="0.25">
      <c r="A355" s="72" t="str">
        <f>'Scenario Test'!$A$31</f>
        <v>DPT_MLS_002</v>
      </c>
      <c r="B355" s="14" t="str">
        <f>VLOOKUP(TestCase!A355,'Scenario Test'!$A$5:$B$129,2,0)</f>
        <v>Close deposit account by miscellaneous - Early Termination</v>
      </c>
      <c r="C355" s="94" t="s">
        <v>601</v>
      </c>
      <c r="D355" s="94"/>
      <c r="E355" s="75" t="s">
        <v>648</v>
      </c>
      <c r="F355" s="75"/>
      <c r="G355" s="96" t="s">
        <v>4</v>
      </c>
      <c r="H355" s="97"/>
      <c r="I355" s="133">
        <v>45624</v>
      </c>
      <c r="J355" s="98"/>
      <c r="K355" s="98"/>
      <c r="L355" s="98"/>
      <c r="M355" s="98"/>
      <c r="N355" s="96" t="s">
        <v>66</v>
      </c>
      <c r="O355" s="97"/>
    </row>
    <row r="356" spans="1:15" s="99" customFormat="1" ht="303.60000000000002" x14ac:dyDescent="0.25">
      <c r="A356" s="72" t="str">
        <f>'Scenario Test'!$A$31</f>
        <v>DPT_MLS_002</v>
      </c>
      <c r="B356" s="14" t="str">
        <f>VLOOKUP(TestCase!A356,'Scenario Test'!$A$5:$B$129,2,0)</f>
        <v>Close deposit account by miscellaneous - Early Termination</v>
      </c>
      <c r="C356" s="94" t="s">
        <v>602</v>
      </c>
      <c r="D356" s="94"/>
      <c r="E356" s="75" t="s">
        <v>649</v>
      </c>
      <c r="F356" s="75"/>
      <c r="G356" s="96" t="s">
        <v>4</v>
      </c>
      <c r="H356" s="97"/>
      <c r="I356" s="133">
        <v>45624</v>
      </c>
      <c r="J356" s="98"/>
      <c r="K356" s="98"/>
      <c r="L356" s="98"/>
      <c r="M356" s="98"/>
      <c r="N356" s="96" t="s">
        <v>66</v>
      </c>
      <c r="O356" s="97"/>
    </row>
    <row r="357" spans="1:15" s="99" customFormat="1" ht="303.60000000000002" x14ac:dyDescent="0.25">
      <c r="A357" s="72" t="str">
        <f>'Scenario Test'!$A$31</f>
        <v>DPT_MLS_002</v>
      </c>
      <c r="B357" s="14" t="str">
        <f>VLOOKUP(TestCase!A357,'Scenario Test'!$A$5:$B$129,2,0)</f>
        <v>Close deposit account by miscellaneous - Early Termination</v>
      </c>
      <c r="C357" s="94" t="s">
        <v>603</v>
      </c>
      <c r="D357" s="94"/>
      <c r="E357" s="75" t="s">
        <v>650</v>
      </c>
      <c r="F357" s="75"/>
      <c r="G357" s="96" t="s">
        <v>4</v>
      </c>
      <c r="H357" s="97"/>
      <c r="I357" s="133">
        <v>45624</v>
      </c>
      <c r="J357" s="98"/>
      <c r="K357" s="98"/>
      <c r="L357" s="98"/>
      <c r="M357" s="98"/>
      <c r="N357" s="96" t="s">
        <v>66</v>
      </c>
      <c r="O357" s="97"/>
    </row>
    <row r="358" spans="1:15" s="99" customFormat="1" ht="303.60000000000002" x14ac:dyDescent="0.25">
      <c r="A358" s="72" t="str">
        <f>'Scenario Test'!$A$31</f>
        <v>DPT_MLS_002</v>
      </c>
      <c r="B358" s="14" t="str">
        <f>VLOOKUP(TestCase!A358,'Scenario Test'!$A$5:$B$129,2,0)</f>
        <v>Close deposit account by miscellaneous - Early Termination</v>
      </c>
      <c r="C358" s="94" t="s">
        <v>604</v>
      </c>
      <c r="D358" s="94"/>
      <c r="E358" s="75" t="s">
        <v>651</v>
      </c>
      <c r="F358" s="75"/>
      <c r="G358" s="96" t="s">
        <v>4</v>
      </c>
      <c r="H358" s="97"/>
      <c r="I358" s="133">
        <v>45624</v>
      </c>
      <c r="J358" s="98"/>
      <c r="K358" s="98"/>
      <c r="L358" s="98"/>
      <c r="M358" s="98"/>
      <c r="N358" s="96" t="s">
        <v>66</v>
      </c>
      <c r="O358" s="97"/>
    </row>
    <row r="359" spans="1:15" s="99" customFormat="1" ht="303.60000000000002" x14ac:dyDescent="0.25">
      <c r="A359" s="72" t="str">
        <f>'Scenario Test'!$A$31</f>
        <v>DPT_MLS_002</v>
      </c>
      <c r="B359" s="14" t="str">
        <f>VLOOKUP(TestCase!A359,'Scenario Test'!$A$5:$B$129,2,0)</f>
        <v>Close deposit account by miscellaneous - Early Termination</v>
      </c>
      <c r="C359" s="94" t="s">
        <v>605</v>
      </c>
      <c r="D359" s="94"/>
      <c r="E359" s="75" t="s">
        <v>652</v>
      </c>
      <c r="F359" s="75"/>
      <c r="G359" s="96" t="s">
        <v>4</v>
      </c>
      <c r="H359" s="97"/>
      <c r="I359" s="133">
        <v>45624</v>
      </c>
      <c r="J359" s="98"/>
      <c r="K359" s="98"/>
      <c r="L359" s="98"/>
      <c r="M359" s="98"/>
      <c r="N359" s="96" t="s">
        <v>66</v>
      </c>
      <c r="O359" s="97"/>
    </row>
    <row r="360" spans="1:15" s="99" customFormat="1" ht="303.60000000000002" x14ac:dyDescent="0.25">
      <c r="A360" s="72" t="str">
        <f>'Scenario Test'!$A$31</f>
        <v>DPT_MLS_002</v>
      </c>
      <c r="B360" s="14" t="str">
        <f>VLOOKUP(TestCase!A360,'Scenario Test'!$A$5:$B$129,2,0)</f>
        <v>Close deposit account by miscellaneous - Early Termination</v>
      </c>
      <c r="C360" s="94" t="s">
        <v>606</v>
      </c>
      <c r="D360" s="94"/>
      <c r="E360" s="75" t="s">
        <v>653</v>
      </c>
      <c r="F360" s="75"/>
      <c r="G360" s="96" t="s">
        <v>4</v>
      </c>
      <c r="H360" s="97"/>
      <c r="I360" s="133">
        <v>45624</v>
      </c>
      <c r="J360" s="98"/>
      <c r="K360" s="98"/>
      <c r="L360" s="98"/>
      <c r="M360" s="98"/>
      <c r="N360" s="96" t="s">
        <v>66</v>
      </c>
      <c r="O360" s="97"/>
    </row>
    <row r="361" spans="1:15" s="99" customFormat="1" ht="303.60000000000002" x14ac:dyDescent="0.25">
      <c r="A361" s="72" t="str">
        <f>'Scenario Test'!$A$31</f>
        <v>DPT_MLS_002</v>
      </c>
      <c r="B361" s="14" t="str">
        <f>VLOOKUP(TestCase!A361,'Scenario Test'!$A$5:$B$129,2,0)</f>
        <v>Close deposit account by miscellaneous - Early Termination</v>
      </c>
      <c r="C361" s="94" t="s">
        <v>607</v>
      </c>
      <c r="D361" s="94"/>
      <c r="E361" s="75" t="s">
        <v>654</v>
      </c>
      <c r="F361" s="75"/>
      <c r="G361" s="96" t="s">
        <v>4</v>
      </c>
      <c r="H361" s="97"/>
      <c r="I361" s="133">
        <v>45624</v>
      </c>
      <c r="J361" s="98"/>
      <c r="K361" s="98"/>
      <c r="L361" s="98"/>
      <c r="M361" s="98"/>
      <c r="N361" s="96" t="s">
        <v>66</v>
      </c>
      <c r="O361" s="97"/>
    </row>
    <row r="362" spans="1:15" s="99" customFormat="1" ht="303.60000000000002" x14ac:dyDescent="0.25">
      <c r="A362" s="72" t="str">
        <f>'Scenario Test'!$A$31</f>
        <v>DPT_MLS_002</v>
      </c>
      <c r="B362" s="14" t="str">
        <f>VLOOKUP(TestCase!A362,'Scenario Test'!$A$5:$B$129,2,0)</f>
        <v>Close deposit account by miscellaneous - Early Termination</v>
      </c>
      <c r="C362" s="94" t="s">
        <v>608</v>
      </c>
      <c r="D362" s="94"/>
      <c r="E362" s="75" t="s">
        <v>655</v>
      </c>
      <c r="F362" s="75"/>
      <c r="G362" s="96" t="s">
        <v>4</v>
      </c>
      <c r="H362" s="97"/>
      <c r="I362" s="133">
        <v>45624</v>
      </c>
      <c r="J362" s="98"/>
      <c r="K362" s="98"/>
      <c r="L362" s="98"/>
      <c r="M362" s="98"/>
      <c r="N362" s="96" t="s">
        <v>66</v>
      </c>
      <c r="O362" s="97"/>
    </row>
    <row r="363" spans="1:15" s="99" customFormat="1" ht="303.60000000000002" x14ac:dyDescent="0.25">
      <c r="A363" s="72" t="str">
        <f>'Scenario Test'!$A$31</f>
        <v>DPT_MLS_002</v>
      </c>
      <c r="B363" s="14" t="str">
        <f>VLOOKUP(TestCase!A363,'Scenario Test'!$A$5:$B$129,2,0)</f>
        <v>Close deposit account by miscellaneous - Early Termination</v>
      </c>
      <c r="C363" s="94" t="s">
        <v>609</v>
      </c>
      <c r="D363" s="94"/>
      <c r="E363" s="75" t="s">
        <v>656</v>
      </c>
      <c r="F363" s="75"/>
      <c r="G363" s="96" t="s">
        <v>4</v>
      </c>
      <c r="H363" s="97"/>
      <c r="I363" s="133">
        <v>45624</v>
      </c>
      <c r="J363" s="98"/>
      <c r="K363" s="98"/>
      <c r="L363" s="98"/>
      <c r="M363" s="98"/>
      <c r="N363" s="96" t="s">
        <v>66</v>
      </c>
      <c r="O363" s="97"/>
    </row>
    <row r="364" spans="1:15" s="99" customFormat="1" ht="303.60000000000002" x14ac:dyDescent="0.25">
      <c r="A364" s="72" t="str">
        <f>'Scenario Test'!$A$31</f>
        <v>DPT_MLS_002</v>
      </c>
      <c r="B364" s="14" t="str">
        <f>VLOOKUP(TestCase!A364,'Scenario Test'!$A$5:$B$129,2,0)</f>
        <v>Close deposit account by miscellaneous - Early Termination</v>
      </c>
      <c r="C364" s="94" t="s">
        <v>610</v>
      </c>
      <c r="D364" s="94"/>
      <c r="E364" s="75" t="s">
        <v>657</v>
      </c>
      <c r="F364" s="75"/>
      <c r="G364" s="96" t="s">
        <v>4</v>
      </c>
      <c r="H364" s="97"/>
      <c r="I364" s="133">
        <v>45624</v>
      </c>
      <c r="J364" s="98"/>
      <c r="K364" s="98"/>
      <c r="L364" s="98"/>
      <c r="M364" s="98"/>
      <c r="N364" s="96" t="s">
        <v>66</v>
      </c>
      <c r="O364" s="97"/>
    </row>
    <row r="365" spans="1:15" s="99" customFormat="1" ht="303.60000000000002" x14ac:dyDescent="0.25">
      <c r="A365" s="72" t="str">
        <f>'Scenario Test'!$A$31</f>
        <v>DPT_MLS_002</v>
      </c>
      <c r="B365" s="14" t="str">
        <f>VLOOKUP(TestCase!A365,'Scenario Test'!$A$5:$B$129,2,0)</f>
        <v>Close deposit account by miscellaneous - Early Termination</v>
      </c>
      <c r="C365" s="94" t="s">
        <v>611</v>
      </c>
      <c r="D365" s="94"/>
      <c r="E365" s="75" t="s">
        <v>658</v>
      </c>
      <c r="F365" s="75"/>
      <c r="G365" s="96" t="s">
        <v>4</v>
      </c>
      <c r="H365" s="97"/>
      <c r="I365" s="133">
        <v>45624</v>
      </c>
      <c r="J365" s="98"/>
      <c r="K365" s="98"/>
      <c r="L365" s="98"/>
      <c r="M365" s="98"/>
      <c r="N365" s="96" t="s">
        <v>66</v>
      </c>
      <c r="O365" s="97"/>
    </row>
    <row r="366" spans="1:15" s="99" customFormat="1" ht="303.60000000000002" x14ac:dyDescent="0.25">
      <c r="A366" s="72" t="str">
        <f>'Scenario Test'!$A$31</f>
        <v>DPT_MLS_002</v>
      </c>
      <c r="B366" s="14" t="str">
        <f>VLOOKUP(TestCase!A366,'Scenario Test'!$A$5:$B$129,2,0)</f>
        <v>Close deposit account by miscellaneous - Early Termination</v>
      </c>
      <c r="C366" s="94" t="s">
        <v>612</v>
      </c>
      <c r="D366" s="94"/>
      <c r="E366" s="75" t="s">
        <v>659</v>
      </c>
      <c r="F366" s="75"/>
      <c r="G366" s="96" t="s">
        <v>4</v>
      </c>
      <c r="H366" s="97"/>
      <c r="I366" s="133">
        <v>45624</v>
      </c>
      <c r="J366" s="98"/>
      <c r="K366" s="98"/>
      <c r="L366" s="98"/>
      <c r="M366" s="98"/>
      <c r="N366" s="96" t="s">
        <v>66</v>
      </c>
      <c r="O366" s="97"/>
    </row>
    <row r="367" spans="1:15" s="99" customFormat="1" ht="303.60000000000002" x14ac:dyDescent="0.25">
      <c r="A367" s="72" t="str">
        <f>'Scenario Test'!$A$31</f>
        <v>DPT_MLS_002</v>
      </c>
      <c r="B367" s="14" t="str">
        <f>VLOOKUP(TestCase!A367,'Scenario Test'!$A$5:$B$129,2,0)</f>
        <v>Close deposit account by miscellaneous - Early Termination</v>
      </c>
      <c r="C367" s="94" t="s">
        <v>613</v>
      </c>
      <c r="D367" s="94"/>
      <c r="E367" s="75" t="s">
        <v>660</v>
      </c>
      <c r="F367" s="75"/>
      <c r="G367" s="96" t="s">
        <v>4</v>
      </c>
      <c r="H367" s="97"/>
      <c r="I367" s="133">
        <v>45624</v>
      </c>
      <c r="J367" s="98"/>
      <c r="K367" s="98"/>
      <c r="L367" s="98"/>
      <c r="M367" s="98"/>
      <c r="N367" s="96" t="s">
        <v>66</v>
      </c>
      <c r="O367" s="97"/>
    </row>
    <row r="368" spans="1:15" s="99" customFormat="1" ht="316.8" x14ac:dyDescent="0.25">
      <c r="A368" s="72" t="str">
        <f>'Scenario Test'!$A$31</f>
        <v>DPT_MLS_002</v>
      </c>
      <c r="B368" s="14" t="str">
        <f>VLOOKUP(TestCase!A368,'Scenario Test'!$A$5:$B$129,2,0)</f>
        <v>Close deposit account by miscellaneous - Early Termination</v>
      </c>
      <c r="C368" s="94" t="s">
        <v>614</v>
      </c>
      <c r="D368" s="94"/>
      <c r="E368" s="75" t="s">
        <v>661</v>
      </c>
      <c r="F368" s="75"/>
      <c r="G368" s="96" t="s">
        <v>4</v>
      </c>
      <c r="H368" s="97"/>
      <c r="I368" s="133">
        <v>45624</v>
      </c>
      <c r="J368" s="98"/>
      <c r="K368" s="98"/>
      <c r="L368" s="98"/>
      <c r="M368" s="98"/>
      <c r="N368" s="96" t="s">
        <v>66</v>
      </c>
      <c r="O368" s="97"/>
    </row>
    <row r="369" spans="1:15" s="99" customFormat="1" ht="316.8" x14ac:dyDescent="0.25">
      <c r="A369" s="72" t="str">
        <f>'Scenario Test'!$A$31</f>
        <v>DPT_MLS_002</v>
      </c>
      <c r="B369" s="14" t="str">
        <f>VLOOKUP(TestCase!A369,'Scenario Test'!$A$5:$B$129,2,0)</f>
        <v>Close deposit account by miscellaneous - Early Termination</v>
      </c>
      <c r="C369" s="94" t="s">
        <v>615</v>
      </c>
      <c r="D369" s="94"/>
      <c r="E369" s="75" t="s">
        <v>618</v>
      </c>
      <c r="F369" s="75"/>
      <c r="G369" s="96" t="s">
        <v>4</v>
      </c>
      <c r="H369" s="97"/>
      <c r="I369" s="133">
        <v>45624</v>
      </c>
      <c r="J369" s="98"/>
      <c r="K369" s="98"/>
      <c r="L369" s="98"/>
      <c r="M369" s="98"/>
      <c r="N369" s="96" t="s">
        <v>66</v>
      </c>
      <c r="O369" s="97"/>
    </row>
    <row r="370" spans="1:15" s="99" customFormat="1" ht="303.60000000000002" x14ac:dyDescent="0.25">
      <c r="A370" s="72" t="str">
        <f>'Scenario Test'!$A$31</f>
        <v>DPT_MLS_002</v>
      </c>
      <c r="B370" s="14" t="str">
        <f>VLOOKUP(TestCase!A370,'Scenario Test'!$A$5:$B$129,2,0)</f>
        <v>Close deposit account by miscellaneous - Early Termination</v>
      </c>
      <c r="C370" s="94" t="s">
        <v>616</v>
      </c>
      <c r="D370" s="94"/>
      <c r="E370" s="75" t="s">
        <v>662</v>
      </c>
      <c r="F370" s="75"/>
      <c r="G370" s="96" t="s">
        <v>4</v>
      </c>
      <c r="H370" s="97"/>
      <c r="I370" s="133">
        <v>45624</v>
      </c>
      <c r="J370" s="98"/>
      <c r="K370" s="98"/>
      <c r="L370" s="98"/>
      <c r="M370" s="98"/>
      <c r="N370" s="96" t="s">
        <v>66</v>
      </c>
      <c r="O370" s="97"/>
    </row>
    <row r="371" spans="1:15" s="99" customFormat="1" ht="303.60000000000002" x14ac:dyDescent="0.25">
      <c r="A371" s="72" t="str">
        <f>'Scenario Test'!$A$31</f>
        <v>DPT_MLS_002</v>
      </c>
      <c r="B371" s="14" t="str">
        <f>VLOOKUP(TestCase!A371,'Scenario Test'!$A$5:$B$129,2,0)</f>
        <v>Close deposit account by miscellaneous - Early Termination</v>
      </c>
      <c r="C371" s="94" t="s">
        <v>617</v>
      </c>
      <c r="D371" s="94"/>
      <c r="E371" s="75" t="s">
        <v>663</v>
      </c>
      <c r="F371" s="75"/>
      <c r="G371" s="96" t="s">
        <v>4</v>
      </c>
      <c r="H371" s="97"/>
      <c r="I371" s="133">
        <v>45624</v>
      </c>
      <c r="J371" s="98"/>
      <c r="K371" s="98"/>
      <c r="L371" s="98"/>
      <c r="M371" s="98"/>
      <c r="N371" s="96" t="s">
        <v>66</v>
      </c>
      <c r="O371" s="97"/>
    </row>
  </sheetData>
  <autoFilter ref="A5:O371" xr:uid="{00000000-0009-0000-0000-000003000000}"/>
  <dataConsolidate/>
  <phoneticPr fontId="23" type="noConversion"/>
  <dataValidations count="1">
    <dataValidation type="list" allowBlank="1" showInputMessage="1" showErrorMessage="1" sqref="G34:G38 G40:G43 G111:G139 G7:G32 G218:G253 G45:G66 G255:G290 G185:G216 G319:G344 G346:G371 G141:G183 G292:G317 G96:G109 G68:G94" xr:uid="{B1F2DD9F-0E49-4D34-85A0-1DB2986DD7A8}">
      <formula1>"Pass,Fail,-, ,+,Block, Pending, Not Completed"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7D5D3-04E4-4885-B70D-862020AA81A2}">
  <dimension ref="A1:J57"/>
  <sheetViews>
    <sheetView tabSelected="1" topLeftCell="A16" zoomScale="70" zoomScaleNormal="70" workbookViewId="0">
      <pane xSplit="2" topLeftCell="C1" activePane="topRight" state="frozen"/>
      <selection pane="topRight" activeCell="B28" sqref="B28:B37"/>
    </sheetView>
  </sheetViews>
  <sheetFormatPr defaultRowHeight="13.8" x14ac:dyDescent="0.25"/>
  <cols>
    <col min="1" max="1" width="35.09765625" customWidth="1"/>
    <col min="2" max="2" width="76.69921875" customWidth="1"/>
    <col min="3" max="3" width="21.796875" customWidth="1"/>
    <col min="4" max="4" width="28.3984375" bestFit="1" customWidth="1"/>
    <col min="5" max="5" width="24" bestFit="1" customWidth="1"/>
    <col min="6" max="6" width="20.796875" customWidth="1"/>
    <col min="7" max="7" width="21.69921875" customWidth="1"/>
    <col min="8" max="8" width="62.8984375" customWidth="1"/>
    <col min="9" max="9" width="21.69921875" customWidth="1"/>
    <col min="10" max="10" width="58.796875" customWidth="1"/>
  </cols>
  <sheetData>
    <row r="1" spans="1:10" ht="17.399999999999999" x14ac:dyDescent="0.25">
      <c r="A1" s="151" t="s">
        <v>664</v>
      </c>
      <c r="B1" s="147" t="s">
        <v>670</v>
      </c>
      <c r="C1" s="147" t="s">
        <v>665</v>
      </c>
      <c r="D1" s="147"/>
      <c r="E1" s="147"/>
      <c r="F1" s="147"/>
      <c r="G1" s="147"/>
      <c r="H1" s="147"/>
      <c r="I1" s="147"/>
      <c r="J1" s="148"/>
    </row>
    <row r="2" spans="1:10" ht="17.399999999999999" x14ac:dyDescent="0.25">
      <c r="A2" s="152"/>
      <c r="B2" s="153"/>
      <c r="C2" s="149" t="s">
        <v>666</v>
      </c>
      <c r="D2" s="149"/>
      <c r="E2" s="149" t="s">
        <v>667</v>
      </c>
      <c r="F2" s="149"/>
      <c r="G2" s="149" t="s">
        <v>669</v>
      </c>
      <c r="H2" s="149"/>
      <c r="I2" s="149" t="s">
        <v>668</v>
      </c>
      <c r="J2" s="150"/>
    </row>
    <row r="3" spans="1:10" ht="17.399999999999999" x14ac:dyDescent="0.25">
      <c r="A3" s="152"/>
      <c r="B3" s="153"/>
      <c r="C3" s="115" t="s">
        <v>679</v>
      </c>
      <c r="D3" s="115" t="s">
        <v>664</v>
      </c>
      <c r="E3" s="115" t="s">
        <v>679</v>
      </c>
      <c r="F3" s="115" t="s">
        <v>664</v>
      </c>
      <c r="G3" s="115" t="s">
        <v>679</v>
      </c>
      <c r="H3" s="115" t="s">
        <v>664</v>
      </c>
      <c r="I3" s="115" t="s">
        <v>679</v>
      </c>
      <c r="J3" s="120" t="s">
        <v>664</v>
      </c>
    </row>
    <row r="4" spans="1:10" ht="193.2" x14ac:dyDescent="0.25">
      <c r="A4" s="156" t="s">
        <v>694</v>
      </c>
      <c r="B4" s="154" t="s">
        <v>705</v>
      </c>
      <c r="C4" s="101" t="s">
        <v>671</v>
      </c>
      <c r="D4" s="101" t="s">
        <v>680</v>
      </c>
      <c r="E4" s="101" t="s">
        <v>675</v>
      </c>
      <c r="F4" s="101" t="s">
        <v>680</v>
      </c>
      <c r="G4" s="116" t="s">
        <v>676</v>
      </c>
      <c r="H4" s="108" t="s">
        <v>685</v>
      </c>
      <c r="I4" s="107" t="s">
        <v>681</v>
      </c>
      <c r="J4" s="121" t="s">
        <v>699</v>
      </c>
    </row>
    <row r="5" spans="1:10" ht="55.2" x14ac:dyDescent="0.25">
      <c r="A5" s="156"/>
      <c r="B5" s="154"/>
      <c r="C5" s="103" t="s">
        <v>691</v>
      </c>
      <c r="D5" s="103" t="s">
        <v>692</v>
      </c>
      <c r="E5" s="102" t="s">
        <v>825</v>
      </c>
      <c r="F5" s="101" t="s">
        <v>680</v>
      </c>
      <c r="G5" s="117" t="s">
        <v>677</v>
      </c>
      <c r="H5" s="108" t="s">
        <v>712</v>
      </c>
      <c r="I5" s="105" t="s">
        <v>682</v>
      </c>
      <c r="J5" s="122" t="s">
        <v>680</v>
      </c>
    </row>
    <row r="6" spans="1:10" ht="13.8" customHeight="1" x14ac:dyDescent="0.25">
      <c r="A6" s="156"/>
      <c r="B6" s="154"/>
      <c r="C6" s="102" t="s">
        <v>672</v>
      </c>
      <c r="D6" s="101" t="s">
        <v>680</v>
      </c>
      <c r="E6" s="102" t="s">
        <v>673</v>
      </c>
      <c r="F6" s="101" t="s">
        <v>680</v>
      </c>
      <c r="G6" s="118" t="s">
        <v>678</v>
      </c>
      <c r="H6" s="105" t="s">
        <v>680</v>
      </c>
      <c r="I6" s="105" t="s">
        <v>683</v>
      </c>
      <c r="J6" s="122" t="s">
        <v>680</v>
      </c>
    </row>
    <row r="7" spans="1:10" ht="13.8" customHeight="1" x14ac:dyDescent="0.25">
      <c r="A7" s="156"/>
      <c r="B7" s="154"/>
      <c r="C7" s="103" t="s">
        <v>673</v>
      </c>
      <c r="D7" s="101" t="s">
        <v>680</v>
      </c>
      <c r="E7" s="103" t="s">
        <v>674</v>
      </c>
      <c r="F7" s="101" t="s">
        <v>680</v>
      </c>
      <c r="G7" s="105" t="s">
        <v>671</v>
      </c>
      <c r="H7" s="105" t="s">
        <v>680</v>
      </c>
      <c r="I7" s="105" t="s">
        <v>684</v>
      </c>
      <c r="J7" s="122" t="s">
        <v>680</v>
      </c>
    </row>
    <row r="8" spans="1:10" ht="13.8" customHeight="1" x14ac:dyDescent="0.25">
      <c r="A8" s="156"/>
      <c r="B8" s="154"/>
      <c r="C8" s="103" t="s">
        <v>674</v>
      </c>
      <c r="D8" s="101" t="s">
        <v>680</v>
      </c>
      <c r="E8" s="103"/>
      <c r="F8" s="103"/>
      <c r="G8" s="118" t="s">
        <v>673</v>
      </c>
      <c r="H8" s="105" t="s">
        <v>680</v>
      </c>
      <c r="I8" s="105" t="s">
        <v>671</v>
      </c>
      <c r="J8" s="122" t="s">
        <v>680</v>
      </c>
    </row>
    <row r="9" spans="1:10" ht="13.8" customHeight="1" x14ac:dyDescent="0.25">
      <c r="A9" s="156"/>
      <c r="B9" s="154"/>
      <c r="C9" s="103"/>
      <c r="D9" s="103"/>
      <c r="E9" s="103"/>
      <c r="F9" s="103"/>
      <c r="G9" s="118" t="s">
        <v>674</v>
      </c>
      <c r="H9" s="105" t="s">
        <v>680</v>
      </c>
      <c r="I9" s="106" t="s">
        <v>673</v>
      </c>
      <c r="J9" s="122" t="s">
        <v>680</v>
      </c>
    </row>
    <row r="10" spans="1:10" ht="14.4" thickBot="1" x14ac:dyDescent="0.3">
      <c r="A10" s="157"/>
      <c r="B10" s="155"/>
      <c r="C10" s="119"/>
      <c r="D10" s="119"/>
      <c r="E10" s="119"/>
      <c r="F10" s="119"/>
      <c r="G10" s="109"/>
      <c r="H10" s="110"/>
      <c r="I10" s="109" t="s">
        <v>674</v>
      </c>
      <c r="J10" s="123" t="s">
        <v>680</v>
      </c>
    </row>
    <row r="11" spans="1:10" ht="193.2" x14ac:dyDescent="0.25">
      <c r="A11" s="158" t="s">
        <v>695</v>
      </c>
      <c r="B11" s="159" t="s">
        <v>706</v>
      </c>
      <c r="C11" s="101" t="s">
        <v>671</v>
      </c>
      <c r="D11" s="101" t="s">
        <v>680</v>
      </c>
      <c r="E11" s="107" t="s">
        <v>675</v>
      </c>
      <c r="F11" s="107" t="s">
        <v>680</v>
      </c>
      <c r="G11" s="107" t="s">
        <v>676</v>
      </c>
      <c r="H11" s="108" t="s">
        <v>686</v>
      </c>
      <c r="I11" s="104" t="s">
        <v>681</v>
      </c>
      <c r="J11" s="124" t="s">
        <v>700</v>
      </c>
    </row>
    <row r="12" spans="1:10" ht="55.2" x14ac:dyDescent="0.25">
      <c r="A12" s="156"/>
      <c r="B12" s="160"/>
      <c r="C12" s="103" t="s">
        <v>691</v>
      </c>
      <c r="D12" s="103" t="s">
        <v>692</v>
      </c>
      <c r="E12" s="105" t="s">
        <v>673</v>
      </c>
      <c r="F12" s="104" t="s">
        <v>680</v>
      </c>
      <c r="G12" s="105" t="s">
        <v>677</v>
      </c>
      <c r="H12" s="108" t="s">
        <v>712</v>
      </c>
      <c r="I12" s="105" t="s">
        <v>682</v>
      </c>
      <c r="J12" s="122" t="s">
        <v>680</v>
      </c>
    </row>
    <row r="13" spans="1:10" ht="13.8" customHeight="1" x14ac:dyDescent="0.25">
      <c r="A13" s="156"/>
      <c r="B13" s="160"/>
      <c r="C13" s="102" t="s">
        <v>672</v>
      </c>
      <c r="D13" s="101" t="s">
        <v>680</v>
      </c>
      <c r="E13" s="106" t="s">
        <v>674</v>
      </c>
      <c r="F13" s="104" t="s">
        <v>680</v>
      </c>
      <c r="G13" s="106" t="s">
        <v>678</v>
      </c>
      <c r="H13" s="105" t="s">
        <v>680</v>
      </c>
      <c r="I13" s="105" t="s">
        <v>683</v>
      </c>
      <c r="J13" s="122" t="s">
        <v>680</v>
      </c>
    </row>
    <row r="14" spans="1:10" ht="13.8" customHeight="1" x14ac:dyDescent="0.25">
      <c r="A14" s="156"/>
      <c r="B14" s="160"/>
      <c r="C14" s="103" t="s">
        <v>673</v>
      </c>
      <c r="D14" s="101" t="s">
        <v>680</v>
      </c>
      <c r="E14" s="106"/>
      <c r="F14" s="106"/>
      <c r="G14" s="105" t="s">
        <v>671</v>
      </c>
      <c r="H14" s="105" t="s">
        <v>680</v>
      </c>
      <c r="I14" s="105" t="s">
        <v>684</v>
      </c>
      <c r="J14" s="122" t="s">
        <v>680</v>
      </c>
    </row>
    <row r="15" spans="1:10" ht="13.8" customHeight="1" x14ac:dyDescent="0.25">
      <c r="A15" s="156"/>
      <c r="B15" s="160"/>
      <c r="C15" s="103" t="s">
        <v>674</v>
      </c>
      <c r="D15" s="101" t="s">
        <v>680</v>
      </c>
      <c r="E15" s="106"/>
      <c r="F15" s="106"/>
      <c r="G15" s="106" t="s">
        <v>673</v>
      </c>
      <c r="H15" s="105" t="s">
        <v>680</v>
      </c>
      <c r="I15" s="105" t="s">
        <v>671</v>
      </c>
      <c r="J15" s="122" t="s">
        <v>680</v>
      </c>
    </row>
    <row r="16" spans="1:10" x14ac:dyDescent="0.25">
      <c r="A16" s="156"/>
      <c r="B16" s="160"/>
      <c r="C16" s="106"/>
      <c r="D16" s="106"/>
      <c r="E16" s="106"/>
      <c r="F16" s="106"/>
      <c r="G16" s="106" t="s">
        <v>674</v>
      </c>
      <c r="H16" s="105" t="s">
        <v>680</v>
      </c>
      <c r="I16" s="106" t="s">
        <v>673</v>
      </c>
      <c r="J16" s="122" t="s">
        <v>680</v>
      </c>
    </row>
    <row r="17" spans="1:10" ht="14.4" thickBot="1" x14ac:dyDescent="0.3">
      <c r="A17" s="157"/>
      <c r="B17" s="155"/>
      <c r="C17" s="130"/>
      <c r="D17" s="130"/>
      <c r="E17" s="109"/>
      <c r="F17" s="109"/>
      <c r="G17" s="109"/>
      <c r="H17" s="109"/>
      <c r="I17" s="109" t="s">
        <v>674</v>
      </c>
      <c r="J17" s="123" t="s">
        <v>680</v>
      </c>
    </row>
    <row r="18" spans="1:10" ht="276" x14ac:dyDescent="0.25">
      <c r="A18" s="158" t="s">
        <v>687</v>
      </c>
      <c r="B18" s="164" t="s">
        <v>707</v>
      </c>
      <c r="C18" s="101" t="s">
        <v>671</v>
      </c>
      <c r="D18" s="101" t="s">
        <v>680</v>
      </c>
      <c r="E18" s="129" t="s">
        <v>675</v>
      </c>
      <c r="F18" s="113" t="s">
        <v>680</v>
      </c>
      <c r="G18" s="113" t="s">
        <v>676</v>
      </c>
      <c r="H18" s="114" t="s">
        <v>685</v>
      </c>
      <c r="I18" s="113" t="s">
        <v>681</v>
      </c>
      <c r="J18" s="125" t="s">
        <v>701</v>
      </c>
    </row>
    <row r="19" spans="1:10" x14ac:dyDescent="0.25">
      <c r="A19" s="156"/>
      <c r="B19" s="154"/>
      <c r="C19" s="103" t="s">
        <v>691</v>
      </c>
      <c r="D19" s="103" t="s">
        <v>692</v>
      </c>
      <c r="E19" s="117" t="s">
        <v>673</v>
      </c>
      <c r="F19" s="104" t="s">
        <v>680</v>
      </c>
      <c r="G19" s="105" t="s">
        <v>677</v>
      </c>
      <c r="H19" s="105" t="s">
        <v>680</v>
      </c>
      <c r="I19" s="112" t="s">
        <v>688</v>
      </c>
      <c r="J19" s="126" t="s">
        <v>690</v>
      </c>
    </row>
    <row r="20" spans="1:10" x14ac:dyDescent="0.25">
      <c r="A20" s="156"/>
      <c r="B20" s="154"/>
      <c r="C20" s="102" t="s">
        <v>672</v>
      </c>
      <c r="D20" s="101" t="s">
        <v>680</v>
      </c>
      <c r="E20" s="118" t="s">
        <v>674</v>
      </c>
      <c r="F20" s="104" t="s">
        <v>680</v>
      </c>
      <c r="G20" s="106" t="s">
        <v>678</v>
      </c>
      <c r="H20" s="105" t="s">
        <v>680</v>
      </c>
      <c r="I20" s="106" t="s">
        <v>689</v>
      </c>
      <c r="J20" s="122" t="s">
        <v>680</v>
      </c>
    </row>
    <row r="21" spans="1:10" x14ac:dyDescent="0.25">
      <c r="A21" s="156"/>
      <c r="B21" s="154"/>
      <c r="C21" s="103" t="s">
        <v>673</v>
      </c>
      <c r="D21" s="101" t="s">
        <v>680</v>
      </c>
      <c r="E21" s="118"/>
      <c r="F21" s="106"/>
      <c r="G21" s="105" t="s">
        <v>671</v>
      </c>
      <c r="H21" s="105" t="s">
        <v>680</v>
      </c>
      <c r="I21" s="105" t="s">
        <v>682</v>
      </c>
      <c r="J21" s="122" t="s">
        <v>680</v>
      </c>
    </row>
    <row r="22" spans="1:10" x14ac:dyDescent="0.25">
      <c r="A22" s="156"/>
      <c r="B22" s="154"/>
      <c r="C22" s="103" t="s">
        <v>674</v>
      </c>
      <c r="D22" s="101" t="s">
        <v>680</v>
      </c>
      <c r="E22" s="118"/>
      <c r="F22" s="106"/>
      <c r="G22" s="106" t="s">
        <v>673</v>
      </c>
      <c r="H22" s="105" t="s">
        <v>680</v>
      </c>
      <c r="I22" s="105" t="s">
        <v>683</v>
      </c>
      <c r="J22" s="122" t="s">
        <v>680</v>
      </c>
    </row>
    <row r="23" spans="1:10" x14ac:dyDescent="0.25">
      <c r="A23" s="156"/>
      <c r="B23" s="160"/>
      <c r="C23" s="131"/>
      <c r="D23" s="131"/>
      <c r="E23" s="106"/>
      <c r="F23" s="106"/>
      <c r="G23" s="106" t="s">
        <v>674</v>
      </c>
      <c r="H23" s="105" t="s">
        <v>680</v>
      </c>
      <c r="I23" s="105" t="s">
        <v>684</v>
      </c>
      <c r="J23" s="122" t="s">
        <v>680</v>
      </c>
    </row>
    <row r="24" spans="1:10" x14ac:dyDescent="0.25">
      <c r="A24" s="156"/>
      <c r="B24" s="160"/>
      <c r="C24" s="106"/>
      <c r="D24" s="106"/>
      <c r="E24" s="106"/>
      <c r="F24" s="106"/>
      <c r="G24" s="106"/>
      <c r="H24" s="106"/>
      <c r="I24" s="111" t="s">
        <v>696</v>
      </c>
      <c r="J24" s="122" t="s">
        <v>680</v>
      </c>
    </row>
    <row r="25" spans="1:10" x14ac:dyDescent="0.25">
      <c r="A25" s="156"/>
      <c r="B25" s="160"/>
      <c r="C25" s="106"/>
      <c r="D25" s="106"/>
      <c r="E25" s="106"/>
      <c r="F25" s="106"/>
      <c r="G25" s="106"/>
      <c r="H25" s="106"/>
      <c r="I25" s="105" t="s">
        <v>671</v>
      </c>
      <c r="J25" s="122" t="s">
        <v>680</v>
      </c>
    </row>
    <row r="26" spans="1:10" x14ac:dyDescent="0.25">
      <c r="A26" s="156"/>
      <c r="B26" s="160"/>
      <c r="C26" s="106"/>
      <c r="D26" s="106"/>
      <c r="E26" s="106"/>
      <c r="F26" s="106"/>
      <c r="G26" s="106"/>
      <c r="H26" s="106"/>
      <c r="I26" s="106" t="s">
        <v>673</v>
      </c>
      <c r="J26" s="122" t="s">
        <v>680</v>
      </c>
    </row>
    <row r="27" spans="1:10" ht="14.4" thickBot="1" x14ac:dyDescent="0.3">
      <c r="A27" s="157"/>
      <c r="B27" s="155"/>
      <c r="C27" s="130"/>
      <c r="D27" s="130"/>
      <c r="E27" s="109"/>
      <c r="F27" s="109"/>
      <c r="G27" s="109"/>
      <c r="H27" s="109"/>
      <c r="I27" s="109" t="s">
        <v>674</v>
      </c>
      <c r="J27" s="123" t="s">
        <v>680</v>
      </c>
    </row>
    <row r="28" spans="1:10" ht="179.4" x14ac:dyDescent="0.25">
      <c r="A28" s="158" t="s">
        <v>697</v>
      </c>
      <c r="B28" s="164" t="s">
        <v>708</v>
      </c>
      <c r="C28" s="101" t="s">
        <v>671</v>
      </c>
      <c r="D28" s="101" t="s">
        <v>680</v>
      </c>
      <c r="E28" s="129" t="s">
        <v>675</v>
      </c>
      <c r="F28" s="113" t="s">
        <v>680</v>
      </c>
      <c r="G28" s="113" t="s">
        <v>676</v>
      </c>
      <c r="H28" s="114" t="s">
        <v>685</v>
      </c>
      <c r="I28" s="113" t="s">
        <v>681</v>
      </c>
      <c r="J28" s="125" t="s">
        <v>702</v>
      </c>
    </row>
    <row r="29" spans="1:10" ht="55.2" x14ac:dyDescent="0.25">
      <c r="A29" s="156"/>
      <c r="B29" s="154"/>
      <c r="C29" s="103" t="s">
        <v>691</v>
      </c>
      <c r="D29" s="103" t="s">
        <v>692</v>
      </c>
      <c r="E29" s="117" t="s">
        <v>673</v>
      </c>
      <c r="F29" s="104" t="s">
        <v>680</v>
      </c>
      <c r="G29" s="105" t="s">
        <v>677</v>
      </c>
      <c r="H29" s="108" t="s">
        <v>712</v>
      </c>
      <c r="I29" s="112" t="s">
        <v>688</v>
      </c>
      <c r="J29" s="126" t="s">
        <v>693</v>
      </c>
    </row>
    <row r="30" spans="1:10" x14ac:dyDescent="0.25">
      <c r="A30" s="156"/>
      <c r="B30" s="154"/>
      <c r="C30" s="102" t="s">
        <v>672</v>
      </c>
      <c r="D30" s="101" t="s">
        <v>680</v>
      </c>
      <c r="E30" s="118" t="s">
        <v>674</v>
      </c>
      <c r="F30" s="104" t="s">
        <v>680</v>
      </c>
      <c r="G30" s="106" t="s">
        <v>678</v>
      </c>
      <c r="H30" s="105" t="s">
        <v>680</v>
      </c>
      <c r="I30" s="106" t="s">
        <v>689</v>
      </c>
      <c r="J30" s="122" t="s">
        <v>680</v>
      </c>
    </row>
    <row r="31" spans="1:10" x14ac:dyDescent="0.25">
      <c r="A31" s="156"/>
      <c r="B31" s="154"/>
      <c r="C31" s="103" t="s">
        <v>673</v>
      </c>
      <c r="D31" s="101" t="s">
        <v>680</v>
      </c>
      <c r="E31" s="118"/>
      <c r="F31" s="106"/>
      <c r="G31" s="105" t="s">
        <v>671</v>
      </c>
      <c r="H31" s="105" t="s">
        <v>680</v>
      </c>
      <c r="I31" s="105" t="s">
        <v>682</v>
      </c>
      <c r="J31" s="122" t="s">
        <v>680</v>
      </c>
    </row>
    <row r="32" spans="1:10" x14ac:dyDescent="0.25">
      <c r="A32" s="156"/>
      <c r="B32" s="154"/>
      <c r="C32" s="103" t="s">
        <v>674</v>
      </c>
      <c r="D32" s="101" t="s">
        <v>680</v>
      </c>
      <c r="E32" s="118"/>
      <c r="F32" s="106"/>
      <c r="G32" s="106" t="s">
        <v>673</v>
      </c>
      <c r="H32" s="105" t="s">
        <v>680</v>
      </c>
      <c r="I32" s="105" t="s">
        <v>683</v>
      </c>
      <c r="J32" s="122" t="s">
        <v>680</v>
      </c>
    </row>
    <row r="33" spans="1:10" x14ac:dyDescent="0.25">
      <c r="A33" s="156"/>
      <c r="B33" s="160"/>
      <c r="C33" s="131"/>
      <c r="D33" s="131"/>
      <c r="E33" s="106"/>
      <c r="F33" s="106"/>
      <c r="G33" s="106" t="s">
        <v>674</v>
      </c>
      <c r="H33" s="105" t="s">
        <v>680</v>
      </c>
      <c r="I33" s="105" t="s">
        <v>684</v>
      </c>
      <c r="J33" s="122" t="s">
        <v>680</v>
      </c>
    </row>
    <row r="34" spans="1:10" x14ac:dyDescent="0.25">
      <c r="A34" s="156"/>
      <c r="B34" s="160"/>
      <c r="C34" s="106"/>
      <c r="D34" s="106"/>
      <c r="E34" s="106"/>
      <c r="F34" s="106"/>
      <c r="G34" s="106"/>
      <c r="H34" s="106"/>
      <c r="I34" s="111" t="s">
        <v>696</v>
      </c>
      <c r="J34" s="122" t="s">
        <v>680</v>
      </c>
    </row>
    <row r="35" spans="1:10" x14ac:dyDescent="0.25">
      <c r="A35" s="156"/>
      <c r="B35" s="160"/>
      <c r="C35" s="106"/>
      <c r="D35" s="106"/>
      <c r="E35" s="106"/>
      <c r="F35" s="106"/>
      <c r="G35" s="106"/>
      <c r="H35" s="106"/>
      <c r="I35" s="105" t="s">
        <v>671</v>
      </c>
      <c r="J35" s="122" t="s">
        <v>680</v>
      </c>
    </row>
    <row r="36" spans="1:10" x14ac:dyDescent="0.25">
      <c r="A36" s="156"/>
      <c r="B36" s="160"/>
      <c r="C36" s="106"/>
      <c r="D36" s="106"/>
      <c r="E36" s="106"/>
      <c r="F36" s="106"/>
      <c r="G36" s="106"/>
      <c r="H36" s="106"/>
      <c r="I36" s="106" t="s">
        <v>673</v>
      </c>
      <c r="J36" s="122" t="s">
        <v>680</v>
      </c>
    </row>
    <row r="37" spans="1:10" ht="14.4" thickBot="1" x14ac:dyDescent="0.3">
      <c r="A37" s="157"/>
      <c r="B37" s="155"/>
      <c r="C37" s="109"/>
      <c r="D37" s="109"/>
      <c r="E37" s="109"/>
      <c r="F37" s="109"/>
      <c r="G37" s="109"/>
      <c r="H37" s="109"/>
      <c r="I37" s="109" t="s">
        <v>674</v>
      </c>
      <c r="J37" s="123" t="s">
        <v>680</v>
      </c>
    </row>
    <row r="38" spans="1:10" ht="179.4" customHeight="1" x14ac:dyDescent="0.25">
      <c r="A38" s="158" t="s">
        <v>698</v>
      </c>
      <c r="B38" s="159" t="s">
        <v>709</v>
      </c>
      <c r="C38" s="113" t="s">
        <v>671</v>
      </c>
      <c r="D38" s="113" t="s">
        <v>680</v>
      </c>
      <c r="E38" s="113" t="s">
        <v>675</v>
      </c>
      <c r="F38" s="113" t="s">
        <v>680</v>
      </c>
      <c r="G38" s="113" t="s">
        <v>676</v>
      </c>
      <c r="H38" s="114" t="s">
        <v>685</v>
      </c>
      <c r="I38" s="113" t="s">
        <v>681</v>
      </c>
      <c r="J38" s="125" t="s">
        <v>702</v>
      </c>
    </row>
    <row r="39" spans="1:10" ht="55.2" x14ac:dyDescent="0.25">
      <c r="A39" s="156"/>
      <c r="B39" s="160"/>
      <c r="C39" s="106" t="s">
        <v>691</v>
      </c>
      <c r="D39" s="106" t="s">
        <v>692</v>
      </c>
      <c r="E39" s="105" t="s">
        <v>673</v>
      </c>
      <c r="F39" s="104" t="s">
        <v>680</v>
      </c>
      <c r="G39" s="105" t="s">
        <v>677</v>
      </c>
      <c r="H39" s="108" t="s">
        <v>712</v>
      </c>
      <c r="I39" s="112" t="s">
        <v>688</v>
      </c>
      <c r="J39" s="124" t="s">
        <v>703</v>
      </c>
    </row>
    <row r="40" spans="1:10" x14ac:dyDescent="0.25">
      <c r="A40" s="156"/>
      <c r="B40" s="160"/>
      <c r="C40" s="105" t="s">
        <v>672</v>
      </c>
      <c r="D40" s="104" t="s">
        <v>680</v>
      </c>
      <c r="E40" s="106" t="s">
        <v>674</v>
      </c>
      <c r="F40" s="104" t="s">
        <v>680</v>
      </c>
      <c r="G40" s="106" t="s">
        <v>678</v>
      </c>
      <c r="H40" s="105" t="s">
        <v>680</v>
      </c>
      <c r="I40" s="106" t="s">
        <v>689</v>
      </c>
      <c r="J40" s="122" t="s">
        <v>680</v>
      </c>
    </row>
    <row r="41" spans="1:10" x14ac:dyDescent="0.25">
      <c r="A41" s="156"/>
      <c r="B41" s="160"/>
      <c r="C41" s="106" t="s">
        <v>673</v>
      </c>
      <c r="D41" s="104" t="s">
        <v>680</v>
      </c>
      <c r="E41" s="106"/>
      <c r="F41" s="106"/>
      <c r="G41" s="105" t="s">
        <v>671</v>
      </c>
      <c r="H41" s="105" t="s">
        <v>680</v>
      </c>
      <c r="I41" s="105" t="s">
        <v>682</v>
      </c>
      <c r="J41" s="122" t="s">
        <v>680</v>
      </c>
    </row>
    <row r="42" spans="1:10" x14ac:dyDescent="0.25">
      <c r="A42" s="156"/>
      <c r="B42" s="160"/>
      <c r="C42" s="106" t="s">
        <v>674</v>
      </c>
      <c r="D42" s="104" t="s">
        <v>680</v>
      </c>
      <c r="E42" s="106"/>
      <c r="F42" s="106"/>
      <c r="G42" s="106" t="s">
        <v>673</v>
      </c>
      <c r="H42" s="105" t="s">
        <v>680</v>
      </c>
      <c r="I42" s="105" t="s">
        <v>683</v>
      </c>
      <c r="J42" s="122" t="s">
        <v>680</v>
      </c>
    </row>
    <row r="43" spans="1:10" x14ac:dyDescent="0.25">
      <c r="A43" s="156"/>
      <c r="B43" s="160"/>
      <c r="C43" s="106"/>
      <c r="D43" s="106"/>
      <c r="E43" s="106"/>
      <c r="F43" s="106"/>
      <c r="G43" s="106" t="s">
        <v>674</v>
      </c>
      <c r="H43" s="105" t="s">
        <v>680</v>
      </c>
      <c r="I43" s="105" t="s">
        <v>684</v>
      </c>
      <c r="J43" s="122" t="s">
        <v>680</v>
      </c>
    </row>
    <row r="44" spans="1:10" x14ac:dyDescent="0.25">
      <c r="A44" s="156"/>
      <c r="B44" s="160"/>
      <c r="C44" s="106"/>
      <c r="D44" s="106"/>
      <c r="E44" s="106"/>
      <c r="F44" s="106"/>
      <c r="G44" s="106"/>
      <c r="H44" s="106"/>
      <c r="I44" s="111" t="s">
        <v>696</v>
      </c>
      <c r="J44" s="122" t="s">
        <v>680</v>
      </c>
    </row>
    <row r="45" spans="1:10" x14ac:dyDescent="0.25">
      <c r="A45" s="156"/>
      <c r="B45" s="160"/>
      <c r="C45" s="106"/>
      <c r="D45" s="106"/>
      <c r="E45" s="106"/>
      <c r="F45" s="106"/>
      <c r="G45" s="106"/>
      <c r="H45" s="106"/>
      <c r="I45" s="105" t="s">
        <v>671</v>
      </c>
      <c r="J45" s="122" t="s">
        <v>680</v>
      </c>
    </row>
    <row r="46" spans="1:10" x14ac:dyDescent="0.25">
      <c r="A46" s="156"/>
      <c r="B46" s="160"/>
      <c r="C46" s="106"/>
      <c r="D46" s="106"/>
      <c r="E46" s="106"/>
      <c r="F46" s="106"/>
      <c r="G46" s="106"/>
      <c r="H46" s="106"/>
      <c r="I46" s="106" t="s">
        <v>673</v>
      </c>
      <c r="J46" s="122" t="s">
        <v>680</v>
      </c>
    </row>
    <row r="47" spans="1:10" ht="14.4" thickBot="1" x14ac:dyDescent="0.3">
      <c r="A47" s="157"/>
      <c r="B47" s="155"/>
      <c r="C47" s="109"/>
      <c r="D47" s="109"/>
      <c r="E47" s="109"/>
      <c r="F47" s="109"/>
      <c r="G47" s="109"/>
      <c r="H47" s="109"/>
      <c r="I47" s="109" t="s">
        <v>674</v>
      </c>
      <c r="J47" s="123" t="s">
        <v>680</v>
      </c>
    </row>
    <row r="48" spans="1:10" ht="179.4" x14ac:dyDescent="0.25">
      <c r="A48" s="158" t="s">
        <v>704</v>
      </c>
      <c r="B48" s="159" t="s">
        <v>710</v>
      </c>
      <c r="C48" s="113" t="s">
        <v>671</v>
      </c>
      <c r="D48" s="113" t="s">
        <v>680</v>
      </c>
      <c r="E48" s="113" t="s">
        <v>675</v>
      </c>
      <c r="F48" s="113" t="s">
        <v>680</v>
      </c>
      <c r="G48" s="113" t="s">
        <v>676</v>
      </c>
      <c r="H48" s="114" t="s">
        <v>685</v>
      </c>
      <c r="I48" s="113" t="s">
        <v>681</v>
      </c>
      <c r="J48" s="125" t="s">
        <v>702</v>
      </c>
    </row>
    <row r="49" spans="1:10" ht="55.2" x14ac:dyDescent="0.25">
      <c r="A49" s="156"/>
      <c r="B49" s="161"/>
      <c r="C49" s="106" t="s">
        <v>691</v>
      </c>
      <c r="D49" s="106" t="s">
        <v>692</v>
      </c>
      <c r="E49" s="105" t="s">
        <v>673</v>
      </c>
      <c r="F49" s="104" t="s">
        <v>680</v>
      </c>
      <c r="G49" s="105" t="s">
        <v>677</v>
      </c>
      <c r="H49" s="108" t="s">
        <v>712</v>
      </c>
      <c r="I49" s="112" t="s">
        <v>688</v>
      </c>
      <c r="J49" s="124" t="s">
        <v>711</v>
      </c>
    </row>
    <row r="50" spans="1:10" x14ac:dyDescent="0.25">
      <c r="A50" s="156"/>
      <c r="B50" s="161"/>
      <c r="C50" s="105" t="s">
        <v>672</v>
      </c>
      <c r="D50" s="104" t="s">
        <v>680</v>
      </c>
      <c r="E50" s="106" t="s">
        <v>674</v>
      </c>
      <c r="F50" s="104" t="s">
        <v>680</v>
      </c>
      <c r="G50" s="106" t="s">
        <v>678</v>
      </c>
      <c r="H50" s="105" t="s">
        <v>680</v>
      </c>
      <c r="I50" s="106" t="s">
        <v>689</v>
      </c>
      <c r="J50" s="122" t="s">
        <v>680</v>
      </c>
    </row>
    <row r="51" spans="1:10" x14ac:dyDescent="0.25">
      <c r="A51" s="156"/>
      <c r="B51" s="161"/>
      <c r="C51" s="106" t="s">
        <v>673</v>
      </c>
      <c r="D51" s="104" t="s">
        <v>680</v>
      </c>
      <c r="E51" s="106"/>
      <c r="F51" s="106"/>
      <c r="G51" s="105" t="s">
        <v>671</v>
      </c>
      <c r="H51" s="105" t="s">
        <v>680</v>
      </c>
      <c r="I51" s="105" t="s">
        <v>682</v>
      </c>
      <c r="J51" s="122" t="s">
        <v>680</v>
      </c>
    </row>
    <row r="52" spans="1:10" x14ac:dyDescent="0.25">
      <c r="A52" s="156"/>
      <c r="B52" s="161"/>
      <c r="C52" s="106" t="s">
        <v>674</v>
      </c>
      <c r="D52" s="104" t="s">
        <v>680</v>
      </c>
      <c r="E52" s="106"/>
      <c r="F52" s="106"/>
      <c r="G52" s="106" t="s">
        <v>673</v>
      </c>
      <c r="H52" s="105" t="s">
        <v>680</v>
      </c>
      <c r="I52" s="105" t="s">
        <v>683</v>
      </c>
      <c r="J52" s="122" t="s">
        <v>680</v>
      </c>
    </row>
    <row r="53" spans="1:10" x14ac:dyDescent="0.25">
      <c r="A53" s="156"/>
      <c r="B53" s="161"/>
      <c r="C53" s="106"/>
      <c r="D53" s="106"/>
      <c r="E53" s="106"/>
      <c r="F53" s="106"/>
      <c r="G53" s="106" t="s">
        <v>674</v>
      </c>
      <c r="H53" s="105" t="s">
        <v>680</v>
      </c>
      <c r="I53" s="105" t="s">
        <v>684</v>
      </c>
      <c r="J53" s="122" t="s">
        <v>680</v>
      </c>
    </row>
    <row r="54" spans="1:10" x14ac:dyDescent="0.25">
      <c r="A54" s="156"/>
      <c r="B54" s="161"/>
      <c r="C54" s="106"/>
      <c r="D54" s="106"/>
      <c r="E54" s="106"/>
      <c r="F54" s="106"/>
      <c r="G54" s="106"/>
      <c r="H54" s="106"/>
      <c r="I54" s="111" t="s">
        <v>696</v>
      </c>
      <c r="J54" s="122" t="s">
        <v>680</v>
      </c>
    </row>
    <row r="55" spans="1:10" x14ac:dyDescent="0.25">
      <c r="A55" s="156"/>
      <c r="B55" s="161"/>
      <c r="C55" s="106"/>
      <c r="D55" s="106"/>
      <c r="E55" s="106"/>
      <c r="F55" s="106"/>
      <c r="G55" s="106"/>
      <c r="H55" s="106"/>
      <c r="I55" s="105" t="s">
        <v>671</v>
      </c>
      <c r="J55" s="122" t="s">
        <v>680</v>
      </c>
    </row>
    <row r="56" spans="1:10" x14ac:dyDescent="0.25">
      <c r="A56" s="156"/>
      <c r="B56" s="161"/>
      <c r="C56" s="106"/>
      <c r="D56" s="106"/>
      <c r="E56" s="106"/>
      <c r="F56" s="106"/>
      <c r="G56" s="106"/>
      <c r="H56" s="106"/>
      <c r="I56" s="106" t="s">
        <v>673</v>
      </c>
      <c r="J56" s="122" t="s">
        <v>680</v>
      </c>
    </row>
    <row r="57" spans="1:10" ht="14.4" thickBot="1" x14ac:dyDescent="0.3">
      <c r="A57" s="163"/>
      <c r="B57" s="162"/>
      <c r="C57" s="127"/>
      <c r="D57" s="127"/>
      <c r="E57" s="127"/>
      <c r="F57" s="127"/>
      <c r="G57" s="127"/>
      <c r="H57" s="127"/>
      <c r="I57" s="127" t="s">
        <v>674</v>
      </c>
      <c r="J57" s="128" t="s">
        <v>680</v>
      </c>
    </row>
  </sheetData>
  <mergeCells count="19">
    <mergeCell ref="B38:B47"/>
    <mergeCell ref="A38:A47"/>
    <mergeCell ref="B48:B57"/>
    <mergeCell ref="A48:A57"/>
    <mergeCell ref="B18:B27"/>
    <mergeCell ref="A18:A27"/>
    <mergeCell ref="B28:B37"/>
    <mergeCell ref="A28:A37"/>
    <mergeCell ref="A1:A3"/>
    <mergeCell ref="B1:B3"/>
    <mergeCell ref="B4:B10"/>
    <mergeCell ref="A4:A10"/>
    <mergeCell ref="A11:A17"/>
    <mergeCell ref="B11:B17"/>
    <mergeCell ref="C1:J1"/>
    <mergeCell ref="C2:D2"/>
    <mergeCell ref="E2:F2"/>
    <mergeCell ref="G2:H2"/>
    <mergeCell ref="I2:J2"/>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vt:lpstr>
      <vt:lpstr>Summary</vt:lpstr>
      <vt:lpstr>Scenario Test</vt:lpstr>
      <vt:lpstr>TestCase</vt:lpstr>
      <vt:lpstr>UpdateData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NhiDY</dc:creator>
  <cp:lastModifiedBy>LaptopNCT</cp:lastModifiedBy>
  <dcterms:created xsi:type="dcterms:W3CDTF">2017-08-07T02:35:23Z</dcterms:created>
  <dcterms:modified xsi:type="dcterms:W3CDTF">2025-03-24T08:41:47Z</dcterms:modified>
</cp:coreProperties>
</file>