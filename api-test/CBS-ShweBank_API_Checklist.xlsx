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2022_AutoTest\source-code\cbs-neptune-autotest\api-test\"/>
    </mc:Choice>
  </mc:AlternateContent>
  <xr:revisionPtr revIDLastSave="0" documentId="13_ncr:1_{011A9AEB-D4F4-492D-89AA-F216521EBC8B}" xr6:coauthVersionLast="45" xr6:coauthVersionMax="45" xr10:uidLastSave="{00000000-0000-0000-0000-000000000000}"/>
  <bookViews>
    <workbookView xWindow="20370" yWindow="-4680" windowWidth="29040" windowHeight="15990" tabRatio="930" activeTab="4" xr2:uid="{00000000-000D-0000-FFFF-FFFF00000000}"/>
  </bookViews>
  <sheets>
    <sheet name="BO" sheetId="1" r:id="rId1"/>
    <sheet name="FO" sheetId="2" r:id="rId2"/>
    <sheet name="RuleFuncs" sheetId="4" r:id="rId3"/>
    <sheet name="RegressionTesting" sheetId="24" r:id="rId4"/>
    <sheet name="TOP_50_TRANSACTION" sheetId="28" r:id="rId5"/>
    <sheet name="LIST_TRANSACTION_CONVERT_STORE" sheetId="37" r:id="rId6"/>
    <sheet name="Sheet8" sheetId="38" r:id="rId7"/>
    <sheet name="Sheet1" sheetId="27" r:id="rId8"/>
    <sheet name="Sheet2" sheetId="34" r:id="rId9"/>
    <sheet name="Request" sheetId="10" r:id="rId10"/>
    <sheet name="response_key" sheetId="31" r:id="rId11"/>
    <sheet name="response_value" sheetId="33" r:id="rId12"/>
    <sheet name="Sheet4" sheetId="35" r:id="rId13"/>
    <sheet name="Sheet5" sheetId="36" r:id="rId14"/>
  </sheets>
  <definedNames>
    <definedName name="_xlnm._FilterDatabase" localSheetId="0" hidden="1">BO!$B$9:$N$405</definedName>
    <definedName name="_xlnm._FilterDatabase" localSheetId="1" hidden="1">FO!$B$15:$W$174</definedName>
    <definedName name="_xlnm._FilterDatabase" localSheetId="5" hidden="1">LIST_TRANSACTION_CONVERT_STORE!$B$1:$D$53</definedName>
    <definedName name="_xlnm._FilterDatabase" localSheetId="2" hidden="1">RuleFuncs!$B$10:$F$144</definedName>
    <definedName name="_xlnm._FilterDatabase" localSheetId="4" hidden="1">TOP_50_TRANSACTION!$A$1:$G$57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 i="38" l="1"/>
  <c r="D3" i="38"/>
  <c r="D4" i="38"/>
  <c r="D5" i="38"/>
  <c r="D6" i="38"/>
  <c r="D7" i="38"/>
  <c r="D8" i="38"/>
  <c r="D9" i="38"/>
  <c r="D10" i="38"/>
  <c r="D11" i="38"/>
  <c r="D12" i="38"/>
  <c r="D13" i="38"/>
  <c r="D14" i="38"/>
  <c r="D15" i="38"/>
  <c r="D16" i="38"/>
  <c r="D17" i="38"/>
  <c r="D18" i="38"/>
  <c r="D19" i="38"/>
  <c r="D20" i="38"/>
  <c r="D21" i="38"/>
  <c r="D22" i="38"/>
  <c r="D23" i="38"/>
  <c r="D24" i="38"/>
  <c r="D25" i="38"/>
  <c r="D26" i="38"/>
  <c r="D27" i="38"/>
  <c r="D28" i="38"/>
  <c r="D29" i="38"/>
  <c r="D30" i="38"/>
  <c r="D31" i="38"/>
  <c r="D32" i="38"/>
  <c r="D33" i="38"/>
  <c r="D1" i="38"/>
  <c r="E3" i="34" l="1"/>
  <c r="E4" i="34"/>
  <c r="E5" i="34"/>
  <c r="E6" i="34"/>
  <c r="E7" i="34"/>
  <c r="E8" i="34"/>
  <c r="E9" i="34"/>
  <c r="E10" i="34"/>
  <c r="E11" i="34"/>
  <c r="E12" i="34"/>
  <c r="E13" i="34"/>
  <c r="E14" i="34"/>
  <c r="E15" i="34"/>
  <c r="E16" i="34"/>
  <c r="E17" i="34"/>
  <c r="E18" i="34"/>
  <c r="E19" i="34"/>
  <c r="E20" i="34"/>
  <c r="E21" i="34"/>
  <c r="E22" i="34"/>
  <c r="E23" i="34"/>
  <c r="E24" i="34"/>
  <c r="E25" i="34"/>
  <c r="E26" i="34"/>
  <c r="E27" i="34"/>
  <c r="E28" i="34"/>
  <c r="E29" i="34"/>
  <c r="E30" i="34"/>
  <c r="E31" i="34"/>
  <c r="E32" i="34"/>
  <c r="E33" i="34"/>
  <c r="E34" i="34"/>
  <c r="E35" i="34"/>
  <c r="E36" i="34"/>
  <c r="E37" i="34"/>
  <c r="E38" i="34"/>
  <c r="E39" i="34"/>
  <c r="E40" i="34"/>
  <c r="E41" i="34"/>
  <c r="E42" i="34"/>
  <c r="E43" i="34"/>
  <c r="E44" i="34"/>
  <c r="E45" i="34"/>
  <c r="E46" i="34"/>
  <c r="E47" i="34"/>
  <c r="E48" i="34"/>
  <c r="E49" i="34"/>
  <c r="E50" i="34"/>
  <c r="E51" i="34"/>
  <c r="E52" i="34"/>
  <c r="E53" i="34"/>
  <c r="E54" i="34"/>
  <c r="E55" i="34"/>
  <c r="E56" i="34"/>
  <c r="E57" i="34"/>
  <c r="E58" i="34"/>
  <c r="E59" i="34"/>
  <c r="E60" i="34"/>
  <c r="E61" i="34"/>
  <c r="E2" i="34"/>
  <c r="E66" i="36" l="1"/>
  <c r="F66" i="36" s="1"/>
  <c r="E3" i="36"/>
  <c r="F3" i="36" s="1"/>
  <c r="E4" i="36"/>
  <c r="F4" i="36" s="1"/>
  <c r="E5" i="36"/>
  <c r="F5" i="36" s="1"/>
  <c r="E6" i="36"/>
  <c r="F6" i="36" s="1"/>
  <c r="E7" i="36"/>
  <c r="F7" i="36" s="1"/>
  <c r="E8" i="36"/>
  <c r="F8" i="36" s="1"/>
  <c r="E9" i="36"/>
  <c r="F9" i="36" s="1"/>
  <c r="E10" i="36"/>
  <c r="F10" i="36" s="1"/>
  <c r="E11" i="36"/>
  <c r="F11" i="36" s="1"/>
  <c r="E12" i="36"/>
  <c r="F12" i="36" s="1"/>
  <c r="E13" i="36"/>
  <c r="F13" i="36" s="1"/>
  <c r="E14" i="36"/>
  <c r="F14" i="36" s="1"/>
  <c r="E15" i="36"/>
  <c r="F15" i="36" s="1"/>
  <c r="E16" i="36"/>
  <c r="F16" i="36" s="1"/>
  <c r="E17" i="36"/>
  <c r="F17" i="36" s="1"/>
  <c r="E18" i="36"/>
  <c r="F18" i="36" s="1"/>
  <c r="E19" i="36"/>
  <c r="F19" i="36" s="1"/>
  <c r="E20" i="36"/>
  <c r="F20" i="36" s="1"/>
  <c r="E21" i="36"/>
  <c r="F21" i="36" s="1"/>
  <c r="E22" i="36"/>
  <c r="F22" i="36" s="1"/>
  <c r="E23" i="36"/>
  <c r="F23" i="36" s="1"/>
  <c r="E24" i="36"/>
  <c r="F24" i="36" s="1"/>
  <c r="E25" i="36"/>
  <c r="F25" i="36" s="1"/>
  <c r="E26" i="36"/>
  <c r="F26" i="36" s="1"/>
  <c r="E27" i="36"/>
  <c r="F27" i="36" s="1"/>
  <c r="E28" i="36"/>
  <c r="F28" i="36" s="1"/>
  <c r="E29" i="36"/>
  <c r="F29" i="36" s="1"/>
  <c r="E30" i="36"/>
  <c r="F30" i="36" s="1"/>
  <c r="E31" i="36"/>
  <c r="F31" i="36" s="1"/>
  <c r="E32" i="36"/>
  <c r="F32" i="36" s="1"/>
  <c r="E33" i="36"/>
  <c r="F33" i="36" s="1"/>
  <c r="E34" i="36"/>
  <c r="F34" i="36" s="1"/>
  <c r="E35" i="36"/>
  <c r="F35" i="36" s="1"/>
  <c r="E36" i="36"/>
  <c r="F36" i="36" s="1"/>
  <c r="E37" i="36"/>
  <c r="F37" i="36" s="1"/>
  <c r="E38" i="36"/>
  <c r="F38" i="36" s="1"/>
  <c r="E39" i="36"/>
  <c r="F39" i="36" s="1"/>
  <c r="E40" i="36"/>
  <c r="F40" i="36" s="1"/>
  <c r="E41" i="36"/>
  <c r="F41" i="36" s="1"/>
  <c r="E42" i="36"/>
  <c r="F42" i="36" s="1"/>
  <c r="E43" i="36"/>
  <c r="F43" i="36" s="1"/>
  <c r="E44" i="36"/>
  <c r="F44" i="36" s="1"/>
  <c r="E45" i="36"/>
  <c r="F45" i="36" s="1"/>
  <c r="E46" i="36"/>
  <c r="F46" i="36" s="1"/>
  <c r="E47" i="36"/>
  <c r="F47" i="36" s="1"/>
  <c r="E48" i="36"/>
  <c r="F48" i="36" s="1"/>
  <c r="E49" i="36"/>
  <c r="F49" i="36" s="1"/>
  <c r="E50" i="36"/>
  <c r="F50" i="36" s="1"/>
  <c r="E51" i="36"/>
  <c r="F51" i="36" s="1"/>
  <c r="E52" i="36"/>
  <c r="F52" i="36" s="1"/>
  <c r="E53" i="36"/>
  <c r="F53" i="36" s="1"/>
  <c r="E54" i="36"/>
  <c r="F54" i="36" s="1"/>
  <c r="E55" i="36"/>
  <c r="F55" i="36" s="1"/>
  <c r="E56" i="36"/>
  <c r="F56" i="36" s="1"/>
  <c r="E57" i="36"/>
  <c r="F57" i="36" s="1"/>
  <c r="E58" i="36"/>
  <c r="F58" i="36" s="1"/>
  <c r="E59" i="36"/>
  <c r="F59" i="36" s="1"/>
  <c r="E60" i="36"/>
  <c r="F60" i="36" s="1"/>
  <c r="E61" i="36"/>
  <c r="F61" i="36" s="1"/>
  <c r="E62" i="36"/>
  <c r="F62" i="36" s="1"/>
  <c r="E63" i="36"/>
  <c r="F63" i="36" s="1"/>
  <c r="E64" i="36"/>
  <c r="F64" i="36" s="1"/>
  <c r="E65" i="36"/>
  <c r="F65" i="36" s="1"/>
  <c r="E2" i="36"/>
  <c r="F2" i="36" s="1"/>
  <c r="F150" i="33" l="1"/>
  <c r="F151" i="33"/>
  <c r="F154" i="33"/>
  <c r="F155" i="33"/>
  <c r="F158" i="33"/>
  <c r="F159" i="33"/>
  <c r="F162" i="33"/>
  <c r="F163" i="33"/>
  <c r="F166" i="33"/>
  <c r="F167" i="33"/>
  <c r="F170" i="33"/>
  <c r="F171" i="33"/>
  <c r="F174" i="33"/>
  <c r="F175" i="33"/>
  <c r="E149" i="33"/>
  <c r="E153" i="33"/>
  <c r="E157" i="33"/>
  <c r="E161" i="33"/>
  <c r="E165" i="33"/>
  <c r="E169" i="33"/>
  <c r="E173" i="33"/>
  <c r="E147" i="33"/>
  <c r="D148" i="33"/>
  <c r="D149" i="33"/>
  <c r="D150" i="33"/>
  <c r="D151" i="33"/>
  <c r="D152" i="33"/>
  <c r="D153" i="33"/>
  <c r="D154" i="33"/>
  <c r="D155" i="33"/>
  <c r="D156" i="33"/>
  <c r="D157" i="33"/>
  <c r="D158" i="33"/>
  <c r="D159" i="33"/>
  <c r="D160" i="33"/>
  <c r="D161" i="33"/>
  <c r="D162" i="33"/>
  <c r="D163" i="33"/>
  <c r="D164" i="33"/>
  <c r="D165" i="33"/>
  <c r="D166" i="33"/>
  <c r="D167" i="33"/>
  <c r="D168" i="33"/>
  <c r="D169" i="33"/>
  <c r="D170" i="33"/>
  <c r="D171" i="33"/>
  <c r="D172" i="33"/>
  <c r="D173" i="33"/>
  <c r="D174" i="33"/>
  <c r="D175" i="33"/>
  <c r="D176" i="33"/>
  <c r="D147" i="33"/>
  <c r="C147" i="33"/>
  <c r="F147" i="33" s="1"/>
  <c r="C148" i="33"/>
  <c r="F148" i="33" s="1"/>
  <c r="C149" i="33"/>
  <c r="F149" i="33" s="1"/>
  <c r="C150" i="33"/>
  <c r="E150" i="33" s="1"/>
  <c r="C151" i="33"/>
  <c r="E151" i="33" s="1"/>
  <c r="C152" i="33"/>
  <c r="F152" i="33" s="1"/>
  <c r="C153" i="33"/>
  <c r="F153" i="33" s="1"/>
  <c r="C154" i="33"/>
  <c r="E154" i="33" s="1"/>
  <c r="C155" i="33"/>
  <c r="E155" i="33" s="1"/>
  <c r="C156" i="33"/>
  <c r="F156" i="33" s="1"/>
  <c r="C157" i="33"/>
  <c r="F157" i="33" s="1"/>
  <c r="C158" i="33"/>
  <c r="E158" i="33" s="1"/>
  <c r="C159" i="33"/>
  <c r="E159" i="33" s="1"/>
  <c r="C160" i="33"/>
  <c r="F160" i="33" s="1"/>
  <c r="C161" i="33"/>
  <c r="F161" i="33" s="1"/>
  <c r="C162" i="33"/>
  <c r="E162" i="33" s="1"/>
  <c r="C163" i="33"/>
  <c r="E163" i="33" s="1"/>
  <c r="C164" i="33"/>
  <c r="F164" i="33" s="1"/>
  <c r="C165" i="33"/>
  <c r="F165" i="33" s="1"/>
  <c r="C166" i="33"/>
  <c r="E166" i="33" s="1"/>
  <c r="C167" i="33"/>
  <c r="E167" i="33" s="1"/>
  <c r="C168" i="33"/>
  <c r="F168" i="33" s="1"/>
  <c r="C169" i="33"/>
  <c r="F169" i="33" s="1"/>
  <c r="C170" i="33"/>
  <c r="E170" i="33" s="1"/>
  <c r="C171" i="33"/>
  <c r="E171" i="33" s="1"/>
  <c r="C172" i="33"/>
  <c r="F172" i="33" s="1"/>
  <c r="C173" i="33"/>
  <c r="F173" i="33" s="1"/>
  <c r="C174" i="33"/>
  <c r="E174" i="33" s="1"/>
  <c r="C175" i="33"/>
  <c r="E175" i="33" s="1"/>
  <c r="C176" i="33"/>
  <c r="F176" i="33" s="1"/>
  <c r="E176" i="33" l="1"/>
  <c r="E172" i="33"/>
  <c r="E168" i="33"/>
  <c r="E164" i="33"/>
  <c r="E160" i="33"/>
  <c r="E156" i="33"/>
  <c r="E152" i="33"/>
  <c r="E148" i="33"/>
  <c r="D78" i="33" l="1"/>
  <c r="D79" i="33"/>
  <c r="D80" i="33"/>
  <c r="D81" i="33"/>
  <c r="D82" i="33"/>
  <c r="D83" i="33"/>
  <c r="D84" i="33"/>
  <c r="D85" i="33"/>
  <c r="D86" i="33"/>
  <c r="D87" i="33"/>
  <c r="D88" i="33"/>
  <c r="D89" i="33"/>
  <c r="D90" i="33"/>
  <c r="D91" i="33"/>
  <c r="D92" i="33"/>
  <c r="D93" i="33"/>
  <c r="D77" i="33"/>
  <c r="C77" i="33"/>
  <c r="F77" i="33" s="1"/>
  <c r="F3" i="35"/>
  <c r="J3" i="35" s="1"/>
  <c r="F4" i="35"/>
  <c r="J4" i="35" s="1"/>
  <c r="F5" i="35"/>
  <c r="J5" i="35" s="1"/>
  <c r="F6" i="35"/>
  <c r="J6" i="35" s="1"/>
  <c r="F7" i="35"/>
  <c r="J7" i="35" s="1"/>
  <c r="F8" i="35"/>
  <c r="J8" i="35" s="1"/>
  <c r="F9" i="35"/>
  <c r="J9" i="35" s="1"/>
  <c r="F10" i="35"/>
  <c r="J10" i="35" s="1"/>
  <c r="F11" i="35"/>
  <c r="J11" i="35" s="1"/>
  <c r="F12" i="35"/>
  <c r="J12" i="35" s="1"/>
  <c r="F13" i="35"/>
  <c r="J13" i="35" s="1"/>
  <c r="F14" i="35"/>
  <c r="J14" i="35" s="1"/>
  <c r="F15" i="35"/>
  <c r="J15" i="35" s="1"/>
  <c r="F16" i="35"/>
  <c r="J16" i="35" s="1"/>
  <c r="F17" i="35"/>
  <c r="J17" i="35" s="1"/>
  <c r="F2" i="35"/>
  <c r="J2" i="35" s="1"/>
  <c r="E77" i="33" l="1"/>
  <c r="E139" i="33"/>
  <c r="E140" i="33"/>
  <c r="E143" i="33"/>
  <c r="E144" i="33"/>
  <c r="D138" i="33"/>
  <c r="D139" i="33"/>
  <c r="D140" i="33"/>
  <c r="D141" i="33"/>
  <c r="D142" i="33"/>
  <c r="D143" i="33"/>
  <c r="D144" i="33"/>
  <c r="C138" i="33"/>
  <c r="F138" i="33" s="1"/>
  <c r="C139" i="33"/>
  <c r="F139" i="33" s="1"/>
  <c r="C140" i="33"/>
  <c r="F140" i="33" s="1"/>
  <c r="C141" i="33"/>
  <c r="F141" i="33" s="1"/>
  <c r="C142" i="33"/>
  <c r="F142" i="33" s="1"/>
  <c r="C143" i="33"/>
  <c r="F143" i="33" s="1"/>
  <c r="C144" i="33"/>
  <c r="F144" i="33" s="1"/>
  <c r="D137" i="33"/>
  <c r="C137" i="33"/>
  <c r="F137" i="33" s="1"/>
  <c r="E142" i="33" l="1"/>
  <c r="E138" i="33"/>
  <c r="E141" i="33"/>
  <c r="E137" i="33"/>
  <c r="H3" i="35"/>
  <c r="H4" i="35"/>
  <c r="H5" i="35"/>
  <c r="H6" i="35"/>
  <c r="H7" i="35"/>
  <c r="H8" i="35"/>
  <c r="H9" i="35"/>
  <c r="H10" i="35"/>
  <c r="H11" i="35"/>
  <c r="H12" i="35"/>
  <c r="H13" i="35"/>
  <c r="H14" i="35"/>
  <c r="H15" i="35"/>
  <c r="H16" i="35"/>
  <c r="H17" i="35"/>
  <c r="H2" i="35"/>
  <c r="D97" i="33"/>
  <c r="D98" i="33"/>
  <c r="D99" i="33"/>
  <c r="E99" i="33" s="1"/>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E127" i="33" s="1"/>
  <c r="D128" i="33"/>
  <c r="D129" i="33"/>
  <c r="D130" i="33"/>
  <c r="D131" i="33"/>
  <c r="D132" i="33"/>
  <c r="D133" i="33"/>
  <c r="D134" i="33"/>
  <c r="D96" i="33"/>
  <c r="C97" i="33"/>
  <c r="F97" i="33" s="1"/>
  <c r="C98" i="33"/>
  <c r="F98" i="33" s="1"/>
  <c r="C99" i="33"/>
  <c r="F99" i="33" s="1"/>
  <c r="C100" i="33"/>
  <c r="F100" i="33" s="1"/>
  <c r="C101" i="33"/>
  <c r="F101" i="33" s="1"/>
  <c r="C102" i="33"/>
  <c r="F102" i="33" s="1"/>
  <c r="C103" i="33"/>
  <c r="F103" i="33" s="1"/>
  <c r="C104" i="33"/>
  <c r="F104" i="33" s="1"/>
  <c r="C105" i="33"/>
  <c r="F105" i="33" s="1"/>
  <c r="C106" i="33"/>
  <c r="F106" i="33" s="1"/>
  <c r="C107" i="33"/>
  <c r="F107" i="33" s="1"/>
  <c r="C108" i="33"/>
  <c r="F108" i="33" s="1"/>
  <c r="C109" i="33"/>
  <c r="F109" i="33" s="1"/>
  <c r="C110" i="33"/>
  <c r="F110" i="33" s="1"/>
  <c r="C111" i="33"/>
  <c r="F111" i="33" s="1"/>
  <c r="C112" i="33"/>
  <c r="F112" i="33" s="1"/>
  <c r="C113" i="33"/>
  <c r="F113" i="33" s="1"/>
  <c r="C114" i="33"/>
  <c r="F114" i="33" s="1"/>
  <c r="C115" i="33"/>
  <c r="F115" i="33" s="1"/>
  <c r="C116" i="33"/>
  <c r="F116" i="33" s="1"/>
  <c r="C117" i="33"/>
  <c r="F117" i="33" s="1"/>
  <c r="C118" i="33"/>
  <c r="F118" i="33" s="1"/>
  <c r="C119" i="33"/>
  <c r="F119" i="33" s="1"/>
  <c r="C120" i="33"/>
  <c r="F120" i="33" s="1"/>
  <c r="C121" i="33"/>
  <c r="F121" i="33" s="1"/>
  <c r="C122" i="33"/>
  <c r="F122" i="33" s="1"/>
  <c r="C123" i="33"/>
  <c r="F123" i="33" s="1"/>
  <c r="C124" i="33"/>
  <c r="F124" i="33" s="1"/>
  <c r="C125" i="33"/>
  <c r="F125" i="33" s="1"/>
  <c r="C126" i="33"/>
  <c r="F126" i="33" s="1"/>
  <c r="C127" i="33"/>
  <c r="F127" i="33" s="1"/>
  <c r="C128" i="33"/>
  <c r="F128" i="33" s="1"/>
  <c r="C129" i="33"/>
  <c r="F129" i="33" s="1"/>
  <c r="C130" i="33"/>
  <c r="F130" i="33" s="1"/>
  <c r="C131" i="33"/>
  <c r="F131" i="33" s="1"/>
  <c r="C132" i="33"/>
  <c r="F132" i="33" s="1"/>
  <c r="C133" i="33"/>
  <c r="F133" i="33" s="1"/>
  <c r="C134" i="33"/>
  <c r="F134" i="33" s="1"/>
  <c r="C96" i="33"/>
  <c r="F96" i="33" s="1"/>
  <c r="E114" i="33"/>
  <c r="E126" i="33"/>
  <c r="E130" i="33"/>
  <c r="E122" i="33"/>
  <c r="E134" i="33"/>
  <c r="E102" i="33"/>
  <c r="E118" i="33"/>
  <c r="E98" i="33"/>
  <c r="E106" i="33"/>
  <c r="E110" i="33"/>
  <c r="E105" i="33" l="1"/>
  <c r="E113" i="33"/>
  <c r="E133" i="33"/>
  <c r="E129" i="33"/>
  <c r="E97" i="33"/>
  <c r="E101" i="33"/>
  <c r="E125" i="33"/>
  <c r="E109" i="33"/>
  <c r="E121" i="33"/>
  <c r="E119" i="33"/>
  <c r="E111" i="33"/>
  <c r="E131" i="33"/>
  <c r="E123" i="33"/>
  <c r="E115" i="33"/>
  <c r="E107" i="33"/>
  <c r="E103" i="33"/>
  <c r="E117" i="33"/>
  <c r="E116" i="33"/>
  <c r="E132" i="33"/>
  <c r="E128" i="33"/>
  <c r="E124" i="33"/>
  <c r="E120" i="33"/>
  <c r="E112" i="33"/>
  <c r="E108" i="33"/>
  <c r="E104" i="33"/>
  <c r="E100" i="33"/>
  <c r="E96" i="33"/>
  <c r="D60" i="33" l="1"/>
  <c r="C60" i="33"/>
  <c r="F60" i="33" s="1"/>
  <c r="D59" i="33"/>
  <c r="C59" i="33"/>
  <c r="F59" i="33" s="1"/>
  <c r="D58" i="33"/>
  <c r="C58" i="33"/>
  <c r="F58" i="33" s="1"/>
  <c r="D57" i="33"/>
  <c r="C57" i="33"/>
  <c r="F57" i="33" s="1"/>
  <c r="D56" i="33"/>
  <c r="C56" i="33"/>
  <c r="F56" i="33" s="1"/>
  <c r="D55" i="33"/>
  <c r="C55" i="33"/>
  <c r="F55" i="33" s="1"/>
  <c r="D54" i="33"/>
  <c r="C54" i="33"/>
  <c r="F54" i="33" s="1"/>
  <c r="D53" i="33"/>
  <c r="C53" i="33"/>
  <c r="F53" i="33" s="1"/>
  <c r="D52" i="33"/>
  <c r="C52" i="33"/>
  <c r="F52" i="33" s="1"/>
  <c r="D51" i="33"/>
  <c r="C51" i="33"/>
  <c r="F51" i="33" s="1"/>
  <c r="D50" i="33"/>
  <c r="C50" i="33"/>
  <c r="F50" i="33" s="1"/>
  <c r="D49" i="33"/>
  <c r="C49" i="33"/>
  <c r="F49" i="33" s="1"/>
  <c r="D3" i="33"/>
  <c r="D4" i="33"/>
  <c r="D5" i="33"/>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61" i="33"/>
  <c r="D62" i="33"/>
  <c r="D63" i="33"/>
  <c r="D64" i="33"/>
  <c r="D65" i="33"/>
  <c r="D66" i="33"/>
  <c r="D67" i="33"/>
  <c r="D68" i="33"/>
  <c r="D69" i="33"/>
  <c r="D70" i="33"/>
  <c r="D71" i="33"/>
  <c r="D72" i="33"/>
  <c r="D2" i="33"/>
  <c r="H4" i="31"/>
  <c r="G4" i="31"/>
  <c r="H3" i="31"/>
  <c r="G3" i="31"/>
  <c r="G38" i="31"/>
  <c r="G37" i="31"/>
  <c r="H38" i="31"/>
  <c r="H37" i="31"/>
  <c r="E49" i="33" l="1"/>
  <c r="E50" i="33"/>
  <c r="E51" i="33"/>
  <c r="E52" i="33"/>
  <c r="E53" i="33"/>
  <c r="E54" i="33"/>
  <c r="E55" i="33"/>
  <c r="E56" i="33"/>
  <c r="E57" i="33"/>
  <c r="E58" i="33"/>
  <c r="E59" i="33"/>
  <c r="E60" i="33"/>
  <c r="V108" i="10" l="1"/>
  <c r="V109" i="10"/>
  <c r="V110" i="10"/>
  <c r="V111" i="10"/>
  <c r="V112" i="10"/>
  <c r="V113" i="10"/>
  <c r="V114" i="10"/>
  <c r="V115" i="10"/>
  <c r="V116" i="10"/>
  <c r="V117" i="10"/>
  <c r="V118" i="10"/>
  <c r="V119" i="10"/>
  <c r="V120" i="10"/>
  <c r="P114" i="10"/>
  <c r="P115" i="10"/>
  <c r="P116" i="10"/>
  <c r="P117" i="10"/>
  <c r="P118" i="10"/>
  <c r="P119" i="10"/>
  <c r="P120" i="10"/>
  <c r="H114" i="10"/>
  <c r="H115" i="10"/>
  <c r="H116" i="10"/>
  <c r="H117" i="10"/>
  <c r="H118" i="10"/>
  <c r="H119" i="10"/>
  <c r="H120" i="10"/>
  <c r="D114" i="10"/>
  <c r="D115" i="10"/>
  <c r="D116" i="10"/>
  <c r="D117" i="10"/>
  <c r="D118" i="10"/>
  <c r="D119" i="10"/>
  <c r="D120"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I3" i="28" l="1"/>
  <c r="I4" i="28"/>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2" i="28"/>
  <c r="C78" i="33" l="1"/>
  <c r="F78" i="33" s="1"/>
  <c r="C79" i="33"/>
  <c r="F79" i="33" s="1"/>
  <c r="C80" i="33"/>
  <c r="F80" i="33" s="1"/>
  <c r="C81" i="33"/>
  <c r="F81" i="33" s="1"/>
  <c r="C82" i="33"/>
  <c r="F82" i="33" s="1"/>
  <c r="C83" i="33"/>
  <c r="F83" i="33" s="1"/>
  <c r="C84" i="33"/>
  <c r="F84" i="33" s="1"/>
  <c r="C85" i="33"/>
  <c r="F85" i="33" s="1"/>
  <c r="C86" i="33"/>
  <c r="F86" i="33" s="1"/>
  <c r="C87" i="33"/>
  <c r="F87" i="33" s="1"/>
  <c r="C88" i="33"/>
  <c r="F88" i="33" s="1"/>
  <c r="C89" i="33"/>
  <c r="F89" i="33" s="1"/>
  <c r="C90" i="33"/>
  <c r="F90" i="33" s="1"/>
  <c r="C91" i="33"/>
  <c r="F91" i="33" s="1"/>
  <c r="C92" i="33"/>
  <c r="F92" i="33" s="1"/>
  <c r="C93" i="33"/>
  <c r="F93" i="33" s="1"/>
  <c r="C3" i="33"/>
  <c r="F3" i="33" s="1"/>
  <c r="C4" i="33"/>
  <c r="F4" i="33" s="1"/>
  <c r="C5" i="33"/>
  <c r="F5" i="33" s="1"/>
  <c r="C6" i="33"/>
  <c r="F6" i="33" s="1"/>
  <c r="C7" i="33"/>
  <c r="F7" i="33" s="1"/>
  <c r="C8" i="33"/>
  <c r="F8" i="33" s="1"/>
  <c r="C9" i="33"/>
  <c r="F9" i="33" s="1"/>
  <c r="C10" i="33"/>
  <c r="F10" i="33" s="1"/>
  <c r="C11" i="33"/>
  <c r="F11" i="33" s="1"/>
  <c r="C12" i="33"/>
  <c r="F12" i="33" s="1"/>
  <c r="C13" i="33"/>
  <c r="F13" i="33" s="1"/>
  <c r="C14" i="33"/>
  <c r="F14" i="33" s="1"/>
  <c r="C15" i="33"/>
  <c r="F15" i="33" s="1"/>
  <c r="C16" i="33"/>
  <c r="F16" i="33" s="1"/>
  <c r="C17" i="33"/>
  <c r="F17" i="33" s="1"/>
  <c r="C18" i="33"/>
  <c r="F18" i="33" s="1"/>
  <c r="C19" i="33"/>
  <c r="F19" i="33" s="1"/>
  <c r="C20" i="33"/>
  <c r="F20" i="33" s="1"/>
  <c r="C21" i="33"/>
  <c r="F21" i="33" s="1"/>
  <c r="C22" i="33"/>
  <c r="F22" i="33" s="1"/>
  <c r="C23" i="33"/>
  <c r="F23" i="33" s="1"/>
  <c r="C24" i="33"/>
  <c r="F24" i="33" s="1"/>
  <c r="C25" i="33"/>
  <c r="F25" i="33" s="1"/>
  <c r="C26" i="33"/>
  <c r="F26" i="33" s="1"/>
  <c r="C27" i="33"/>
  <c r="F27" i="33" s="1"/>
  <c r="C28" i="33"/>
  <c r="F28" i="33" s="1"/>
  <c r="C29" i="33"/>
  <c r="F29" i="33" s="1"/>
  <c r="C30" i="33"/>
  <c r="F30" i="33" s="1"/>
  <c r="C31" i="33"/>
  <c r="F31" i="33" s="1"/>
  <c r="C32" i="33"/>
  <c r="F32" i="33" s="1"/>
  <c r="C33" i="33"/>
  <c r="F33" i="33" s="1"/>
  <c r="C34" i="33"/>
  <c r="F34" i="33" s="1"/>
  <c r="C35" i="33"/>
  <c r="F35" i="33" s="1"/>
  <c r="C36" i="33"/>
  <c r="C37" i="33"/>
  <c r="F37" i="33" s="1"/>
  <c r="C38" i="33"/>
  <c r="F38" i="33" s="1"/>
  <c r="C39" i="33"/>
  <c r="F39" i="33" s="1"/>
  <c r="C40" i="33"/>
  <c r="F40" i="33" s="1"/>
  <c r="C41" i="33"/>
  <c r="F41" i="33" s="1"/>
  <c r="C42" i="33"/>
  <c r="F42" i="33" s="1"/>
  <c r="C43" i="33"/>
  <c r="F43" i="33" s="1"/>
  <c r="C44" i="33"/>
  <c r="F44" i="33" s="1"/>
  <c r="C45" i="33"/>
  <c r="F45" i="33" s="1"/>
  <c r="C46" i="33"/>
  <c r="F46" i="33" s="1"/>
  <c r="C47" i="33"/>
  <c r="F47" i="33" s="1"/>
  <c r="C48" i="33"/>
  <c r="C61" i="33"/>
  <c r="F61" i="33" s="1"/>
  <c r="C62" i="33"/>
  <c r="F62" i="33" s="1"/>
  <c r="C63" i="33"/>
  <c r="F63" i="33" s="1"/>
  <c r="C64" i="33"/>
  <c r="C65" i="33"/>
  <c r="F65" i="33" s="1"/>
  <c r="C66" i="33"/>
  <c r="F66" i="33" s="1"/>
  <c r="C67" i="33"/>
  <c r="F67" i="33" s="1"/>
  <c r="C68" i="33"/>
  <c r="F68" i="33" s="1"/>
  <c r="C69" i="33"/>
  <c r="F69" i="33" s="1"/>
  <c r="C70" i="33"/>
  <c r="F70" i="33" s="1"/>
  <c r="C71" i="33"/>
  <c r="F71" i="33" s="1"/>
  <c r="C72" i="33"/>
  <c r="F72" i="33" s="1"/>
  <c r="C2" i="33"/>
  <c r="F2" i="33" s="1"/>
  <c r="E79" i="33"/>
  <c r="E83" i="33"/>
  <c r="E84" i="33"/>
  <c r="E87" i="33"/>
  <c r="E88" i="33"/>
  <c r="E91" i="33"/>
  <c r="E92" i="33"/>
  <c r="E80" i="33"/>
  <c r="E4" i="33"/>
  <c r="E16" i="33"/>
  <c r="E20" i="33"/>
  <c r="E32" i="33"/>
  <c r="E68" i="33"/>
  <c r="E71" i="33"/>
  <c r="E72" i="33"/>
  <c r="H39" i="31"/>
  <c r="H40" i="31"/>
  <c r="H41" i="31"/>
  <c r="H42" i="31"/>
  <c r="H43" i="31"/>
  <c r="H44" i="31"/>
  <c r="H45" i="31"/>
  <c r="H46" i="31"/>
  <c r="H47" i="31"/>
  <c r="H48" i="31"/>
  <c r="H49" i="31"/>
  <c r="H50" i="31"/>
  <c r="H51" i="31"/>
  <c r="H52" i="31"/>
  <c r="H36" i="31"/>
  <c r="G10" i="31"/>
  <c r="G9" i="31"/>
  <c r="F6" i="31"/>
  <c r="F7" i="31"/>
  <c r="F8" i="31"/>
  <c r="F9" i="31"/>
  <c r="F10" i="31"/>
  <c r="F11" i="31"/>
  <c r="F12" i="31"/>
  <c r="F13" i="31"/>
  <c r="F14" i="31"/>
  <c r="F15" i="31"/>
  <c r="F16" i="31"/>
  <c r="F17" i="31"/>
  <c r="F18" i="31"/>
  <c r="F19" i="31"/>
  <c r="F20" i="31"/>
  <c r="F21" i="31"/>
  <c r="F22" i="31"/>
  <c r="F23" i="31"/>
  <c r="F24" i="31"/>
  <c r="F25" i="31"/>
  <c r="F26" i="31"/>
  <c r="F27" i="31"/>
  <c r="F28" i="31"/>
  <c r="F29" i="31"/>
  <c r="F30" i="31"/>
  <c r="F31" i="31"/>
  <c r="F32" i="31"/>
  <c r="F33" i="31"/>
  <c r="F34" i="31"/>
  <c r="F35" i="31"/>
  <c r="F36" i="31"/>
  <c r="F37" i="31"/>
  <c r="F38" i="31"/>
  <c r="F39" i="31"/>
  <c r="F40" i="31"/>
  <c r="F41" i="31"/>
  <c r="F42" i="31"/>
  <c r="F43" i="31"/>
  <c r="F44" i="31"/>
  <c r="F45" i="31"/>
  <c r="F46" i="31"/>
  <c r="F47" i="31"/>
  <c r="F48" i="31"/>
  <c r="F49" i="31"/>
  <c r="F50" i="31"/>
  <c r="F51" i="31"/>
  <c r="F52" i="31"/>
  <c r="F53" i="31"/>
  <c r="F54" i="31"/>
  <c r="F55" i="31"/>
  <c r="F56" i="31"/>
  <c r="F57" i="31"/>
  <c r="F58" i="31"/>
  <c r="F59" i="31"/>
  <c r="F60" i="31"/>
  <c r="F61" i="31"/>
  <c r="F62" i="31"/>
  <c r="F63" i="31"/>
  <c r="F64" i="31"/>
  <c r="F65" i="31"/>
  <c r="F66" i="31"/>
  <c r="F67" i="31"/>
  <c r="F68" i="31"/>
  <c r="F69" i="31"/>
  <c r="F70" i="31"/>
  <c r="F71" i="31"/>
  <c r="F72" i="31"/>
  <c r="F73" i="31"/>
  <c r="F74" i="31"/>
  <c r="F75" i="31"/>
  <c r="F76" i="31"/>
  <c r="F77" i="31"/>
  <c r="F78" i="31"/>
  <c r="F5" i="31"/>
  <c r="F4" i="31"/>
  <c r="F3" i="31"/>
  <c r="E4" i="31"/>
  <c r="E5" i="31"/>
  <c r="E6" i="31"/>
  <c r="E7" i="31"/>
  <c r="E8" i="31"/>
  <c r="E9" i="31"/>
  <c r="E10" i="31"/>
  <c r="E11" i="31"/>
  <c r="E12" i="31"/>
  <c r="E13" i="31"/>
  <c r="E14" i="31"/>
  <c r="E15" i="31"/>
  <c r="E16" i="31"/>
  <c r="E17" i="31"/>
  <c r="E18" i="31"/>
  <c r="E19" i="31"/>
  <c r="E20" i="31"/>
  <c r="E21" i="31"/>
  <c r="E22" i="31"/>
  <c r="E23" i="31"/>
  <c r="E24" i="31"/>
  <c r="E25"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E69" i="31"/>
  <c r="E70" i="31"/>
  <c r="E71" i="31"/>
  <c r="E72" i="31"/>
  <c r="E73" i="31"/>
  <c r="E74" i="31"/>
  <c r="E75" i="31"/>
  <c r="E76" i="31"/>
  <c r="E77" i="31"/>
  <c r="E78" i="31"/>
  <c r="E3" i="31"/>
  <c r="E89" i="33" l="1"/>
  <c r="E85" i="33"/>
  <c r="E86" i="33"/>
  <c r="E93" i="33"/>
  <c r="E64" i="33"/>
  <c r="F64" i="33"/>
  <c r="E48" i="33"/>
  <c r="F48" i="33"/>
  <c r="E36" i="33"/>
  <c r="F36" i="33"/>
  <c r="E90" i="33"/>
  <c r="E44" i="33"/>
  <c r="E28" i="33"/>
  <c r="E12" i="33"/>
  <c r="E40" i="33"/>
  <c r="E24" i="33"/>
  <c r="E8" i="33"/>
  <c r="E2" i="33"/>
  <c r="E67" i="33"/>
  <c r="E63" i="33"/>
  <c r="E47" i="33"/>
  <c r="E43" i="33"/>
  <c r="E39" i="33"/>
  <c r="E35" i="33"/>
  <c r="E31" i="33"/>
  <c r="E27" i="33"/>
  <c r="E23" i="33"/>
  <c r="E19" i="33"/>
  <c r="E15" i="33"/>
  <c r="E11" i="33"/>
  <c r="E7" i="33"/>
  <c r="E3" i="33"/>
  <c r="E82" i="33"/>
  <c r="E78" i="33"/>
  <c r="E70" i="33"/>
  <c r="E66" i="33"/>
  <c r="E62" i="33"/>
  <c r="E46" i="33"/>
  <c r="E42" i="33"/>
  <c r="E38" i="33"/>
  <c r="E34" i="33"/>
  <c r="E30" i="33"/>
  <c r="E26" i="33"/>
  <c r="E22" i="33"/>
  <c r="E18" i="33"/>
  <c r="E14" i="33"/>
  <c r="E10" i="33"/>
  <c r="E6" i="33"/>
  <c r="E81" i="33"/>
  <c r="E69" i="33"/>
  <c r="E65" i="33"/>
  <c r="E61" i="33"/>
  <c r="E45" i="33"/>
  <c r="E41" i="33"/>
  <c r="E37" i="33"/>
  <c r="E33" i="33"/>
  <c r="E29" i="33"/>
  <c r="E25" i="33"/>
  <c r="E21" i="33"/>
  <c r="E17" i="33"/>
  <c r="E13" i="33"/>
  <c r="E9" i="33"/>
  <c r="E5" i="33"/>
  <c r="D3" i="10"/>
  <c r="H3" i="10"/>
  <c r="D4" i="10"/>
  <c r="H4" i="10"/>
  <c r="D5" i="10"/>
  <c r="H5" i="10"/>
  <c r="D6" i="10"/>
  <c r="H6" i="10"/>
  <c r="D7" i="10"/>
  <c r="H7" i="10"/>
  <c r="D8" i="10"/>
  <c r="H8" i="10"/>
  <c r="D9" i="10"/>
  <c r="H9" i="10"/>
  <c r="D10" i="10"/>
  <c r="H10" i="10"/>
  <c r="D11" i="10"/>
  <c r="H11" i="10"/>
  <c r="D12" i="10"/>
  <c r="H12" i="10"/>
  <c r="D13" i="10"/>
  <c r="H13" i="10"/>
  <c r="D14" i="10"/>
  <c r="H14" i="10"/>
  <c r="D15" i="10"/>
  <c r="H15" i="10"/>
  <c r="D16" i="10"/>
  <c r="H16" i="10"/>
  <c r="D17" i="10"/>
  <c r="H17" i="10"/>
  <c r="D18" i="10"/>
  <c r="H18" i="10"/>
  <c r="D19" i="10"/>
  <c r="H19" i="10"/>
  <c r="D20" i="10"/>
  <c r="H20" i="10"/>
  <c r="D21" i="10"/>
  <c r="H21" i="10"/>
  <c r="D22" i="10"/>
  <c r="H22" i="10"/>
  <c r="D23" i="10"/>
  <c r="H23" i="10"/>
  <c r="D24" i="10"/>
  <c r="H24" i="10"/>
  <c r="D25" i="10"/>
  <c r="H25" i="10"/>
  <c r="D26" i="10"/>
  <c r="H26" i="10"/>
  <c r="D27" i="10"/>
  <c r="H27" i="10"/>
  <c r="D28" i="10"/>
  <c r="H28" i="10"/>
  <c r="D29" i="10"/>
  <c r="H29" i="10"/>
  <c r="D30" i="10"/>
  <c r="H30" i="10"/>
  <c r="D31" i="10"/>
  <c r="H31" i="10"/>
  <c r="D32" i="10"/>
  <c r="H32" i="10"/>
  <c r="D33" i="10"/>
  <c r="H33" i="10"/>
  <c r="D34" i="10"/>
  <c r="H34" i="10"/>
  <c r="D35" i="10"/>
  <c r="H35" i="10"/>
  <c r="D36" i="10"/>
  <c r="H36" i="10"/>
  <c r="D37" i="10"/>
  <c r="H37" i="10"/>
  <c r="D38" i="10"/>
  <c r="H38" i="10"/>
  <c r="D39" i="10"/>
  <c r="H39" i="10"/>
  <c r="D40" i="10"/>
  <c r="H40" i="10"/>
  <c r="D41" i="10"/>
  <c r="H41" i="10"/>
  <c r="D42" i="10"/>
  <c r="H42" i="10"/>
  <c r="D43" i="10"/>
  <c r="H43" i="10"/>
  <c r="D44" i="10"/>
  <c r="H44" i="10"/>
  <c r="D45" i="10"/>
  <c r="H45" i="10"/>
  <c r="D46" i="10"/>
  <c r="H46" i="10"/>
  <c r="D47" i="10"/>
  <c r="H47" i="10"/>
  <c r="D48" i="10"/>
  <c r="H48" i="10"/>
  <c r="D49" i="10"/>
  <c r="H49" i="10"/>
  <c r="D50" i="10"/>
  <c r="H50" i="10"/>
  <c r="D51" i="10"/>
  <c r="H51" i="10"/>
  <c r="H54" i="10" l="1"/>
  <c r="H53" i="10"/>
  <c r="H52" i="10"/>
  <c r="H59" i="24" l="1"/>
  <c r="H60" i="24"/>
  <c r="H63" i="24"/>
  <c r="H64" i="24"/>
  <c r="H67" i="24"/>
  <c r="H56" i="24"/>
  <c r="H46" i="24"/>
  <c r="H47" i="24"/>
  <c r="H50" i="24"/>
  <c r="H51" i="24"/>
  <c r="H54" i="24"/>
  <c r="H55" i="24"/>
  <c r="H31" i="24"/>
  <c r="H19" i="24"/>
  <c r="H22" i="24"/>
  <c r="H23" i="24"/>
  <c r="H26" i="24"/>
  <c r="H27" i="24"/>
  <c r="H18" i="24"/>
  <c r="H3" i="24"/>
  <c r="H7" i="24"/>
  <c r="H11" i="24"/>
  <c r="G16" i="24"/>
  <c r="H16" i="24" s="1"/>
  <c r="G17" i="24"/>
  <c r="H17" i="24" s="1"/>
  <c r="G18" i="24"/>
  <c r="G19" i="24"/>
  <c r="G20" i="24"/>
  <c r="H20" i="24" s="1"/>
  <c r="G21" i="24"/>
  <c r="H21" i="24" s="1"/>
  <c r="G22" i="24"/>
  <c r="G23" i="24"/>
  <c r="G24" i="24"/>
  <c r="H24" i="24" s="1"/>
  <c r="G25" i="24"/>
  <c r="H25" i="24" s="1"/>
  <c r="G26" i="24"/>
  <c r="G27" i="24"/>
  <c r="G28" i="24"/>
  <c r="H28" i="24" s="1"/>
  <c r="G29" i="24"/>
  <c r="H29" i="24" s="1"/>
  <c r="G30" i="24"/>
  <c r="H30" i="24" s="1"/>
  <c r="G31" i="24"/>
  <c r="G32" i="24"/>
  <c r="H32" i="24" s="1"/>
  <c r="G33" i="24"/>
  <c r="H33" i="24" s="1"/>
  <c r="G34" i="24"/>
  <c r="H34" i="24" s="1"/>
  <c r="G35" i="24"/>
  <c r="H35" i="24" s="1"/>
  <c r="G36" i="24"/>
  <c r="H36" i="24" s="1"/>
  <c r="G37" i="24"/>
  <c r="H37" i="24" s="1"/>
  <c r="G38" i="24"/>
  <c r="H38" i="24" s="1"/>
  <c r="G39" i="24"/>
  <c r="H39" i="24" s="1"/>
  <c r="G40" i="24"/>
  <c r="H40" i="24" s="1"/>
  <c r="G41" i="24"/>
  <c r="H41" i="24" s="1"/>
  <c r="G42" i="24"/>
  <c r="H42" i="24" s="1"/>
  <c r="G43" i="24"/>
  <c r="H43" i="24" s="1"/>
  <c r="G44" i="24"/>
  <c r="H44" i="24" s="1"/>
  <c r="G45" i="24"/>
  <c r="H45" i="24" s="1"/>
  <c r="G46" i="24"/>
  <c r="G47" i="24"/>
  <c r="G48" i="24"/>
  <c r="H48" i="24" s="1"/>
  <c r="G49" i="24"/>
  <c r="H49" i="24" s="1"/>
  <c r="G50" i="24"/>
  <c r="G51" i="24"/>
  <c r="G52" i="24"/>
  <c r="H52" i="24" s="1"/>
  <c r="G53" i="24"/>
  <c r="H53" i="24" s="1"/>
  <c r="G54" i="24"/>
  <c r="G55" i="24"/>
  <c r="G56" i="24"/>
  <c r="G57" i="24"/>
  <c r="H57" i="24" s="1"/>
  <c r="G58" i="24"/>
  <c r="H58" i="24" s="1"/>
  <c r="G59" i="24"/>
  <c r="G60" i="24"/>
  <c r="G61" i="24"/>
  <c r="H61" i="24" s="1"/>
  <c r="G62" i="24"/>
  <c r="H62" i="24" s="1"/>
  <c r="G63" i="24"/>
  <c r="G64" i="24"/>
  <c r="G65" i="24"/>
  <c r="H65" i="24" s="1"/>
  <c r="G66" i="24"/>
  <c r="H66" i="24" s="1"/>
  <c r="G67" i="24"/>
  <c r="G14" i="24"/>
  <c r="H14" i="24" s="1"/>
  <c r="G15" i="24"/>
  <c r="H15" i="24" s="1"/>
  <c r="G3" i="24"/>
  <c r="G4" i="24"/>
  <c r="H4" i="24" s="1"/>
  <c r="G5" i="24"/>
  <c r="H5" i="24" s="1"/>
  <c r="G6" i="24"/>
  <c r="H6" i="24" s="1"/>
  <c r="G7" i="24"/>
  <c r="G8" i="24"/>
  <c r="H8" i="24" s="1"/>
  <c r="G9" i="24"/>
  <c r="H9" i="24" s="1"/>
  <c r="G10" i="24"/>
  <c r="H10" i="24" s="1"/>
  <c r="G11" i="24"/>
  <c r="G12" i="24"/>
  <c r="H12" i="24" s="1"/>
  <c r="G13" i="24"/>
  <c r="H13" i="24" s="1"/>
  <c r="G2" i="24"/>
  <c r="H2" i="24" s="1"/>
  <c r="P6" i="10" l="1"/>
  <c r="V6" i="10"/>
  <c r="AA6" i="10"/>
  <c r="P7" i="10"/>
  <c r="V7" i="10"/>
  <c r="AA7" i="10"/>
  <c r="E5" i="2" l="1"/>
  <c r="E13" i="2"/>
  <c r="S13" i="2" l="1"/>
  <c r="R13" i="2"/>
  <c r="E12" i="2" l="1"/>
  <c r="AA4" i="10" l="1"/>
  <c r="AA5" i="10"/>
  <c r="AA8" i="10"/>
  <c r="AA9" i="10"/>
  <c r="AA10" i="10"/>
  <c r="AA11" i="10"/>
  <c r="AA12" i="10"/>
  <c r="AA13" i="10"/>
  <c r="AA14" i="10"/>
  <c r="AA15" i="10"/>
  <c r="AA16" i="10"/>
  <c r="AA17" i="10"/>
  <c r="AA18"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V4" i="10"/>
  <c r="V5"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P4" i="10"/>
  <c r="P5"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D52" i="10"/>
  <c r="D53" i="10"/>
  <c r="D54" i="10"/>
  <c r="AA3" i="10"/>
  <c r="V3" i="10"/>
  <c r="P3" i="10"/>
  <c r="E3" i="2" l="1"/>
  <c r="E4" i="2" s="1"/>
  <c r="E11" i="2" s="1"/>
  <c r="E8" i="2" l="1"/>
  <c r="J8" i="2" s="1"/>
  <c r="E7" i="2" l="1"/>
  <c r="J13" i="2" l="1"/>
  <c r="E9" i="2"/>
  <c r="J9" i="2" s="1"/>
  <c r="J7" i="2" l="1"/>
  <c r="E6" i="2"/>
  <c r="J6" i="2" s="1"/>
  <c r="J5" i="2"/>
  <c r="C7" i="4" l="1"/>
  <c r="C6" i="4"/>
  <c r="C5" i="4"/>
  <c r="C4" i="4"/>
  <c r="C3" i="4"/>
  <c r="H13" i="2" l="1"/>
  <c r="H9" i="2"/>
  <c r="H8" i="2"/>
  <c r="D5" i="4"/>
  <c r="D4" i="4"/>
  <c r="D6" i="4"/>
  <c r="D7" i="4"/>
  <c r="H5" i="2" l="1"/>
  <c r="H6" i="2"/>
  <c r="H7" i="2"/>
  <c r="D6" i="1" l="1"/>
  <c r="D4" i="1"/>
  <c r="D5" i="1"/>
  <c r="D3" i="1"/>
  <c r="D2" i="1" s="1"/>
  <c r="E5" i="1" l="1"/>
  <c r="E6" i="1"/>
  <c r="E4" i="1"/>
</calcChain>
</file>

<file path=xl/sharedStrings.xml><?xml version="1.0" encoding="utf-8"?>
<sst xmlns="http://schemas.openxmlformats.org/spreadsheetml/2006/main" count="7547" uniqueCount="1596">
  <si>
    <t>Delete</t>
  </si>
  <si>
    <t>Update</t>
  </si>
  <si>
    <t>Insert</t>
  </si>
  <si>
    <t>View</t>
  </si>
  <si>
    <t>Advance Search</t>
  </si>
  <si>
    <t>Simple Search</t>
  </si>
  <si>
    <t>Refresh</t>
  </si>
  <si>
    <t>Start</t>
  </si>
  <si>
    <t>Load</t>
  </si>
  <si>
    <t>Job Process</t>
  </si>
  <si>
    <t>Job</t>
  </si>
  <si>
    <t>Reject</t>
  </si>
  <si>
    <t>Approve</t>
  </si>
  <si>
    <t>Journal</t>
  </si>
  <si>
    <t>Last Transaction</t>
  </si>
  <si>
    <t>Front Office</t>
  </si>
  <si>
    <t>Account Linkage</t>
  </si>
  <si>
    <t>Account Map Table</t>
  </si>
  <si>
    <t>Foreign Exchange Account Definition</t>
  </si>
  <si>
    <t>Clearing Account Definition</t>
  </si>
  <si>
    <t>Common Account Definition</t>
  </si>
  <si>
    <t>Extension Account Of Group Definition</t>
  </si>
  <si>
    <t>Account Of Group Definition</t>
  </si>
  <si>
    <t>Module Account List</t>
  </si>
  <si>
    <t>Group Definition</t>
  </si>
  <si>
    <t>Bank Account Definition</t>
  </si>
  <si>
    <t>Accounting</t>
  </si>
  <si>
    <t>Catalogue Definition</t>
  </si>
  <si>
    <t>Fixed Asset</t>
  </si>
  <si>
    <t>List Denom By Tx Refid</t>
  </si>
  <si>
    <t>List Denom</t>
  </si>
  <si>
    <t>Accept Cash Denom</t>
  </si>
  <si>
    <t>Get Balance</t>
  </si>
  <si>
    <t>Denom</t>
  </si>
  <si>
    <t>Cash Flow</t>
  </si>
  <si>
    <t>Cash</t>
  </si>
  <si>
    <t>Get Signature Execute</t>
  </si>
  <si>
    <t>Mortgage Account Information</t>
  </si>
  <si>
    <t>Mortgage</t>
  </si>
  <si>
    <t>Check Officer</t>
  </si>
  <si>
    <t>Fund Transfer Via Fast</t>
  </si>
  <si>
    <t>Payment Queue Center</t>
  </si>
  <si>
    <t>Get List IFC</t>
  </si>
  <si>
    <t>Payment Queue</t>
  </si>
  <si>
    <t>Get List Instruction</t>
  </si>
  <si>
    <t>Get List Tariff</t>
  </si>
  <si>
    <t>Payment</t>
  </si>
  <si>
    <t>Sub Product Limit</t>
  </si>
  <si>
    <t>Product Limit</t>
  </si>
  <si>
    <t>Group Limit</t>
  </si>
  <si>
    <t>Refresh Print</t>
  </si>
  <si>
    <t>Credit Account Infomation</t>
  </si>
  <si>
    <t>Credit</t>
  </si>
  <si>
    <t>Get Info Modify</t>
  </si>
  <si>
    <t>Approve Modify Deposit Account</t>
  </si>
  <si>
    <t>Stock Inventory</t>
  </si>
  <si>
    <t>Deposit Account Infomation</t>
  </si>
  <si>
    <t>Deposit</t>
  </si>
  <si>
    <t>IFC Auto Fee</t>
  </si>
  <si>
    <t>Tariff</t>
  </si>
  <si>
    <t>IFC Definition</t>
  </si>
  <si>
    <t>IFC</t>
  </si>
  <si>
    <t>Get Information</t>
  </si>
  <si>
    <t>Approve Media File</t>
  </si>
  <si>
    <t>Get List Approve</t>
  </si>
  <si>
    <t>Customer Media File</t>
  </si>
  <si>
    <t>Customer Linkage</t>
  </si>
  <si>
    <t>List Members Not In Group</t>
  </si>
  <si>
    <t>Customer Group</t>
  </si>
  <si>
    <t>Approve Modify Customer</t>
  </si>
  <si>
    <t>Customer</t>
  </si>
  <si>
    <t>Close</t>
  </si>
  <si>
    <t>Open</t>
  </si>
  <si>
    <t>Branch</t>
  </si>
  <si>
    <t>Calendar</t>
  </si>
  <si>
    <t>Close All Branch</t>
  </si>
  <si>
    <t>Bank</t>
  </si>
  <si>
    <t>Exchange Rate</t>
  </si>
  <si>
    <t>System Policy</t>
  </si>
  <si>
    <t>Change Password</t>
  </si>
  <si>
    <t>Approve User</t>
  </si>
  <si>
    <t>Logout User</t>
  </si>
  <si>
    <t>User Profile</t>
  </si>
  <si>
    <t>Get list user</t>
  </si>
  <si>
    <t>Department Profile</t>
  </si>
  <si>
    <t>ADM_INSERT_BRANCH</t>
  </si>
  <si>
    <t>ADM_VIEW_BRANCH</t>
  </si>
  <si>
    <t>Branch Profile</t>
  </si>
  <si>
    <t>Denomination</t>
  </si>
  <si>
    <t>Correspondent Bank</t>
  </si>
  <si>
    <t>Currency</t>
  </si>
  <si>
    <t>Country</t>
  </si>
  <si>
    <t>System Code Table</t>
  </si>
  <si>
    <t>Cash Limit Position</t>
  </si>
  <si>
    <t>Administration</t>
  </si>
  <si>
    <t>Login</t>
  </si>
  <si>
    <t>Workflow id</t>
  </si>
  <si>
    <t>Main module</t>
  </si>
  <si>
    <t>Sub-module</t>
  </si>
  <si>
    <t>CTM</t>
  </si>
  <si>
    <t>CTM_APR</t>
  </si>
  <si>
    <t>CTM_CAS</t>
  </si>
  <si>
    <t>DPT</t>
  </si>
  <si>
    <t>DPT_OPN</t>
  </si>
  <si>
    <t>DPT_APR</t>
  </si>
  <si>
    <t>DPT_CDP</t>
  </si>
  <si>
    <t>DPT_MDP</t>
  </si>
  <si>
    <t>DPT_TRF</t>
  </si>
  <si>
    <t>DPT_CWR</t>
  </si>
  <si>
    <t>DPT_MWR</t>
  </si>
  <si>
    <t>DPT_BLK</t>
  </si>
  <si>
    <t>DPT_RLS</t>
  </si>
  <si>
    <t>DPT_CAS</t>
  </si>
  <si>
    <t>DPT_CIP</t>
  </si>
  <si>
    <t>DPT_DIP</t>
  </si>
  <si>
    <t>DPT_MIP</t>
  </si>
  <si>
    <t>DPT_IFC</t>
  </si>
  <si>
    <t>DPT_EMK</t>
  </si>
  <si>
    <t>DPT_ERL</t>
  </si>
  <si>
    <t>DPT_FOC</t>
  </si>
  <si>
    <t>DPT_FEE</t>
  </si>
  <si>
    <t>DPT_CLS</t>
  </si>
  <si>
    <t>DPT_DLS</t>
  </si>
  <si>
    <t>DPT_MLS</t>
  </si>
  <si>
    <t>DPT_HIS</t>
  </si>
  <si>
    <t>DPT_SRG</t>
  </si>
  <si>
    <t>DPT_SAB</t>
  </si>
  <si>
    <t>DPT_SAT</t>
  </si>
  <si>
    <t>DPT_CCR</t>
  </si>
  <si>
    <t>DPT_CRT</t>
  </si>
  <si>
    <t>DPT_SRA</t>
  </si>
  <si>
    <t>DPT_CIS</t>
  </si>
  <si>
    <t>DPT_SBI</t>
  </si>
  <si>
    <t>DPT_CER</t>
  </si>
  <si>
    <t>DPT_CDT</t>
  </si>
  <si>
    <t>DPT_CWC</t>
  </si>
  <si>
    <t>DPT_CWM</t>
  </si>
  <si>
    <t>DPT_CEI</t>
  </si>
  <si>
    <t>DPT_REC</t>
  </si>
  <si>
    <t>DPT_SLS</t>
  </si>
  <si>
    <t>DPT_CIQ</t>
  </si>
  <si>
    <t>DPT_ODO</t>
  </si>
  <si>
    <t>DPT_COD</t>
  </si>
  <si>
    <t>DPT_COG</t>
  </si>
  <si>
    <t>CRD</t>
  </si>
  <si>
    <t>CRD_PLO</t>
  </si>
  <si>
    <t>CRD_PLA</t>
  </si>
  <si>
    <t>CRD_PLAD</t>
  </si>
  <si>
    <t>CRD_SPLO</t>
  </si>
  <si>
    <t>CRD_SPLA</t>
  </si>
  <si>
    <t>CRD_SPAD</t>
  </si>
  <si>
    <t>CRD_OPN</t>
  </si>
  <si>
    <t>CRD_REJ</t>
  </si>
  <si>
    <t>CRD_APR</t>
  </si>
  <si>
    <t>CRD_CDR</t>
  </si>
  <si>
    <t>CRD_MDR</t>
  </si>
  <si>
    <t>CRD_TDR</t>
  </si>
  <si>
    <t>CRD_BLK</t>
  </si>
  <si>
    <t>CRD_CAS</t>
  </si>
  <si>
    <t>CRD_MIPM</t>
  </si>
  <si>
    <t>CRD_CIPM</t>
  </si>
  <si>
    <t>CRD_IPCT</t>
  </si>
  <si>
    <t>CRD_FOC</t>
  </si>
  <si>
    <t>CRD_FCD</t>
  </si>
  <si>
    <t>CRD_FCG</t>
  </si>
  <si>
    <t>CRD_RFC</t>
  </si>
  <si>
    <t>CRD_RFD</t>
  </si>
  <si>
    <t>CRD_FRG</t>
  </si>
  <si>
    <t>CRD_CLA</t>
  </si>
  <si>
    <t>CRD_EXT</t>
  </si>
  <si>
    <t>CRD_IFC</t>
  </si>
  <si>
    <t>CRD_NPL</t>
  </si>
  <si>
    <t>CRD_CLS</t>
  </si>
  <si>
    <t>CRD_SPLC</t>
  </si>
  <si>
    <t>CRD_PLC</t>
  </si>
  <si>
    <t>CRD_HIS</t>
  </si>
  <si>
    <t>MTG</t>
  </si>
  <si>
    <t>MTG_OPN</t>
  </si>
  <si>
    <t>MTG_APR</t>
  </si>
  <si>
    <t>MTG_SCR</t>
  </si>
  <si>
    <t>MTG_RLS</t>
  </si>
  <si>
    <t>MTG_BLK</t>
  </si>
  <si>
    <t>MTG_BRL</t>
  </si>
  <si>
    <t>MTG_DCR</t>
  </si>
  <si>
    <t>MTG_INR</t>
  </si>
  <si>
    <t>MTG_RTN</t>
  </si>
  <si>
    <t>MTG_CLS</t>
  </si>
  <si>
    <t>MTG_REA</t>
  </si>
  <si>
    <t>MTG_HDT</t>
  </si>
  <si>
    <t>PMT</t>
  </si>
  <si>
    <t>PMT_IIT</t>
  </si>
  <si>
    <t>PMT_OIT</t>
  </si>
  <si>
    <t>PMT_ODT</t>
  </si>
  <si>
    <t>PMT_OITT</t>
  </si>
  <si>
    <t>PMT_KITT</t>
  </si>
  <si>
    <t>PMT_IDT</t>
  </si>
  <si>
    <t>PMT_IITT</t>
  </si>
  <si>
    <t>CSH</t>
  </si>
  <si>
    <t>CSH_MOV</t>
  </si>
  <si>
    <t>CSH_DNM</t>
  </si>
  <si>
    <t>FAC</t>
  </si>
  <si>
    <t>FAC_OPN</t>
  </si>
  <si>
    <t>FAC_PBC</t>
  </si>
  <si>
    <t>FAC_PBD</t>
  </si>
  <si>
    <t>FAC_PBG</t>
  </si>
  <si>
    <t>FAC_SBC</t>
  </si>
  <si>
    <t>FAC_SBD</t>
  </si>
  <si>
    <t>FAC_SBG</t>
  </si>
  <si>
    <t>FAC_TFB</t>
  </si>
  <si>
    <t>FAC_CLS</t>
  </si>
  <si>
    <t>ACT</t>
  </si>
  <si>
    <t>ACT_MAN</t>
  </si>
  <si>
    <t>Internal Transaction</t>
  </si>
  <si>
    <t>ACT_FEE</t>
  </si>
  <si>
    <t>Fee collection by cash</t>
  </si>
  <si>
    <t>ACT_GFEE</t>
  </si>
  <si>
    <t>Miscellaneous Fee collection</t>
  </si>
  <si>
    <t>FX</t>
  </si>
  <si>
    <t>CSH_CSH</t>
  </si>
  <si>
    <t>FX Cash-Cash</t>
  </si>
  <si>
    <t>CSH_DPT</t>
  </si>
  <si>
    <t>FX Cash-Deposit</t>
  </si>
  <si>
    <t>CSH_ACT</t>
  </si>
  <si>
    <t>FX Cash-GL</t>
  </si>
  <si>
    <t>DPT_CSH</t>
  </si>
  <si>
    <t>FX Deposit-Cash</t>
  </si>
  <si>
    <t>DPT_DPT</t>
  </si>
  <si>
    <t>FX Deposit-Deposit</t>
  </si>
  <si>
    <t>DPT_ACT</t>
  </si>
  <si>
    <t>FX Deposit-GL</t>
  </si>
  <si>
    <t>ACT_CSH</t>
  </si>
  <si>
    <t>FX GL-Cash</t>
  </si>
  <si>
    <t>ACT_DPT</t>
  </si>
  <si>
    <t>FX GL-Deposit</t>
  </si>
  <si>
    <t>ACT_ACT</t>
  </si>
  <si>
    <t>FX GL-GL</t>
  </si>
  <si>
    <t>ADM</t>
  </si>
  <si>
    <t>ADM_FXD</t>
  </si>
  <si>
    <t>Delete FX Rate By Branch</t>
  </si>
  <si>
    <t>Batch DPT</t>
  </si>
  <si>
    <t>B_DPT_</t>
  </si>
  <si>
    <t>Change Status Dormant, Calculation And Collection Dormant Fee</t>
  </si>
  <si>
    <t>Calculation And Collection Maintenance Fee</t>
  </si>
  <si>
    <t>Change Status Maturity</t>
  </si>
  <si>
    <t>Calculate Interest Accrual And Withholding Tax</t>
  </si>
  <si>
    <t>Transfer Interest Due</t>
  </si>
  <si>
    <t>Rollover</t>
  </si>
  <si>
    <t>Transfer Interest To DD Account</t>
  </si>
  <si>
    <t>Transfer Principal And Interest To DD Account</t>
  </si>
  <si>
    <t>Batch CRD</t>
  </si>
  <si>
    <t>B_CRD_CIC</t>
  </si>
  <si>
    <t>Interest Calculation</t>
  </si>
  <si>
    <t>B_CRD_DODM</t>
  </si>
  <si>
    <t>Disbursement For OD Account Month End</t>
  </si>
  <si>
    <t>B_CRD_CTD</t>
  </si>
  <si>
    <t>Transfer Interest And Principal To Due</t>
  </si>
  <si>
    <t>B_CRD_NPL</t>
  </si>
  <si>
    <t>Change Classification Status</t>
  </si>
  <si>
    <t>B_CRD_ADJPROV</t>
  </si>
  <si>
    <t>Interest Provision Adjust</t>
  </si>
  <si>
    <t>Trans code</t>
  </si>
  <si>
    <t>Trans name</t>
  </si>
  <si>
    <t>No</t>
  </si>
  <si>
    <t>Print</t>
  </si>
  <si>
    <t>Check Run Batch</t>
  </si>
  <si>
    <t>Note</t>
  </si>
  <si>
    <t>Status deploy</t>
  </si>
  <si>
    <t>ACT_ACCHRT_DEL</t>
  </si>
  <si>
    <t>ACT_ACCLR_DEL</t>
  </si>
  <si>
    <t>ACT_ACCOM_DEL</t>
  </si>
  <si>
    <t>ACT_FXCLR_DEL</t>
  </si>
  <si>
    <t>ACT_ACGLDEF_DEL</t>
  </si>
  <si>
    <t>ACT_ACGRP_DEL</t>
  </si>
  <si>
    <t>ACT_ACGRPDEF_DEL</t>
  </si>
  <si>
    <t>ACT_ACGRPDEFDTL_DEL</t>
  </si>
  <si>
    <t>ACT_ACMAP_DEL</t>
  </si>
  <si>
    <t>ACT_ACCHRT_INS</t>
  </si>
  <si>
    <t>ACT_ACCLR_INS</t>
  </si>
  <si>
    <t>ACT_ACCOM_INS</t>
  </si>
  <si>
    <t>ACT_FXCLR_INS</t>
  </si>
  <si>
    <t>ACT_ACGLDEF_INS</t>
  </si>
  <si>
    <t>ACT_ACGRP_INS</t>
  </si>
  <si>
    <t>ACT_ACGRPDEF_INS</t>
  </si>
  <si>
    <t>ACT_ACGRPDEFDTL_INS</t>
  </si>
  <si>
    <t>ACT_ACMAP_INS</t>
  </si>
  <si>
    <t>ACT_ACCHRT_UPD</t>
  </si>
  <si>
    <t>ACT_ACCLR_UPD</t>
  </si>
  <si>
    <t>ACT_ACCOM_UPD</t>
  </si>
  <si>
    <t>ACT_FXCLR_UPD</t>
  </si>
  <si>
    <t>ACT_ACGLDEF_UPD</t>
  </si>
  <si>
    <t>ACT_ACGRP_UPD</t>
  </si>
  <si>
    <t>ACT_ACGRPDEF_UPD</t>
  </si>
  <si>
    <t>ACT_ACGRPDEFDTL_UPD</t>
  </si>
  <si>
    <t>ACT_ACMAP_UPD</t>
  </si>
  <si>
    <t>ACT_ACCHRT_VIEW</t>
  </si>
  <si>
    <t>ACT_ACCHRT_SER_SIMPLE</t>
  </si>
  <si>
    <t>API
function</t>
  </si>
  <si>
    <t>ACT_ACCHRT_SER_ADVANCE</t>
  </si>
  <si>
    <t>ACT_ACCLR_VIEW</t>
  </si>
  <si>
    <t>ACT_ACCLR_SER_SIMPLE</t>
  </si>
  <si>
    <t>ACT_ACCLR_SER_ADVANCE</t>
  </si>
  <si>
    <t>ACT_ACCOM_VIEW</t>
  </si>
  <si>
    <t>ACT_ACCOM_SER_SIMPLE</t>
  </si>
  <si>
    <t>ACT_ACCOM_SER_ADVANCE</t>
  </si>
  <si>
    <t>ACT_ACMAP_VIEW</t>
  </si>
  <si>
    <t>ACT_ACMAP_SER_SIMPLE</t>
  </si>
  <si>
    <t>ACT_ACMAP_SER_ADVANCE</t>
  </si>
  <si>
    <t>ACT_ACGRPDEF_VIEW</t>
  </si>
  <si>
    <t>ACT_ACGRPDEF_SER_SIMPLE</t>
  </si>
  <si>
    <t>ACT_ACGRPDEF_SER_ADVANCE</t>
  </si>
  <si>
    <t>ACT_ACGRPDEFDTL_VIEW</t>
  </si>
  <si>
    <t>ACT_ACGRPDEFDTL_SER_SIMPLE</t>
  </si>
  <si>
    <t>ACT_ACGRPDEFDTL_SER_ADVANCE</t>
  </si>
  <si>
    <t>ACT_ACGLDEF_VIEW</t>
  </si>
  <si>
    <t>ACT_ACGLDEF_SER_SIMPLE</t>
  </si>
  <si>
    <t>ACT_ACGLDEF_SER_ADVANCE</t>
  </si>
  <si>
    <t>ACT_FXCLR_VIEW</t>
  </si>
  <si>
    <t>ACT_FXCLR_SER_SIMPLE</t>
  </si>
  <si>
    <t>ACT_FXCLR_SER_ADVANCE</t>
  </si>
  <si>
    <t>ACT_ACGRP_VIEW</t>
  </si>
  <si>
    <t>ACT_ACGRP_SER_SIMPLE</t>
  </si>
  <si>
    <t>ACT_ACGRP_SER_ADVANCE</t>
  </si>
  <si>
    <t>PMT_DELETE_AGENTBANK</t>
  </si>
  <si>
    <t>ADM_DELETE_BRANCH</t>
  </si>
  <si>
    <t>ADM_DELETE_CURRENCY</t>
  </si>
  <si>
    <t>ADM_DELETE_COUNTRY</t>
  </si>
  <si>
    <t>ADM_DELETE_USER_ROLE</t>
  </si>
  <si>
    <t>ADM_DELETE_USER_POLICY</t>
  </si>
  <si>
    <t>PMT_INSERT_AGENTBANK</t>
  </si>
  <si>
    <t>ADM_INSERT_CURRENCY</t>
  </si>
  <si>
    <t>ADM_INSERT_CODE_LIST</t>
  </si>
  <si>
    <t>ADM_INSERT_COUNTRY</t>
  </si>
  <si>
    <t>ADM_INSERT_USER_ROLE</t>
  </si>
  <si>
    <t>ADM_INSERT_USER_POLICY</t>
  </si>
  <si>
    <t>ADM_UPDATE_CURRENCY</t>
  </si>
  <si>
    <t>ADM_UPDATE_COUNTRY</t>
  </si>
  <si>
    <t>ADM_UPDATE_USER_POLICY</t>
  </si>
  <si>
    <t>ADM_VIEW_USER_ROLE</t>
  </si>
  <si>
    <t>ADM_VIEW_CURRENCY</t>
  </si>
  <si>
    <t>ADM_VIEW_COUNTRY</t>
  </si>
  <si>
    <t>ADM_SIMPLE_SEARCH_COUNTRY</t>
  </si>
  <si>
    <t>ADM_ADVANCED_SEARCH_COUNTRY</t>
  </si>
  <si>
    <t>ADM_VIEW_USER_POLICY</t>
  </si>
  <si>
    <t>ADM_SIMPLE_SEARCH_USER_POLICY</t>
  </si>
  <si>
    <t>ADM_ADVANCED_SEARCH_USER_POLICY</t>
  </si>
  <si>
    <t>PMT_VIEW_AGENTBANK</t>
  </si>
  <si>
    <t>PMT_SEARCH_SP_AGENTBANK</t>
  </si>
  <si>
    <t>PMT_SEARCH_ADV_AGENTBANK</t>
  </si>
  <si>
    <t>PMT_UPDATE_AGENTBANK</t>
  </si>
  <si>
    <t>IFC_DELETE_IFCAUTOFEE</t>
  </si>
  <si>
    <t>IFC_DELETE_IFC</t>
  </si>
  <si>
    <t>IFC_DELETE_TARIFF</t>
  </si>
  <si>
    <t>IFC_INSERT_IFCAUTOFEE</t>
  </si>
  <si>
    <t>IFC_INSERT_IFC</t>
  </si>
  <si>
    <t>IFC_INSERT_TARIFF</t>
  </si>
  <si>
    <t>IFC_UPDATE_IFCAUTOFEE</t>
  </si>
  <si>
    <t>IFC_UPDATE_IFC</t>
  </si>
  <si>
    <t>IFC_UPDATE_TARIFF</t>
  </si>
  <si>
    <t>IFC_VIEW_IFC</t>
  </si>
  <si>
    <t>IFC_SEARCH_IFC</t>
  </si>
  <si>
    <t>IFC_ADSEARCH_IFC</t>
  </si>
  <si>
    <t>IFC_SEARCH_TARIFF</t>
  </si>
  <si>
    <t>IFC_ADSEARCH_TARIFF</t>
  </si>
  <si>
    <t>IFC_VIEW_TARIFF</t>
  </si>
  <si>
    <t>IFC_SEARCH_IFCAUTOFEE</t>
  </si>
  <si>
    <t>IFC_ADSEARCH_IFCAUTOFEE</t>
  </si>
  <si>
    <t>IFC_VIEW_IFCAUTOFEE</t>
  </si>
  <si>
    <t>PMT_DELETE_PMTCAT</t>
  </si>
  <si>
    <t>PMT_INSERT_PMTCAT</t>
  </si>
  <si>
    <t>PMT_UPDATE_PMTCAT</t>
  </si>
  <si>
    <t>PMT_VIEW_PMTCAT</t>
  </si>
  <si>
    <t>PMT_SEARCH_SP_PMTCAT</t>
  </si>
  <si>
    <t>PMT_SEARCH_ADV_PMTCAT</t>
  </si>
  <si>
    <t>CSH_DENOM_DEL</t>
  </si>
  <si>
    <t>CSH_DENOM_INS</t>
  </si>
  <si>
    <t>CSH_DENOM_UPD</t>
  </si>
  <si>
    <t>SQL_DELETE_CTM</t>
  </si>
  <si>
    <t>SQL_DELETE_CTMLKG</t>
  </si>
  <si>
    <t>SQL_DELETE_CTMGRP</t>
  </si>
  <si>
    <t>SQL_INSERT_CTM</t>
  </si>
  <si>
    <t>SQL_UPDATE_CTM</t>
  </si>
  <si>
    <t>SQL_UPDATE_CTMLKG</t>
  </si>
  <si>
    <t>SQL_UPDATE_CTMGRP</t>
  </si>
  <si>
    <t>SQL_VIEW_CTM</t>
  </si>
  <si>
    <t>SQL_SEARCH_CTM</t>
  </si>
  <si>
    <t>SQL_ADSEARCH_CTM</t>
  </si>
  <si>
    <t>SQL_VIEW_CTMGRP</t>
  </si>
  <si>
    <t>SQL_SEARCH_CTMGRP</t>
  </si>
  <si>
    <t>SQL_ADSEARCH_CTMGRP</t>
  </si>
  <si>
    <t>SQL_VIEW_CTMLKG</t>
  </si>
  <si>
    <t>SQL_SEARCH_CTMLKG</t>
  </si>
  <si>
    <t>SQL_ADSEARCH_CTMLKG</t>
  </si>
  <si>
    <t>DPT_DELETE_DEPOSIT</t>
  </si>
  <si>
    <t>DPT_DELETE_CATALOG</t>
  </si>
  <si>
    <t>DPT_UPDATE_DEPOSIT</t>
  </si>
  <si>
    <t>DPT_UPDATE_CATALOG</t>
  </si>
  <si>
    <t>x</t>
  </si>
  <si>
    <t>Sync</t>
  </si>
  <si>
    <t>ADM_DELETE_CODE_LIST</t>
  </si>
  <si>
    <t>ADM_DELETE_DEPARTMENT</t>
  </si>
  <si>
    <t>ADM_DELETE_USER_ACCOUNT</t>
  </si>
  <si>
    <t>ADM_INSERT_DEPARTMENT</t>
  </si>
  <si>
    <t>ADM_UPDATE_DEPARTMENT</t>
  </si>
  <si>
    <t>ADM_INSERT_USER_ACCOUNT</t>
  </si>
  <si>
    <t>ADM_UPDATE_USER_ACCOUNT</t>
  </si>
  <si>
    <t>ADM_UPDATE_CODE_LIST</t>
  </si>
  <si>
    <t>ADM_VIEW_CODE_LIST</t>
  </si>
  <si>
    <t>ADM_SIMPLE_SEARCH_CODE_LIST</t>
  </si>
  <si>
    <t>ADM_ADVANCED_SEARCH_CODE_LIST</t>
  </si>
  <si>
    <t>ADM_VIEW_DEPARTMENT</t>
  </si>
  <si>
    <t>ADM_SIMPLE_SEARCH_DEPARTMENT</t>
  </si>
  <si>
    <t>ADM_VIEW_USER_ACCOUNT</t>
  </si>
  <si>
    <t>ADM_SIMPLE_SEARCH_USER_ACCOUNT</t>
  </si>
  <si>
    <t>Foreign Exchange</t>
  </si>
  <si>
    <t>Tên trong API là [Account Chart]</t>
  </si>
  <si>
    <t>Tên trong API là [Account Group]</t>
  </si>
  <si>
    <t>Tên trong API là [Account Group Detail]</t>
  </si>
  <si>
    <t>Tên trong API là [Account Mapping]</t>
  </si>
  <si>
    <t>Tên trong API là [Group Of Account]</t>
  </si>
  <si>
    <t>Tạo mới</t>
  </si>
  <si>
    <t>WF
ID</t>
  </si>
  <si>
    <t>SPEC</t>
  </si>
  <si>
    <t>Role Profiles - Invoke - Approve</t>
  </si>
  <si>
    <t>Role Profiles - Add - Remove</t>
  </si>
  <si>
    <t>Role Profiles - User - Assignment</t>
  </si>
  <si>
    <t>Tên trong API là [UserRight]</t>
  </si>
  <si>
    <t>Get list commands</t>
  </si>
  <si>
    <t>Get list user right by commands id</t>
  </si>
  <si>
    <t>Get list user right by commands id detail</t>
  </si>
  <si>
    <t>Tên trong API là [UserRole]</t>
  </si>
  <si>
    <t>Get list roles</t>
  </si>
  <si>
    <t>Insert (Add Role By Copy Another)</t>
  </si>
  <si>
    <t>Insert (Assign user for role)</t>
  </si>
  <si>
    <t>Get list users by role id</t>
  </si>
  <si>
    <t>Get list roles by user id</t>
  </si>
  <si>
    <t>Tên trong API là [RoleOfUser]</t>
  </si>
  <si>
    <t>Role Profiles - Invoke Limit - Approve Limit</t>
  </si>
  <si>
    <t>Get list user limit by role id</t>
  </si>
  <si>
    <t>Tên trong API là [UserLimit]</t>
  </si>
  <si>
    <t>Reset Password</t>
  </si>
  <si>
    <t>UMG_LOGIN</t>
  </si>
  <si>
    <t>Authenticate</t>
  </si>
  <si>
    <t>Logout</t>
  </si>
  <si>
    <t>Approve Modify Credit Account</t>
  </si>
  <si>
    <t>Get Payment Schedule</t>
  </si>
  <si>
    <t>Get Disbursement Schedule</t>
  </si>
  <si>
    <t>Get Principal Payment</t>
  </si>
  <si>
    <t>Get Interest Payment</t>
  </si>
  <si>
    <t>Gen Payment Schedule</t>
  </si>
  <si>
    <t>Gen Disbursement Schedule</t>
  </si>
  <si>
    <t>Gen Principal Payment</t>
  </si>
  <si>
    <t>Gen Interest Payment</t>
  </si>
  <si>
    <t>CRD_DELETE_CRDCAT</t>
  </si>
  <si>
    <t>CRD_DELETE_CREDIT</t>
  </si>
  <si>
    <t>CRD_DELETE_CRDGRPLM</t>
  </si>
  <si>
    <t>CRD_GEN_SCHD_INT</t>
  </si>
  <si>
    <t>CRD_GEN_SCHD_PRIN</t>
  </si>
  <si>
    <t>Gen Principal - Interest Payment</t>
  </si>
  <si>
    <t>CRD_GEN_SCHD_PRIN_INT</t>
  </si>
  <si>
    <t>CRD_INSERT_CRDCAT</t>
  </si>
  <si>
    <t>CRD_INSERT_CRDGRPLM</t>
  </si>
  <si>
    <t>CRD_SEARCH_ADV_CRDCAT</t>
  </si>
  <si>
    <t>CRD_SEARCH_ADV_CRDGRPLM</t>
  </si>
  <si>
    <t>CRD_SEARCH_SP_CRDCAT</t>
  </si>
  <si>
    <t>CRD_SEARCH_SP_CRDGRPLM</t>
  </si>
  <si>
    <t>CRD_UPDATE_CRDCAT</t>
  </si>
  <si>
    <t>CRD_UPDATE_CRDPL</t>
  </si>
  <si>
    <t>CRD_UPDATE_CRDSPL</t>
  </si>
  <si>
    <t>CRD_UPDATE_CREDIT</t>
  </si>
  <si>
    <t>CRD_UPDATE_CRDGRPLM</t>
  </si>
  <si>
    <t>CRD_VIEW_CRDCAT</t>
  </si>
  <si>
    <t>CRD_VIEW_CRDGRPLM</t>
  </si>
  <si>
    <t>CTM_DELETE_MEDIA</t>
  </si>
  <si>
    <t>DPT_DELETE_STOCKINVENTORY</t>
  </si>
  <si>
    <t>DPT_INSERT_CATALOG</t>
  </si>
  <si>
    <t>SQL_DELETE_FACCAT</t>
  </si>
  <si>
    <t>SQL_DELETE_FACACT</t>
  </si>
  <si>
    <t>SQL_INSERT_FACCAT</t>
  </si>
  <si>
    <t>SQL_UPDATE_FACCAT</t>
  </si>
  <si>
    <t>SQL_UPDATE_FACACT</t>
  </si>
  <si>
    <t>SQL_ADSEARCH_FACCAT</t>
  </si>
  <si>
    <t>SQL_SEARCH_FACCAT</t>
  </si>
  <si>
    <t>SQL_VIEW_FACCAT</t>
  </si>
  <si>
    <t>MTG_ADVANCED_SEARCH_MORTGAGE_ACCOUNT</t>
  </si>
  <si>
    <t>MTG_ADVANCED_SEARCH_MORTGAGE_CATALOG</t>
  </si>
  <si>
    <t>MTG_DELETE_MORTGAGE_ACCOUNT</t>
  </si>
  <si>
    <t>MTG_DELETE_MORTGAGE_CATALOG</t>
  </si>
  <si>
    <t>MTG_INSERT_MORTGAGE_CATALOG</t>
  </si>
  <si>
    <t>MTG_SIMPLE_SEARCH_MORTGAGE_ACCOUNT</t>
  </si>
  <si>
    <t>MTG_SIMPLE_SEARCH_MORTGAGE_CATALOG</t>
  </si>
  <si>
    <t>MTG_UPDATE_MORTGAGE_ACCOUNT</t>
  </si>
  <si>
    <t>MTG_UPDATE_MORTGAGE_CATALOG</t>
  </si>
  <si>
    <t>MTG_VIEW_MORTGAGE_CATALOG</t>
  </si>
  <si>
    <t>CRD_AIPB</t>
  </si>
  <si>
    <t>CRD_ANI</t>
  </si>
  <si>
    <t>CRD_API</t>
  </si>
  <si>
    <t>CRD_DOD</t>
  </si>
  <si>
    <t>CRD_POD</t>
  </si>
  <si>
    <t>CRD_RID</t>
  </si>
  <si>
    <t>CRD_RLS</t>
  </si>
  <si>
    <t>CRD_RPD</t>
  </si>
  <si>
    <t>CRD_TID</t>
  </si>
  <si>
    <t>MTG_RPL</t>
  </si>
  <si>
    <t>MTG_SPL</t>
  </si>
  <si>
    <t>PMT_APR</t>
  </si>
  <si>
    <t>DPT_ACI</t>
  </si>
  <si>
    <t>DPT_ANI</t>
  </si>
  <si>
    <t>DPT_ATL</t>
  </si>
  <si>
    <t>DPT_CCI</t>
  </si>
  <si>
    <t>DPT_CCL</t>
  </si>
  <si>
    <t>DPT_CCW</t>
  </si>
  <si>
    <t>DPT_CLSD</t>
  </si>
  <si>
    <t>DPT_CMF</t>
  </si>
  <si>
    <t>DPT_CTS</t>
  </si>
  <si>
    <t>DPT_DMF</t>
  </si>
  <si>
    <t>DPT_RID</t>
  </si>
  <si>
    <t>DPT_ROV</t>
  </si>
  <si>
    <t>DPT_TID</t>
  </si>
  <si>
    <t>DPT_TIO</t>
  </si>
  <si>
    <t>DPT_TIP</t>
  </si>
  <si>
    <t>4410: Release asset from product limit</t>
  </si>
  <si>
    <t>4420: Secure asset for product limit</t>
  </si>
  <si>
    <t>Approve message queue</t>
  </si>
  <si>
    <t>6600: Outward internal bank</t>
  </si>
  <si>
    <t>6601: Outward domestic bank</t>
  </si>
  <si>
    <t>6610: Inward internal bank</t>
  </si>
  <si>
    <t>6611: Inward domestic bank</t>
  </si>
  <si>
    <t>6612: Inward international bank</t>
  </si>
  <si>
    <t>6630: Create inward (domestic/swift) message</t>
  </si>
  <si>
    <t>PMT_REJ</t>
  </si>
  <si>
    <t>PMT_APR1</t>
  </si>
  <si>
    <t>Approve message queue at center</t>
  </si>
  <si>
    <t>4400: Open new collateral account</t>
  </si>
  <si>
    <t>4450: Approve collateral account</t>
  </si>
  <si>
    <t>4420: Secure asset for credit account</t>
  </si>
  <si>
    <t>4410: Release asset from credit account</t>
  </si>
  <si>
    <t>4484: Block account</t>
  </si>
  <si>
    <t>4481: Release block account</t>
  </si>
  <si>
    <t>4452: Decreasing asset value</t>
  </si>
  <si>
    <t>4451: Increasing asset value</t>
  </si>
  <si>
    <t>4431: Return collateral asset to customer</t>
  </si>
  <si>
    <t>4490: Close account</t>
  </si>
  <si>
    <t>4491: Re-active collateral account</t>
  </si>
  <si>
    <t>4460: History inquiry detail</t>
  </si>
  <si>
    <t>Reject message queue</t>
  </si>
  <si>
    <t>1100: Open new deposit account</t>
  </si>
  <si>
    <t>1101: Create overdraft contract</t>
  </si>
  <si>
    <t>1110: Cash deposit</t>
  </si>
  <si>
    <t>1111: Deposit by cheque</t>
  </si>
  <si>
    <t>1112: Miscellaneous deposit</t>
  </si>
  <si>
    <t>1120: Cash withdrawal</t>
  </si>
  <si>
    <t>1121: Cash withdrawal by cheque</t>
  </si>
  <si>
    <t>1122: Miscellaneous withdrawal</t>
  </si>
  <si>
    <t>1125: Misellaneous debit by cheque</t>
  </si>
  <si>
    <t>1130: Transfer from deposit account to deposit account</t>
  </si>
  <si>
    <t>1140: Interest payment by cash</t>
  </si>
  <si>
    <t>1141: Interest payment to deposit account</t>
  </si>
  <si>
    <t>1142: Miscellaneous interest payment</t>
  </si>
  <si>
    <t>1160: Transaction history inquiry</t>
  </si>
  <si>
    <t>1162: Cheque leaves status inquiry</t>
  </si>
  <si>
    <t>1167: Cheque inquiry</t>
  </si>
  <si>
    <t>1169: Adjust deposit interest</t>
  </si>
  <si>
    <t>11801: Cheque book issued</t>
  </si>
  <si>
    <t>11802: Deposit passbook issue</t>
  </si>
  <si>
    <t>11803: Fixed deposit receipt issued</t>
  </si>
  <si>
    <t>11830: Stock registration</t>
  </si>
  <si>
    <t>11831: Stock assigned to branch</t>
  </si>
  <si>
    <t>11832: Stock assign to Staff</t>
  </si>
  <si>
    <t>11833: Stock returned</t>
  </si>
  <si>
    <t>11834: Stock confirm received</t>
  </si>
  <si>
    <t>11835: Reject assigned stock</t>
  </si>
  <si>
    <t>1184: Fee collection by cash for DD</t>
  </si>
  <si>
    <t>11840: Block account</t>
  </si>
  <si>
    <t>11841: Change account status</t>
  </si>
  <si>
    <t>11843: Release block account</t>
  </si>
  <si>
    <t>1185: Fee collection by transfer</t>
  </si>
  <si>
    <t>1190: Close deposit account by deposit</t>
  </si>
  <si>
    <t>1191: Close deposit account by miscellaneous</t>
  </si>
  <si>
    <t>1193: Close deposit account</t>
  </si>
  <si>
    <t>1195: Close OD Facility by Cash</t>
  </si>
  <si>
    <t>1196: Close OD Facility by GL</t>
  </si>
  <si>
    <t>Auto pay interest to deposit account</t>
  </si>
  <si>
    <t>Deposit Estimate Normal Interest</t>
  </si>
  <si>
    <t>Deposit account linkage - Auto transfer</t>
  </si>
  <si>
    <t>Cheque clearing</t>
  </si>
  <si>
    <t>Auto Close Dormant Account</t>
  </si>
  <si>
    <t>Collection Maintenace Fee</t>
  </si>
  <si>
    <t>Interest credit</t>
  </si>
  <si>
    <t>11837: Change status of stock</t>
  </si>
  <si>
    <t>Collection Dormant Fee</t>
  </si>
  <si>
    <t>Repay interest to deposit account</t>
  </si>
  <si>
    <t>Auto renew account</t>
  </si>
  <si>
    <t>1145: Transfer interest to due</t>
  </si>
  <si>
    <t>Transfer interest to overdue</t>
  </si>
  <si>
    <t>Open new fixed asset</t>
  </si>
  <si>
    <t>Purchase fixed asset by cash</t>
  </si>
  <si>
    <t>Purchase fixed asset by deposit</t>
  </si>
  <si>
    <t>Purchase fixed asset by accounting</t>
  </si>
  <si>
    <t>Selling fixed asset by cash</t>
  </si>
  <si>
    <t>Selling fixed asset by deposit</t>
  </si>
  <si>
    <t>Selling fixed asset by accounting</t>
  </si>
  <si>
    <t>Transfer fixed asset to another branch</t>
  </si>
  <si>
    <t>Close fixed asset account</t>
  </si>
  <si>
    <t>Internal cash movement</t>
  </si>
  <si>
    <t>Approve customer</t>
  </si>
  <si>
    <t>Change customer status</t>
  </si>
  <si>
    <t>1180: Hold balance</t>
  </si>
  <si>
    <t>11850: Issued hold balance for cheque</t>
  </si>
  <si>
    <t>11851: Release hold balance</t>
  </si>
  <si>
    <t>11852: Release hold balance for cheque</t>
  </si>
  <si>
    <t>CREDIT: Adjust interest provision batch</t>
  </si>
  <si>
    <t>Estimate Normal Interest</t>
  </si>
  <si>
    <t>Reallocate prepaid interest</t>
  </si>
  <si>
    <t>5550: Approve credit account</t>
  </si>
  <si>
    <t>55840: Block credit account</t>
  </si>
  <si>
    <t>55841: Change account status</t>
  </si>
  <si>
    <t>5520: Cash disbursement</t>
  </si>
  <si>
    <t>5512:Principal and interest collection by cash</t>
  </si>
  <si>
    <t>5563: Credit limit adjustment</t>
  </si>
  <si>
    <t>5590: Close account</t>
  </si>
  <si>
    <t>Disbursement to OD account</t>
  </si>
  <si>
    <t>5598: Extend credit account</t>
  </si>
  <si>
    <t>5572: Fee collection by deposit</t>
  </si>
  <si>
    <t>5573: Miscellaneous fee collection</t>
  </si>
  <si>
    <t>5571: Fee collection by cash</t>
  </si>
  <si>
    <t>55731: Miscellaneous fee refund</t>
  </si>
  <si>
    <t>5560: History inquiry</t>
  </si>
  <si>
    <t>Adjust credit interest</t>
  </si>
  <si>
    <t>5513: Principal and interest collection by transfer</t>
  </si>
  <si>
    <t>5521: Miscellaneous disbursement</t>
  </si>
  <si>
    <t>5511: Miscelaneous interest and principal collection</t>
  </si>
  <si>
    <t>NPL processing</t>
  </si>
  <si>
    <t>5500: Open new credit account</t>
  </si>
  <si>
    <t>Approve product limit</t>
  </si>
  <si>
    <t>Adjust product limit</t>
  </si>
  <si>
    <t>Close product limit</t>
  </si>
  <si>
    <t>Open product limit</t>
  </si>
  <si>
    <t>Repayment principal of OD account</t>
  </si>
  <si>
    <t>55842: Reject credit account</t>
  </si>
  <si>
    <t>55711: Fee refund by cash</t>
  </si>
  <si>
    <t>55721: Fee refund by transfer</t>
  </si>
  <si>
    <t>Credit interest repayment</t>
  </si>
  <si>
    <t>55843: Release block credit account</t>
  </si>
  <si>
    <t>Credit principal repayment</t>
  </si>
  <si>
    <t>Adjust sub product limit</t>
  </si>
  <si>
    <t>Approve sub product limit</t>
  </si>
  <si>
    <t>Close sub product limit</t>
  </si>
  <si>
    <t>Open sub-product limit</t>
  </si>
  <si>
    <t>5523: Disbursement by transfer</t>
  </si>
  <si>
    <t>Transfer interest to due</t>
  </si>
  <si>
    <t>ADM_ADVANCED_SEARCH_BRANCH</t>
  </si>
  <si>
    <t>ADM_SIMPLE_SEARCH_BRANCH</t>
  </si>
  <si>
    <t>ADM_UPDATE_BRANCH</t>
  </si>
  <si>
    <t>CSH_DENOM_SER_ADVANCE</t>
  </si>
  <si>
    <t>CSH_DENOM_SER_SIMPLE</t>
  </si>
  <si>
    <t>CSH_DENOM_VIEW</t>
  </si>
  <si>
    <t>DPT_ADSEARCH_CATALOG</t>
  </si>
  <si>
    <t>DPT_ADSEARCH_STOCKINVENTORY</t>
  </si>
  <si>
    <t>DPT_SEARCH_CATALOG</t>
  </si>
  <si>
    <t>DPT_SEARCH_STOCKINVENTORY</t>
  </si>
  <si>
    <t>DPT_VIEW_CATALOG</t>
  </si>
  <si>
    <t>DPT_VIEW_STOCKINVENTORY</t>
  </si>
  <si>
    <t>ADM_ADVANCED_SEARCH_DEPARTMENT</t>
  </si>
  <si>
    <t>ADM_ADVANCED_SEARCH_USER_ACCOUNT</t>
  </si>
  <si>
    <t>Get List Accounting Group For Deposit</t>
  </si>
  <si>
    <t>Get List Accounting Group For Fee</t>
  </si>
  <si>
    <t>CRD_SEARCH_SP_CRDPL</t>
  </si>
  <si>
    <t>CRD_SEARCH_ADV_CRDPL</t>
  </si>
  <si>
    <t>CRD_VIEW_CRDPL</t>
  </si>
  <si>
    <t>Test status</t>
  </si>
  <si>
    <t>Get list branch</t>
  </si>
  <si>
    <t>Get list calendars by year</t>
  </si>
  <si>
    <t>Check status branch</t>
  </si>
  <si>
    <t>View modify list IFC</t>
  </si>
  <si>
    <t>View modify list Payment Schedule</t>
  </si>
  <si>
    <t>View modify list Principal Payment</t>
  </si>
  <si>
    <t>Get list signature</t>
  </si>
  <si>
    <t>Get list deposit</t>
  </si>
  <si>
    <t>Get list credit</t>
  </si>
  <si>
    <t>Get list Occupation (HO)</t>
  </si>
  <si>
    <t>Get list ISIC code</t>
  </si>
  <si>
    <t>Get list business type (HO)</t>
  </si>
  <si>
    <t>Get list customer type (HO)</t>
  </si>
  <si>
    <t>Get list master customer code</t>
  </si>
  <si>
    <t>Get list detail customer code</t>
  </si>
  <si>
    <t>Get List IFC Fee</t>
  </si>
  <si>
    <t>Get list transaction code</t>
  </si>
  <si>
    <t>QueueForInward</t>
  </si>
  <si>
    <t>QueueForOutward</t>
  </si>
  <si>
    <t>Error code</t>
  </si>
  <si>
    <t>Failed</t>
  </si>
  <si>
    <t>SENDING_TEMPLATE</t>
  </si>
  <si>
    <t>SQL_ADSEARCH_FACACT</t>
  </si>
  <si>
    <t>Passed</t>
  </si>
  <si>
    <t>SQL_SEARCH_FACACT</t>
  </si>
  <si>
    <t>CRD_SEARCH_SP_CREDIT</t>
  </si>
  <si>
    <t>CRD_SEARCH_ADV_CREDIT</t>
  </si>
  <si>
    <t>CRD_VIEW_CREDIT</t>
  </si>
  <si>
    <t>ADM_SIMPLE_SEARCH_CURRENCY</t>
  </si>
  <si>
    <t>ADM_ADVANCED_SEARCH_CURRENCY</t>
  </si>
  <si>
    <t>CRD_SEARCH_SP_CRDSPL</t>
  </si>
  <si>
    <t>CRD_SEARCH_ADV_CRDSPL</t>
  </si>
  <si>
    <t>CRD_VIEW_CRDSPL</t>
  </si>
  <si>
    <t>DPT_SEARCH_DEPOSIT</t>
  </si>
  <si>
    <t>DPT_VIEW_DEPOSIT</t>
  </si>
  <si>
    <t>DPT_ADSEARCH_DEPOSIT</t>
  </si>
  <si>
    <t>MTG_VIEW_MORTGAGE_ACCOUNT</t>
  </si>
  <si>
    <t>SQL_VIEW_FACACT</t>
  </si>
  <si>
    <t>Config test</t>
  </si>
  <si>
    <t>Key "total_count" does not exist</t>
  </si>
  <si>
    <t>view xong dữ liệu bị xóa</t>
  </si>
  <si>
    <t>Dữ liệu trả về không đúng theo SPEC</t>
  </si>
  <si>
    <t>Update bị lỗi 400, Balance of account number [33085]  &gt; 0, can't allow</t>
  </si>
  <si>
    <t>[Accounting group Id - Account Name - Condition] is unique</t>
  </si>
  <si>
    <t>Key "id" does not exist</t>
  </si>
  <si>
    <t>"Tariff code in used, can not delete - en"</t>
  </si>
  <si>
    <t>Key "ifc_list" does not exist.</t>
  </si>
  <si>
    <t>Data type is incorrect. List fields incorrectly: {'ifc_code'}</t>
  </si>
  <si>
    <t>Data type is incorrect. List fields incorrectly: {'group_id', 'user_approved', 'ifc_code', 'ifc_linkage', 'user_created'}</t>
  </si>
  <si>
    <t>Data type is incorrect. List fields incorrectly: {'face_value'}</t>
  </si>
  <si>
    <t>Dư một cấp "country"</t>
  </si>
  <si>
    <t>Cat code không được phép sửa</t>
  </si>
  <si>
    <t xml:space="preserve"> http code 500. "message": "Column 'AccountNumberDef' cannot be null",</t>
  </si>
  <si>
    <t>Data type is incorrect. List fields incorrectly: {'tariff_code', 'account_manager_staff_id', 'customer_id', 'user_created', 'rollover_to_catalog', 'user_approved', 'catalog_id'}</t>
  </si>
  <si>
    <t>Dư một cấp "code_list"</t>
  </si>
  <si>
    <t>currency_id không được sửa</t>
  </si>
  <si>
    <t>Dư một cấp "currency"</t>
  </si>
  <si>
    <t>Dư một cấp "branch"</t>
  </si>
  <si>
    <t>Dư một cấp "department"</t>
  </si>
  <si>
    <t>department_code không được sửa</t>
  </si>
  <si>
    <t>Dư một cấp "user_policy"</t>
  </si>
  <si>
    <t>Đang trả value của id</t>
  </si>
  <si>
    <t>Đang trả value của group_limit_code</t>
  </si>
  <si>
    <t>Lỗi 500, "message": "The input does not contain any JSON tokens. Expected the input to start with a valid JSON token, when isFinalBlock is true. Path: $ | LineNumber: 0 | BytePositionInLine: 0."</t>
  </si>
  <si>
    <t>"id": "Id is required."</t>
  </si>
  <si>
    <t>Dư một cấp "mortgage_catalog"</t>
  </si>
  <si>
    <t>Đang trả id</t>
  </si>
  <si>
    <t>Dư một cấp "mortgage_account"</t>
  </si>
  <si>
    <t>Get List all IFC</t>
  </si>
  <si>
    <t>Đang trả value của "account_number"</t>
  </si>
  <si>
    <t>Đang trả value của "id"</t>
  </si>
  <si>
    <t>page_size lớn sẽ không load được</t>
  </si>
  <si>
    <t>dư trường ""row_num_code_id_code_name_code_group" trong request</t>
  </si>
  <si>
    <t>đang trả về "id"</t>
  </si>
  <si>
    <t>Trường "RefId" đổi thành "old_branch_id"</t>
  </si>
  <si>
    <t>page_index không trả về đúng</t>
  </si>
  <si>
    <t>"error_message": "The JSON value could not be converted to System.String. Path: $.request.request_body.data.BranchCode | LineNumber: 0 | BytePositionInLine: 1014."</t>
  </si>
  <si>
    <t>Search 5 ký tự của account number không trả về kết quả</t>
  </si>
  <si>
    <t>page_size trả về kết quả không đúng</t>
  </si>
  <si>
    <t>Key "branch_code" does not exist</t>
  </si>
  <si>
    <t>DPT_GET_INFO_USER_MODIFY</t>
  </si>
  <si>
    <t>DPT_VIEW_MODIFY</t>
  </si>
  <si>
    <t>DPT_APPROVE_MODIFY</t>
  </si>
  <si>
    <t>DPT_REJECT_MODIFY</t>
  </si>
  <si>
    <t>DPT_ADSEARCH_MODIFY</t>
  </si>
  <si>
    <t>DPT_SEARCH_MODIFY</t>
  </si>
  <si>
    <t>DPT_ADSEARCH_ACCOUNTLINKAGE</t>
  </si>
  <si>
    <t>DPT_DELETE_ACCOUNTLINKAGE</t>
  </si>
  <si>
    <t>DPT_INSERT_ACCOUNTLINKAGE</t>
  </si>
  <si>
    <t>DPT_SEARCH_ACCOUNTLINKAGE</t>
  </si>
  <si>
    <t>DPT_UPDATE_ACCOUNTLINKAGE</t>
  </si>
  <si>
    <t>DPT_VIEW_ACCOUNTLINKAGE</t>
  </si>
  <si>
    <t>ADM_GET_LIST_CALENDARS</t>
  </si>
  <si>
    <t>ADM_GET_LIST_USERS_AT_BRANCH</t>
  </si>
  <si>
    <t>ADM_GET_LIST_USERS_AT_DEPARTMENT</t>
  </si>
  <si>
    <t>ADM_OPEN_BRANCH</t>
  </si>
  <si>
    <t>ADM_CLOSE_BRANCH</t>
  </si>
  <si>
    <t>role_id, invoke, approve đang không cho search null</t>
  </si>
  <si>
    <t>ADM_ADVANCED_SEARCH_USER_RIGHT</t>
  </si>
  <si>
    <t>ADM_SIMPLE_SEARCH_USER_RIGHT</t>
  </si>
  <si>
    <t>ADM_VIEW_USER_RIGHT</t>
  </si>
  <si>
    <t>ADM_INSERT_USER_RIGHT</t>
  </si>
  <si>
    <t>ADM_UPDATE_USER_RIGHT</t>
  </si>
  <si>
    <t>ADM_DELETE_USER_RIGHT</t>
  </si>
  <si>
    <t>ADM_VIEW_ROLE_OF_USER</t>
  </si>
  <si>
    <t>ADM_UPDATE_ROLE_OF_USER</t>
  </si>
  <si>
    <t>ADM_DELETE_ROLE_OF_USER</t>
  </si>
  <si>
    <t>ADM_VIEW_USER_LIMIT</t>
  </si>
  <si>
    <t>ADM_INSERT_USER_LIMIT</t>
  </si>
  <si>
    <t>ADM_UPDATE_USER_LIMIT</t>
  </si>
  <si>
    <t>Dư một cấp "user_right"</t>
  </si>
  <si>
    <t>ADM_INSERT_ROLE_OF_USER</t>
  </si>
  <si>
    <t>ADM_SIMPLE_SEARCH_ROLE_OF_USER</t>
  </si>
  <si>
    <t>ADM_ADVANCED_SEARCH_ROLE_OF_USER</t>
  </si>
  <si>
    <t>ADM_GET_LIST_ROLES</t>
  </si>
  <si>
    <t>ADM_GET_LIST_USERS_BY_ROLE_ID</t>
  </si>
  <si>
    <t>thiếu trường account_number</t>
  </si>
  <si>
    <t>ADM_GET_LIST_USERS_BY_USR_ID</t>
  </si>
  <si>
    <t>ADM_ADVANCED_SEARCH_USER_LIMIT</t>
  </si>
  <si>
    <t>ADM_DELETE_USER_LIMIT</t>
  </si>
  <si>
    <t>ADM_SIMPLE_SEARCH_USER_LIMIT</t>
  </si>
  <si>
    <t>Dư một cấp "role_of_user"</t>
  </si>
  <si>
    <t>Dư một cấp "user_role"</t>
  </si>
  <si>
    <t>Dư một cấp "user_limit"</t>
  </si>
  <si>
    <t>ADM_DELETE_CALENDAR</t>
  </si>
  <si>
    <t>ADM_INSERT_CALENDAR</t>
  </si>
  <si>
    <t>ADM_UPDATE_CALENDAR</t>
  </si>
  <si>
    <t>ADM_VIEW_CALENDAR</t>
  </si>
  <si>
    <t>Dư một cấp "calendar"</t>
  </si>
  <si>
    <t>CSH_CASHFLOW_GETINFO</t>
  </si>
  <si>
    <t>CSH_CASHFLOW_BRANCH</t>
  </si>
  <si>
    <t>CSH_CASHFLOW_DEPARTMENT</t>
  </si>
  <si>
    <t>CSH_CASHFLOW_USER</t>
  </si>
  <si>
    <t>Get Cash Branch</t>
  </si>
  <si>
    <t>Get Cash Department</t>
  </si>
  <si>
    <t>"error_message": "Sequence contains no elements"</t>
  </si>
  <si>
    <t>PMT_SEARCH_SP_QUEUE_OUTWAR</t>
  </si>
  <si>
    <t>PMT_SEARCH_ADV_QUEUE_OUTWAR</t>
  </si>
  <si>
    <t>PMT_VIEW_QUEUE_OUTWAR</t>
  </si>
  <si>
    <t>PMT_SEARCH_SP_QUEUE_INWAR</t>
  </si>
  <si>
    <t>PMT_SEARCH_ADV_QUEUE_INWAR</t>
  </si>
  <si>
    <t>PMT_VIEW_QUEUE_INWAR</t>
  </si>
  <si>
    <t>PMT_SEARCH_SP_TXSFAST</t>
  </si>
  <si>
    <t>PMT_SEARCH_ADV_TXSFAST</t>
  </si>
  <si>
    <t>PMT_VIEW_TXSFAST</t>
  </si>
  <si>
    <t>SQL_SEARCH_MEDIA</t>
  </si>
  <si>
    <t>SQL_VIEW_MEDIA</t>
  </si>
  <si>
    <t>SQL_INSERT_MEDIA</t>
  </si>
  <si>
    <t>SQL_UPDATE_MEDIA</t>
  </si>
  <si>
    <t>SQL_APPROVE_MEDIA</t>
  </si>
  <si>
    <t>SQL_LISTAPP_MEDIA</t>
  </si>
  <si>
    <t>SQL_DELETE_MEDIA</t>
  </si>
  <si>
    <t>SQL_GETINFO_MEDIA</t>
  </si>
  <si>
    <t>Search với "test" trả về lỗi "error_message": "Object reference not set to an instance of an object."</t>
  </si>
  <si>
    <t>FX_FXRATE_GETFXRATE</t>
  </si>
  <si>
    <t>Get List Exchange Rate</t>
  </si>
  <si>
    <t>CRD_SEARCH_ADV_CREDIT_AP</t>
  </si>
  <si>
    <t>CRD_SEARCH_SP_CREDIT_AP</t>
  </si>
  <si>
    <t>Đang trả customer_id thay cho customer_code</t>
  </si>
  <si>
    <t>UMG_LOGOUT_USER</t>
  </si>
  <si>
    <t>UMG_RESET_PASSWORD</t>
  </si>
  <si>
    <t>UMG_UPDATE_PASSWORD</t>
  </si>
  <si>
    <t>ADM_REFRESH_BRANCH</t>
  </si>
  <si>
    <t>"error_message": "The input does not contain any JSON tokens. Expected the input to start with a valid JSON token, when isFinalBlock is true. Path: $ | LineNumber: 0 | BytePositionInLine: 0."</t>
  </si>
  <si>
    <t>"error_message": "Object reference not set to an instance of an object."</t>
  </si>
  <si>
    <t>"error_message": "Error mapping types.\n\nMapping types:\nCreditAccountUpdateModel -&gt; CreditAccount\nJits.Neptune.Web.Credit.Models.CreditAccountUpdateModel -&gt; Jits.Neptune.Web.Credit.Domain.CreditAccount\n\nType Map configuration:\nCreditAccountUpdateModel -&gt; CreditAccount\nJits.Neptune.Web.Credit.Models.CreditAccountUpdateModel -&gt; Jits.Neptune.Web.Credit.Domain.CreditAccount\n\nDestination Member:\nProvisionOfOther\n"</t>
  </si>
  <si>
    <t>CRD_REJECT_MODIFY</t>
  </si>
  <si>
    <t>View Modify</t>
  </si>
  <si>
    <t>CRD_GET_INFO_USER_MODIFY</t>
  </si>
  <si>
    <t>Get Info User Modify</t>
  </si>
  <si>
    <t>CRD_VIEW_MODIFY</t>
  </si>
  <si>
    <t>CRD_APPROVE_MODIFY</t>
  </si>
  <si>
    <t>CRD_VIEWBYDEFACNO_CREDIT</t>
  </si>
  <si>
    <t>Add new year</t>
  </si>
  <si>
    <t>ADM_ADD_NEW_YEAR</t>
  </si>
  <si>
    <t>"error_message": "Function Max returns non-nullable value, but result is NULL. Use nullable version of the function instead."</t>
  </si>
  <si>
    <t>catalog_code đang tự gen giá trị, không nhận giá trị nhập vào</t>
  </si>
  <si>
    <t>giá trị trả về không cần caption</t>
  </si>
  <si>
    <t>Đang trả customer_id thay cho customer_code, catalog_id expected trả ra catalog_code</t>
  </si>
  <si>
    <t>View by account number def</t>
  </si>
  <si>
    <t>DPT_VIEWBYDEFACNO_DEPOSIT</t>
  </si>
  <si>
    <t>customer_code, catalog_code không trả về giá trị đúng, customer_type không cần ra caption</t>
  </si>
  <si>
    <t>customer_code không trả về giá trị đúng, customer_type không cần ra caption, Đang trả hết các giá trị (Status R và Y cũng hiển thị)</t>
  </si>
  <si>
    <t>trả thiếu "mfa"</t>
  </si>
  <si>
    <t>SQL_CTM_REJ</t>
  </si>
  <si>
    <t>SQL_CTM_APR</t>
  </si>
  <si>
    <t>SQL_VIEW_APR</t>
  </si>
  <si>
    <t>SQL_SEARCH_APR</t>
  </si>
  <si>
    <t>SQL_ADSEARCH_APR</t>
  </si>
  <si>
    <t>Login approve</t>
  </si>
  <si>
    <t>UMG_LOGOUT</t>
  </si>
  <si>
    <t>UMG_LOGIN_APPROVE</t>
  </si>
  <si>
    <t>trả thiếu "media_data"</t>
  </si>
  <si>
    <t>lỗi "error_message": "The JSON value could not be converted to System.Int32. Path: $.request.request_body.data.Id | LineNumber: 0 | BytePositionInLine: 1034."</t>
  </si>
  <si>
    <t>BANK_STATUS</t>
  </si>
  <si>
    <t>Get Bank Status</t>
  </si>
  <si>
    <t>Fixed Asset Account</t>
  </si>
  <si>
    <t>Get Cash User</t>
  </si>
  <si>
    <t>Customer Single</t>
  </si>
  <si>
    <t>Get List Modify</t>
  </si>
  <si>
    <t>Search page size 0, page_index 0 trả ra có 1 giá trị</t>
  </si>
  <si>
    <t>"inuse": "Inuse is required."</t>
  </si>
  <si>
    <t>Body request không cần gửi customer_code (giá trị tự sinh trong quá trình add)
	trả về legal_local_adress, contact_local_address không đúng format</t>
  </si>
  <si>
    <t>trả về legal_local_adress, contact_local_address không đúng format</t>
  </si>
  <si>
    <t>View By Customer Code</t>
  </si>
  <si>
    <t>error_message: "Object reference not set to an instance of an object."</t>
  </si>
  <si>
    <t>đang trả về kết quả rỗng (simple search vẫn đang có kết quả)</t>
  </si>
  <si>
    <t>SQL_GET_SIGNATURE</t>
  </si>
  <si>
    <t>update mà add thêm 1 cái mới</t>
  </si>
  <si>
    <t>Đang trả value của "63": "id"</t>
  </si>
  <si>
    <t>Trả về không phân trang</t>
  </si>
  <si>
    <t>"media_data" dữ liệu lớn thông báo lỗi</t>
  </si>
  <si>
    <t>Trả thiếu "id", "tariff_code"</t>
  </si>
  <si>
    <t>Trả thiếu "tariff_code"</t>
  </si>
  <si>
    <t>IFC_GETALLACTIVETRANSACTION</t>
  </si>
  <si>
    <t>Đang trả hết các workflow id</t>
  </si>
  <si>
    <t>thông tin position và phone_number KHÔNG được cập nhật</t>
  </si>
  <si>
    <t>Cho phép thực hiện add user account khi login_name đã tồn tại.</t>
  </si>
  <si>
    <t>catalog_code đang tự gen</t>
  </si>
  <si>
    <t>FX_APPFXRATE_MDF</t>
  </si>
  <si>
    <t>FX_APPFXRATE_APR</t>
  </si>
  <si>
    <t>FX_APPFXRATE_REJECT</t>
  </si>
  <si>
    <t>FX_APPFXRATE_VIEW</t>
  </si>
  <si>
    <t>Get branch HO</t>
  </si>
  <si>
    <t>ADM_GET_HOST_BRANCH_ID</t>
  </si>
  <si>
    <t>user_name KHÔNG trả ra giá trị</t>
  </si>
  <si>
    <t>Sau khi approve thành công, giá trị rate KHÔNG được cập nhật vào bảng chính
Sau khi approve vẫn thực hiện approve thành công.</t>
  </si>
  <si>
    <t>Sau khi reject vẫn thực hiện reject thành công.</t>
  </si>
  <si>
    <t>Name của workflow id tương ứng không chính xác</t>
  </si>
  <si>
    <t>Update (Modify FX Rate)</t>
  </si>
  <si>
    <t>Lỗi customer trùng nhau</t>
  </si>
  <si>
    <t>Cancel</t>
  </si>
  <si>
    <t>Get Information Detail</t>
  </si>
  <si>
    <t>SQL_GETINFO2_MEDIA</t>
  </si>
  <si>
    <t>đổi tên fields response</t>
  </si>
  <si>
    <t>Lỗi get thiếu thông tin media của member</t>
  </si>
  <si>
    <t>Lỗi cho phép trans_code và ifc_code insert trùng nhau.</t>
  </si>
  <si>
    <t>Amount đang không lưu giá trị null</t>
  </si>
  <si>
    <t>IFC_GET_LIST_IFC_BY_TARIFF</t>
  </si>
  <si>
    <t>Get List IFC By Tariff Code</t>
  </si>
  <si>
    <t>CRD_VIEW_DISBURSEMENT_SCHEDULE</t>
  </si>
  <si>
    <t>CRD_VIEW_PRINCIPAL_PAYMENT</t>
  </si>
  <si>
    <t>CRD_VIEW_INTEREST_PAYMENT</t>
  </si>
  <si>
    <t>CRD_VIEW_PAYMENT_SCHEDULE</t>
  </si>
  <si>
    <t>CRD_VIEW_MODIFY_PAYMENT_SCHEDULE</t>
  </si>
  <si>
    <t>CRD_VIEW_MODIFY_PRINCIPAL_PAYMENT</t>
  </si>
  <si>
    <t>Lấy sai dữ liệu</t>
  </si>
  <si>
    <t>"error_message": "Missing type map configuration or unsupported mapping.\n\nMapping types:\nObject -&gt; AccountViewResponse\nSystem.Object -&gt; Jits.Neptune.Web.FixedAsset.Models.AccountViewResponse"</t>
  </si>
  <si>
    <t>"error_message": "The JSON value could not be converted to System.Int32. Path: $.request.request_body.data.Id | LineNumber: 0 | BytePositionInLine: 1086."</t>
  </si>
  <si>
    <t>SQL_LOOKUP_LISTNOT_CTM</t>
  </si>
  <si>
    <t>Address không trả về đúng format</t>
  </si>
  <si>
    <t>Get list customer relation</t>
  </si>
  <si>
    <t>SQL_RELATION_CTMGRP</t>
  </si>
  <si>
    <t>DPT_GETLISTDPTBYCUSTID</t>
  </si>
  <si>
    <t>CRD_LIST_CREDIT_ACCOUNT_BY_CUSTOMER_ID</t>
  </si>
  <si>
    <t>trả về thiếu approve_status, trả về thiếu paging</t>
  </si>
  <si>
    <t>SQL_VIEWBYCODE_CTM</t>
  </si>
  <si>
    <t>CTM_GET_INFO_USER_MODIFY</t>
  </si>
  <si>
    <t>Đang trả thiếu account_number_def, đang trả hết các giá trị, đang trả các giá trị approve_status = Y</t>
  </si>
  <si>
    <t>Get list customer by group limit code</t>
  </si>
  <si>
    <t>SQL_LOOKUP_CTM</t>
  </si>
  <si>
    <t>Hiện thực không?</t>
  </si>
  <si>
    <t>Total</t>
  </si>
  <si>
    <t>Không tính cancel</t>
  </si>
  <si>
    <t>Pending</t>
  </si>
  <si>
    <t>ADM_SYNC_CODE_LIST</t>
  </si>
  <si>
    <t>Yes</t>
  </si>
  <si>
    <t>ADM_LOOKUP_BRANCH</t>
  </si>
  <si>
    <t>ADM_LOOKUP_CODE_LIST</t>
  </si>
  <si>
    <t>"code_name": "PIGCD" và "code_group": "PMT"</t>
  </si>
  <si>
    <t>code_name='ISICCD' and code_group='CTM'</t>
  </si>
  <si>
    <t>code_name='PROFESSION' and code_group='CTM</t>
  </si>
  <si>
    <t>code_name='BUCD' and code_group='CTM'</t>
  </si>
  <si>
    <t>IFC_LOOKUP_IFC</t>
  </si>
  <si>
    <t>ACT_ACGRPDEF_LOOKUP</t>
  </si>
  <si>
    <t>"ifc_status": "N" and "ifc_type": "C"</t>
  </si>
  <si>
    <t>IFC_LOOKUP_TARIFF</t>
  </si>
  <si>
    <t>"ifc_status": "N"</t>
  </si>
  <si>
    <t>"module": "IFC"</t>
  </si>
  <si>
    <t>"module": "DPT"</t>
  </si>
  <si>
    <t>- "customer_private"="I": code_name='CTYPEP' and code_group='CTM'
- "customer_private"="E": code_name='CTYPEO' and code_group='CTM'</t>
  </si>
  <si>
    <t>DPT_PRINTPASSBOOK</t>
  </si>
  <si>
    <t>CTM_VIEW_GRP_LIMIT</t>
  </si>
  <si>
    <t>IFC_VIEWMODIFY_IFCBALANCE</t>
  </si>
  <si>
    <t>Của FO</t>
  </si>
  <si>
    <t>IFC_LISTIFCBYDEFACCNO_IFCBALANCE</t>
  </si>
  <si>
    <t>Get List IFC by DEFACNO</t>
  </si>
  <si>
    <t>Deploy status</t>
  </si>
  <si>
    <t>Đã làm</t>
  </si>
  <si>
    <t>(Closed) trên Gitlab</t>
  </si>
  <si>
    <t>FO</t>
  </si>
  <si>
    <t>Rule func</t>
  </si>
  <si>
    <t>TRAN_FEE_ACT_FEE_GET_INFO_IFCCD</t>
  </si>
  <si>
    <t>TRAN_FEE_GET_INFO_IFCCD</t>
  </si>
  <si>
    <t>IFC_LOOKUP_IFCTYPE_C</t>
  </si>
  <si>
    <t>ACT_ACCHRT_LOOKUP_BY_BRANCHID</t>
  </si>
  <si>
    <t>GET_INFO_BRNAME</t>
  </si>
  <si>
    <t>CRD_GET_INFO_BCY_CACNM</t>
  </si>
  <si>
    <t>GET_MEDIA_SIG_ACNO</t>
  </si>
  <si>
    <t>CRD_GET_INFO_CUSTOMER</t>
  </si>
  <si>
    <t>DPT_GET_INFO_CUSTOMER</t>
  </si>
  <si>
    <t>IFC_LOOKUP_IFCTYPE_CO</t>
  </si>
  <si>
    <t>CRD_GET_INFO_PL</t>
  </si>
  <si>
    <t>FX_RULEFUNC_GET_INFO_CBKEXR</t>
  </si>
  <si>
    <t>CRD_GET_INFO_CRDACC</t>
  </si>
  <si>
    <t>CRD_GET_INFO_INTEREST</t>
  </si>
  <si>
    <t>CRD_CLA_GET_INFO_CACNM</t>
  </si>
  <si>
    <t>CRD_CLS_GET_INFO_CACNM</t>
  </si>
  <si>
    <t>GET_INFO_DPTACC</t>
  </si>
  <si>
    <t>IFC_LOOKUP_IFCTYPE_CO_BY_CURRENCY</t>
  </si>
  <si>
    <t>ACT_ACCHRT_GET_INFO_ACNO</t>
  </si>
  <si>
    <t>ACT_ACCHRT_LOOKUP_BY_BRANCHID_CURRENCY</t>
  </si>
  <si>
    <t>CRD_IFC_GET_INFO_IFCAMT</t>
  </si>
  <si>
    <t>CRD_IFC_GET_INFO_ADJUSTMENT</t>
  </si>
  <si>
    <t>GET_IFC_TYPE</t>
  </si>
  <si>
    <t>IFC_LOOKUP_IFCTYPE_I_BY_CRDACNO</t>
  </si>
  <si>
    <t>CRD_NPL_GET_INFO_G2</t>
  </si>
  <si>
    <t>CRD_OPN_GET_INFO_CACNM</t>
  </si>
  <si>
    <t>CRD_OPN_GET_INFO_SPL</t>
  </si>
  <si>
    <t>GET_INFO_CRDCAT</t>
  </si>
  <si>
    <t>CTM_LOOKUP_CTM_BY_CTMTYPE</t>
  </si>
  <si>
    <t>CRD_LOOKUP_CRDCAT_BY_SPL</t>
  </si>
  <si>
    <t>CRD_LOOKUP_CRDSPL_BY_CTM</t>
  </si>
  <si>
    <t>CTM_GET_INFO_FULLNAME</t>
  </si>
  <si>
    <t>CRD_GET_INFO_SPL</t>
  </si>
  <si>
    <t>CRD_LOOKUP_CRDPL_BY_CTM</t>
  </si>
  <si>
    <t>GET_INFO_USER_ACCOUNT</t>
  </si>
  <si>
    <t>CSH_RULEFUNC_MOV_GET_INFO_DESCS</t>
  </si>
  <si>
    <t>GET_INFO_USER_ACCOUNT_CASHIER</t>
  </si>
  <si>
    <t>ADM_LOOKUP_USER_ACCOUNT_CASHIER</t>
  </si>
  <si>
    <t>DPT_AOPC_GET_INFO_PDACC</t>
  </si>
  <si>
    <t>DPT_AOPM_GET_INFO_PDACC</t>
  </si>
  <si>
    <t>DPT_AOPT_GET_INFO_PDACC</t>
  </si>
  <si>
    <t>GET_INFO_CIBNK_AND_NOSTRO_GL</t>
  </si>
  <si>
    <t>PMT_LOOKUP_AGENTBANK</t>
  </si>
  <si>
    <t>DPT_GET_STOCK_PREFIX</t>
  </si>
  <si>
    <t>DPT_GET_INFO_EMK_BY_SERIAL</t>
  </si>
  <si>
    <t>DPT_GET_STOCK_PREFIX_C</t>
  </si>
  <si>
    <t>DPT_GET_INFO_PDACC_BY_CHEQUE_SERIAL</t>
  </si>
  <si>
    <t>DPT_GET_INFO_ACLINK</t>
  </si>
  <si>
    <t>DPT_GET_STOCK_PREFIX_F</t>
  </si>
  <si>
    <t>DPT_GET_REDEMPTION_INTEREST</t>
  </si>
  <si>
    <t>DPT_GET_INFO_WHTAMT</t>
  </si>
  <si>
    <t>DPT_GET_INTEREST_WITHOUT_WHTAX</t>
  </si>
  <si>
    <t>DPT_CIS_GET_INFO_NO_LEAF</t>
  </si>
  <si>
    <t>DPT_GET_INFO_CREDITAC</t>
  </si>
  <si>
    <t>GET_BRANCH_ID_CRT</t>
  </si>
  <si>
    <t>GET_STOCK_NO</t>
  </si>
  <si>
    <t>DPT_GET_INFO_PDACC_BY_SERIAL</t>
  </si>
  <si>
    <t>DPT_GET_INFO_CUSTOMER_TIMEDPT</t>
  </si>
  <si>
    <t>DPT_CWT_GET_INFO_ACLINK</t>
  </si>
  <si>
    <t>DPT_LOOKUP_DEPOSIT_BY_MACNO</t>
  </si>
  <si>
    <t>DPT_GET_INFO_HOLDING_AMT</t>
  </si>
  <si>
    <t>DPT_ERL_LKP_DATA_REF</t>
  </si>
  <si>
    <t>DPT_IFC_GET_INFO_IFCAMT</t>
  </si>
  <si>
    <t>DPT_IFC_GET_INFO_ADJUSTMENT</t>
  </si>
  <si>
    <t>IFC_LOOKUP_IFCTYPE_IT_BY_DPTACNO</t>
  </si>
  <si>
    <t>ACT_ACCHRT_LOOKUP_BY_CURRENCY</t>
  </si>
  <si>
    <t>DPT_GET_INFO_CHEQUE</t>
  </si>
  <si>
    <t>GET_INFO_CIBNK</t>
  </si>
  <si>
    <t>GET_INFO_DPTCAT</t>
  </si>
  <si>
    <t>DPT_ODO_GET_INFO_SPL</t>
  </si>
  <si>
    <t>CRD_LOOKUP_CRDCAT_OD</t>
  </si>
  <si>
    <t>CRD_LOOKUP_CRDSPL_OD_BY_CTM</t>
  </si>
  <si>
    <t>DPT_GET_INFO_PDMACC</t>
  </si>
  <si>
    <t>DPT_LKP_DATA_PDMACC</t>
  </si>
  <si>
    <t>ACT_ACCHRT_LOOKUP_BY_BRANCHID_DPTACC</t>
  </si>
  <si>
    <t>DPT_OPN_GET_INFO_PDMACC</t>
  </si>
  <si>
    <t>GET_INFO_WISICCD</t>
  </si>
  <si>
    <t>DPT_OPN_LKP_DATA_CNCAT</t>
  </si>
  <si>
    <t>DPT_OPN_LKP_DATA_PDMACC</t>
  </si>
  <si>
    <t>DPT_OPN_LKP_DATA_PDOACC</t>
  </si>
  <si>
    <t>DPT_OPT_GET_INFO_PDOACC</t>
  </si>
  <si>
    <t>DPT_LKP_DATA_PDOACC</t>
  </si>
  <si>
    <t>ADM_LOOKUP_USER_ACCOUNT_BY_BRANCHID</t>
  </si>
  <si>
    <t>DPT_GET_STOCK_PREFIX_P</t>
  </si>
  <si>
    <t>DPT_SRG_GET_INFO_NO_LEAF</t>
  </si>
  <si>
    <t>DPT_SRG_GET_INFO_NO_BOOK</t>
  </si>
  <si>
    <t>DPT_LKP_DATA_PDACC</t>
  </si>
  <si>
    <t>FAC_GET_INFO_PCSEXR_TB</t>
  </si>
  <si>
    <t>SQL_LOOKUP_FACCAT</t>
  </si>
  <si>
    <t>FAC_GET_INFO_PCSEXR_CB</t>
  </si>
  <si>
    <t>GET_INFO_MTGACC</t>
  </si>
  <si>
    <t>MTG_KPT_GET_INFO_SCRAMT</t>
  </si>
  <si>
    <t>GET_INFO_MTGCAT</t>
  </si>
  <si>
    <t>MTG_LOOKUP_MORTGAGE_CATALOG</t>
  </si>
  <si>
    <t>MTG_RLS_GET_INFO_SCRAMT</t>
  </si>
  <si>
    <t>MTG_RPL_GET_INFO_SCRAMT</t>
  </si>
  <si>
    <t>MTG_RPL_GET_INFO_CAMT_PCSAMT</t>
  </si>
  <si>
    <t>MTG_GET_INFO_PL</t>
  </si>
  <si>
    <t>MTG_PL_GET_INFO_CAMT5</t>
  </si>
  <si>
    <t>MTG_RPL_LOOKUP_CRDPL</t>
  </si>
  <si>
    <t>MTG_RTN_GET_INFO_SCRAMT</t>
  </si>
  <si>
    <t>MTG_SCR_GET_INFO_CAMT5</t>
  </si>
  <si>
    <t>MTG_PL_GET_INFO_CCRRATE</t>
  </si>
  <si>
    <t>MTG_SPL_GET_INFO_SCRAMT</t>
  </si>
  <si>
    <t>MTG_SPL_LOOKUP_CRDPL</t>
  </si>
  <si>
    <t>DPT_RCC</t>
  </si>
  <si>
    <t>GET_INFO_ACCOUNT_BY_ACNO_DPTTYPE</t>
  </si>
  <si>
    <t>Là GD Batch</t>
  </si>
  <si>
    <t>Giao dịch mới theo KTB</t>
  </si>
  <si>
    <t>Cash denomination</t>
  </si>
  <si>
    <t>FAC_RF_SETINFO_ACCOUNT</t>
  </si>
  <si>
    <t>FAC_RF_SETINFO_CATALOG</t>
  </si>
  <si>
    <t>ACT_ACGRPDEF_GET_INFO_ACTGRP</t>
  </si>
  <si>
    <t>Approve deposit account</t>
  </si>
  <si>
    <t>Có thể ghép UI</t>
  </si>
  <si>
    <t>FX_RULEFUNC_GET_INFO_CCRRATE_TB_CA</t>
  </si>
  <si>
    <t>Tester</t>
  </si>
  <si>
    <t>FX_RULEFUNC_GET_INFO_PCSEXR</t>
  </si>
  <si>
    <t>FX_RULEFUNC_GET_INFO_CRATE_CB_CA</t>
  </si>
  <si>
    <t>FX_RULEFUNC_GET_INFO_CCRRATE_TB_TA</t>
  </si>
  <si>
    <t>FX_RULEFUNC_GET_INFO_CRATE_TB_TA</t>
  </si>
  <si>
    <t>FX_RULEFUNC_GET_INFO_CRATE_TB_CA</t>
  </si>
  <si>
    <t>CTM_GET_INFO_RULEFUNC</t>
  </si>
  <si>
    <t>Check get customer linkage</t>
  </si>
  <si>
    <t>Voucher</t>
  </si>
  <si>
    <t>CC01 (Out of scope)</t>
  </si>
  <si>
    <t>CC02,CC03,CC04,CC05 (Out of scope)</t>
  </si>
  <si>
    <t>A2,A1 Batch nên ko cần voucher</t>
  </si>
  <si>
    <t>A11</t>
  </si>
  <si>
    <t>A1</t>
  </si>
  <si>
    <t>Có</t>
  </si>
  <si>
    <t>A2</t>
  </si>
  <si>
    <t>A203,A1</t>
  </si>
  <si>
    <t>A2,A1</t>
  </si>
  <si>
    <t>A3</t>
  </si>
  <si>
    <t>A2,A1,A17</t>
  </si>
  <si>
    <t>A1,A18</t>
  </si>
  <si>
    <t>A204,A1</t>
  </si>
  <si>
    <r>
      <rPr>
        <sz val="10"/>
        <color rgb="FFFF0000"/>
        <rFont val="Arial"/>
        <family val="2"/>
      </rPr>
      <t>A202 (Out of scope)</t>
    </r>
    <r>
      <rPr>
        <sz val="10"/>
        <color theme="1"/>
        <rFont val="Arial"/>
        <family val="2"/>
      </rPr>
      <t>, A1</t>
    </r>
  </si>
  <si>
    <t>A2,A1,n*A7</t>
  </si>
  <si>
    <t>FX_RULEFUNC_GET_INFO_CCRRATE</t>
  </si>
  <si>
    <t>FAC_GET_INFO_PCSEXR</t>
  </si>
  <si>
    <t>Total cần ghép UI</t>
  </si>
  <si>
    <t>Total giao dịch batch</t>
  </si>
  <si>
    <t>,</t>
  </si>
  <si>
    <t>DPT_GET_INFO_DPTACC_CASA</t>
  </si>
  <si>
    <t>DPT_LKP_DATA_SACNO</t>
  </si>
  <si>
    <t>Không</t>
  </si>
  <si>
    <t>FX_GET_CROSS_RATE</t>
  </si>
  <si>
    <t>có</t>
  </si>
  <si>
    <t>current (w)</t>
  </si>
  <si>
    <t>Retest</t>
  </si>
  <si>
    <t>DPT_GET_INFO_STOCK_BY_CASHIER_CHEQUE</t>
  </si>
  <si>
    <t>DPT_GET_STOCK_PREFIX_G</t>
  </si>
  <si>
    <t>DPT_GET_INFO_SACNO</t>
  </si>
  <si>
    <t>Check thêm dưới DB</t>
  </si>
  <si>
    <t>Giao dịch mới theo KTB, check thêm dưới DB</t>
  </si>
  <si>
    <t>KTB không check các điều kiện và cập nhật liên quan đến Deposit
=&gt; Không check business của deposit ở giao dịch này</t>
  </si>
  <si>
    <t>Check nghiệp vụ cash để phase sau</t>
  </si>
  <si>
    <t>Check nghiệp vụ deposit để phase sau</t>
  </si>
  <si>
    <t>Check insert vào bảng IFCBalance
Expected: đảm bảo (IfcValue + MarginValue) &gt;= 0.00</t>
  </si>
  <si>
    <t>Các phần sẽ check ở phase sau</t>
  </si>
  <si>
    <t>Check condition ở tầng DB ở phase sau</t>
  </si>
  <si>
    <t>Check condition ở tầng DB ở phase sau, check product limit tương ứng customer ở phase sau</t>
  </si>
  <si>
    <t>Check condition Limit amount not use anywhere ở phase sau.
= &gt; Tất cả các credit account thuộc Sub product limit code đã đóng.</t>
  </si>
  <si>
    <t>Check điều kiện làm giao dịch gl_account_number cùng branch với user do transaction ở phase sau.</t>
  </si>
  <si>
    <t>UI KTB ẩn lưới fee, chỉ cần truyền fee_data: []</t>
  </si>
  <si>
    <t>CRD_GET_INFO_PRINCIPAL</t>
  </si>
  <si>
    <t>=None,</t>
  </si>
  <si>
    <t>:</t>
  </si>
  <si>
    <t>"</t>
  </si>
  <si>
    <t xml:space="preserve">": </t>
  </si>
  <si>
    <t>=</t>
  </si>
  <si>
    <t>_update</t>
  </si>
  <si>
    <t>cần approve khi thực hiện giao dịch với deposit account có status là Dormant</t>
  </si>
  <si>
    <t>cần approve khi thực hiện giao dịch với deposit account có status là Dormant
cần approve khi thực hiện giao dịch với amount &lt; 0</t>
  </si>
  <si>
    <t>Cần approve (không phải approve limit)</t>
  </si>
  <si>
    <t>Có lưới 
fee</t>
  </si>
  <si>
    <t>FX_GET_FX_RATE</t>
  </si>
  <si>
    <t>C101</t>
  </si>
  <si>
    <t>Deposit account có Approved user là null không cho phép view</t>
  </si>
  <si>
    <t>Check condition ở tầng DB ở phase sau
Giao dịch lỗi trên UI KTB, không load được thông tin customer code =&gt; Fix ở phase sau</t>
  </si>
  <si>
    <t>CSH_RULEFUNC_GET_CURRENT_BALANCE</t>
  </si>
  <si>
    <t>CSH_RULEFUNC_GET_LIST_DENOM_BALANCE</t>
  </si>
  <si>
    <t>Check condition ở tầng DB ở phase sau
Giao dịch O9 đang lỗi nghiệp vụ gen lịch của int mode (F và C) =&gt; Fix ở phase sau</t>
  </si>
  <si>
    <t>Giao dịch ở O9 đang lỗi nghiệp vụ khi thu fee (thu phí với cash nhưng vẫn giảm tiền deposit account) =&gt; fix ở phase sau</t>
  </si>
  <si>
    <t>Giao dịch trên KTB không tạo dữ liệu với Stock type là Receipt</t>
  </si>
  <si>
    <t>KHÔNG cho phép deposit account status = Dormant (D)</t>
  </si>
  <si>
    <t>Cho phép deposit account status = Dormant (D)</t>
  </si>
  <si>
    <t>Check condition về GL, check credit account link với deposit account, check condition ở tầng DB ở phase sau, không cập nhật ifc balane, schedule (principal, disbursement) =&gt; fix lỗi nghiệp vụ ở phase sau</t>
  </si>
  <si>
    <t>Check condition ở tầng DB ở phase sau, không cập nhật ifc balane, schedule (principal, disbursement) =&gt; fix lỗi nghiệp vụ ở phase sau</t>
  </si>
  <si>
    <t>Giao dịch trên KTB đang lỗi cho phép thực hiện giao dịch khi "change status" không tương ứng với "stock type", sau khi giao dịch thành công không cập nhật thông tin stock =&gt; Fix lỗi nghiệp vụ ở phase sau.</t>
  </si>
  <si>
    <t>Có 
posting</t>
  </si>
  <si>
    <t>Có nhưng UI không có lưới fee</t>
  </si>
  <si>
    <t>Test UI</t>
  </si>
  <si>
    <t>KTB sai nghiệp vụ khi mortgage và product limit khác tiền tệ =&gt; fix ở phase sau</t>
  </si>
  <si>
    <t>Giao dịch trên KTB đang thực hiện thu phí nhưng không xử lí =&gt; Fix ở phase sau</t>
  </si>
  <si>
    <t>Check date statement và f8</t>
  </si>
  <si>
    <t>SQL_SIMPLE_SEARCH_TRANSACTION_JOURNAL</t>
  </si>
  <si>
    <t>SQL_ADVANCED_SEARCH_TRANSACTION_JOURNAL</t>
  </si>
  <si>
    <t>FX_RULEFUNC_GET_FX_BCYRATE</t>
  </si>
  <si>
    <t>DPT_LOOKUP_DEPOSIT_CASA</t>
  </si>
  <si>
    <t>giao dịch không có rulefunc load thông tin khi nhập deposit account
KTB cũng không có rulefunc load thông tin khi nhập deposit account
=&gt; fix ở phase sau</t>
  </si>
  <si>
    <t>Giao dịch lỗi trên UI KTB, không load được thông tin customer code =&gt; Fix ở phase sau</t>
  </si>
  <si>
    <t>A2,A1,A3</t>
  </si>
  <si>
    <t>A1,A3</t>
  </si>
  <si>
    <t>CSH_LIMIT_POSITION_VIEWALL</t>
  </si>
  <si>
    <t>CSH_LIMIT_POSITION_MODIFY</t>
  </si>
  <si>
    <t>=0</t>
  </si>
  <si>
    <t>Bàn giao SHWE</t>
  </si>
  <si>
    <t>DPT_FBI</t>
  </si>
  <si>
    <t>11804: Fixed deposit book issue</t>
  </si>
  <si>
    <t>11816: Payment order issued</t>
  </si>
  <si>
    <t>11817: Payment order withdrawal</t>
  </si>
  <si>
    <t>11818: Payment order return</t>
  </si>
  <si>
    <t>DPT_POI</t>
  </si>
  <si>
    <t>DPT_POW</t>
  </si>
  <si>
    <t>DPT_RPO</t>
  </si>
  <si>
    <t>11806: Gift cheque issued</t>
  </si>
  <si>
    <t>11807: Gift Cheque withdrawal</t>
  </si>
  <si>
    <t>11808: Gift cheque return</t>
  </si>
  <si>
    <t>6602: Outward international bank</t>
  </si>
  <si>
    <t>CSH_BMOV</t>
  </si>
  <si>
    <t>DPT_OPAL</t>
  </si>
  <si>
    <t>Check status descease</t>
  </si>
  <si>
    <t>Open account linkage</t>
  </si>
  <si>
    <t>cho phép làm giao dịch với status descease</t>
  </si>
  <si>
    <t>Internal bank cash movement</t>
  </si>
  <si>
    <t>Có voucher</t>
  </si>
  <si>
    <t>N/a</t>
  </si>
  <si>
    <t>Check status "Reject" của Deposit
- N/a: không thuộc scope
- No: không cho thực hiện giao dịch
- Yes: cho thực hiện giao dịch</t>
  </si>
  <si>
    <t>DPT_ODA</t>
  </si>
  <si>
    <t>Approve overdraft contract</t>
  </si>
  <si>
    <t>DPT_REJ</t>
  </si>
  <si>
    <t>MTG_SCR_OD</t>
  </si>
  <si>
    <t>Secure asset for OD contract</t>
  </si>
  <si>
    <t>MTG_RLS_OD</t>
  </si>
  <si>
    <t>Release asset from OD contract</t>
  </si>
  <si>
    <t>Reject deposit account</t>
  </si>
  <si>
    <t>CTM_CPN</t>
  </si>
  <si>
    <t>Change customer paper number</t>
  </si>
  <si>
    <t>CTM_CCN</t>
  </si>
  <si>
    <t>Change customer name</t>
  </si>
  <si>
    <t>5511: Miscellaneous interest and principal collection</t>
  </si>
  <si>
    <t>Add</t>
  </si>
  <si>
    <t>Modify</t>
  </si>
  <si>
    <t>Approve modify</t>
  </si>
  <si>
    <t>Deposit by cash</t>
  </si>
  <si>
    <t>Deposit by DPT</t>
  </si>
  <si>
    <t>Deposit by GL</t>
  </si>
  <si>
    <t>Current</t>
  </si>
  <si>
    <t>Savings</t>
  </si>
  <si>
    <t>Withdrawal by cash</t>
  </si>
  <si>
    <t>Withdrawal by DPT</t>
  </si>
  <si>
    <t>Withdrawal by GL</t>
  </si>
  <si>
    <t>Closed by cash</t>
  </si>
  <si>
    <t>Closed by DPT</t>
  </si>
  <si>
    <t>Closed by GL</t>
  </si>
  <si>
    <t>Not allow</t>
  </si>
  <si>
    <t>Module</t>
  </si>
  <si>
    <t>Type</t>
  </si>
  <si>
    <t>Test case ID</t>
  </si>
  <si>
    <t>Individual</t>
  </si>
  <si>
    <t>Corporate</t>
  </si>
  <si>
    <t>Test case name</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</si>
  <si>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</si>
  <si>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</si>
  <si>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</si>
  <si>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</si>
  <si>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</si>
  <si>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</si>
  <si>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</si>
  <si>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</si>
  <si>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</si>
  <si>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</si>
  <si>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</si>
  <si>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</si>
  <si>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</si>
  <si>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</si>
  <si>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</si>
  <si>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</si>
  <si>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</si>
  <si>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</si>
  <si>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</si>
  <si>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</si>
  <si>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</si>
  <si>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</si>
  <si>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</si>
  <si>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</si>
  <si>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</si>
  <si>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</si>
  <si>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</si>
  <si>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</si>
  <si>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</si>
  <si>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</si>
  <si>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</si>
  <si>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</si>
  <si>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</si>
  <si>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</si>
  <si>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</si>
  <si>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</si>
  <si>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</si>
  <si>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</si>
  <si>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</si>
  <si>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</si>
  <si>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</si>
  <si>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</si>
  <si>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</si>
  <si>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</si>
  <si>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</si>
  <si>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</si>
  <si>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</si>
  <si>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</si>
  <si>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</si>
  <si>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</si>
  <si>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</si>
  <si>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</si>
  <si>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test_001_simple_search_branch</t>
  </si>
  <si>
    <t>test_</t>
  </si>
  <si>
    <t>ctm</t>
  </si>
  <si>
    <t>dpt</t>
  </si>
  <si>
    <t>FD 1M</t>
  </si>
  <si>
    <t>Prepaid FD</t>
  </si>
  <si>
    <t>Simple search</t>
  </si>
  <si>
    <t>Advanced search</t>
  </si>
  <si>
    <t>profile</t>
  </si>
  <si>
    <t>053</t>
  </si>
  <si>
    <t>054</t>
  </si>
  <si>
    <t>055</t>
  </si>
  <si>
    <t>056</t>
  </si>
  <si>
    <t>057</t>
  </si>
  <si>
    <t>058</t>
  </si>
  <si>
    <t>Account</t>
  </si>
  <si>
    <t>=''</t>
  </si>
  <si>
    <t xml:space="preserve">        if not </t>
  </si>
  <si>
    <t>account_number</t>
  </si>
  <si>
    <t>branch_name</t>
  </si>
  <si>
    <t>description</t>
  </si>
  <si>
    <t>amount</t>
  </si>
  <si>
    <t>fee_data</t>
  </si>
  <si>
    <t>share_fee</t>
  </si>
  <si>
    <t>ifc_name</t>
  </si>
  <si>
    <t>value_type</t>
  </si>
  <si>
    <t>ifc_code</t>
  </si>
  <si>
    <t>payrate</t>
  </si>
  <si>
    <t>ifc_value</t>
  </si>
  <si>
    <t>ifc_amount</t>
  </si>
  <si>
    <t>currency_account_code</t>
  </si>
  <si>
    <t>floor_value</t>
  </si>
  <si>
    <t>ceiling_value</t>
  </si>
  <si>
    <t>share_rate</t>
  </si>
  <si>
    <t>share_amount</t>
  </si>
  <si>
    <t>round_rate</t>
  </si>
  <si>
    <t>round_amount</t>
  </si>
  <si>
    <t>currency_fee_code</t>
  </si>
  <si>
    <t>pay_source</t>
  </si>
  <si>
    <t>user_approve</t>
  </si>
  <si>
    <t>BO</t>
  </si>
  <si>
    <t>ADM_UPDATE_LIST_USER_RIGHT</t>
  </si>
  <si>
    <t>TRS_VIEW_ACCOUNT</t>
  </si>
  <si>
    <t>DPT_VIEW_MODIFY_EXT_FIELD</t>
  </si>
  <si>
    <t>TRS_SEARCH_ACCOUNT</t>
  </si>
  <si>
    <t>ADM_REFRESH_BRANCH_BY_USER</t>
  </si>
  <si>
    <t>PRINT_CUSTOMER_INFO</t>
  </si>
  <si>
    <t>TransactionCount</t>
  </si>
  <si>
    <t>TransactionCode</t>
  </si>
  <si>
    <t>status</t>
  </si>
  <si>
    <t>data</t>
  </si>
  <si>
    <t>value_typect</t>
  </si>
  <si>
    <t>transaction_code</t>
  </si>
  <si>
    <t>transaction_number</t>
  </si>
  <si>
    <t>transaction_type</t>
  </si>
  <si>
    <t>sub_code</t>
  </si>
  <si>
    <t>transaction_date</t>
  </si>
  <si>
    <t>service_sys_date</t>
  </si>
  <si>
    <t>reference_id</t>
  </si>
  <si>
    <t>ref_id</t>
  </si>
  <si>
    <t>reference_code</t>
  </si>
  <si>
    <t>business_code</t>
  </si>
  <si>
    <t>value_date</t>
  </si>
  <si>
    <t>current_user_code</t>
  </si>
  <si>
    <t>current_branch_code</t>
  </si>
  <si>
    <t>current_username</t>
  </si>
  <si>
    <t>current_loginname</t>
  </si>
  <si>
    <t>is_reverse</t>
  </si>
  <si>
    <t>amount1</t>
  </si>
  <si>
    <t>token</t>
  </si>
  <si>
    <t>is_transaction_reverse</t>
  </si>
  <si>
    <t>is_transaction_compensated</t>
  </si>
  <si>
    <t>error_message</t>
  </si>
  <si>
    <t>error_code</t>
  </si>
  <si>
    <t>assert '</t>
  </si>
  <si>
    <t>Level 1</t>
  </si>
  <si>
    <t>Level 2</t>
  </si>
  <si>
    <t>Level 3</t>
  </si>
  <si>
    <t>Level 4</t>
  </si>
  <si>
    <t>' in data_actual</t>
  </si>
  <si>
    <t xml:space="preserve">    def </t>
  </si>
  <si>
    <t>Order</t>
  </si>
  <si>
    <t>(self, ):payload = {}return payload</t>
  </si>
  <si>
    <t>=1</t>
  </si>
  <si>
    <t>Configuration</t>
  </si>
  <si>
    <t>Test Cases</t>
  </si>
  <si>
    <t>Done</t>
  </si>
  <si>
    <t>MMK</t>
  </si>
  <si>
    <t>=None</t>
  </si>
  <si>
    <t>(self, user):assert '', f"Expected: ..., Actual: response Json:"</t>
  </si>
  <si>
    <t>id</t>
  </si>
  <si>
    <t>reason_of_account_opening</t>
  </si>
  <si>
    <t>relationship_manager</t>
  </si>
  <si>
    <t>Key 1</t>
  </si>
  <si>
    <t>Key 2</t>
  </si>
  <si>
    <t>Key 3</t>
  </si>
  <si>
    <t>Key 4</t>
  </si>
  <si>
    <t>, "Expected: key '</t>
  </si>
  <si>
    <t>' exists."</t>
  </si>
  <si>
    <t>module_code</t>
  </si>
  <si>
    <t>value_base</t>
  </si>
  <si>
    <t>margin_value</t>
  </si>
  <si>
    <t>paid</t>
  </si>
  <si>
    <t>lamt</t>
  </si>
  <si>
    <t>ifc_status</t>
  </si>
  <si>
    <t>last_datetime</t>
  </si>
  <si>
    <t>amtpbl</t>
  </si>
  <si>
    <t>wdays</t>
  </si>
  <si>
    <t>odays</t>
  </si>
  <si>
    <t>next_datetime</t>
  </si>
  <si>
    <t>F</t>
  </si>
  <si>
    <t>='D'</t>
  </si>
  <si>
    <t>available_balance</t>
  </si>
  <si>
    <t>withdraw_amount</t>
  </si>
  <si>
    <t>currency_of_deposit_account</t>
  </si>
  <si>
    <t>debit_or_credit</t>
  </si>
  <si>
    <t>currency</t>
  </si>
  <si>
    <t>AU.assert_equals('</t>
  </si>
  <si>
    <t>)</t>
  </si>
  <si>
    <t xml:space="preserve">', , </t>
  </si>
  <si>
    <t>data_actual['data']['fee_data'][0]['</t>
  </si>
  <si>
    <t>']</t>
  </si>
  <si>
    <t>='DPT'</t>
  </si>
  <si>
    <t>='F'</t>
  </si>
  <si>
    <t>='DEPOSIT'</t>
  </si>
  <si>
    <t>=[]</t>
  </si>
  <si>
    <t>='CSH'</t>
  </si>
  <si>
    <t>='MMK'</t>
  </si>
  <si>
    <t>='DPT-Account Linkage-Add'</t>
  </si>
  <si>
    <t>='1193: Close deposit account'</t>
  </si>
  <si>
    <t>059</t>
  </si>
  <si>
    <t>060</t>
  </si>
  <si>
    <t>stock_type</t>
  </si>
  <si>
    <t>stock_prefix</t>
  </si>
  <si>
    <t>currency_code</t>
  </si>
  <si>
    <t>stock_no</t>
  </si>
  <si>
    <t>from_serial_from</t>
  </si>
  <si>
    <t>from_serial_to</t>
  </si>
  <si>
    <t>to_serial_from</t>
  </si>
  <si>
    <t>to_serial_to</t>
  </si>
  <si>
    <t>book_status</t>
  </si>
  <si>
    <t>confirm_status</t>
  </si>
  <si>
    <t>user_name</t>
  </si>
  <si>
    <t>stock_leaves_status</t>
  </si>
  <si>
    <t>stock_balance</t>
  </si>
  <si>
    <t>ref_account_no</t>
  </si>
  <si>
    <t>user_approved</t>
  </si>
  <si>
    <t>assigned_teller_code</t>
  </si>
  <si>
    <t>page_index</t>
  </si>
  <si>
    <t>page_size</t>
  </si>
  <si>
    <t>=5</t>
  </si>
  <si>
    <t>amount_cash_change</t>
  </si>
  <si>
    <t>base_amount</t>
  </si>
  <si>
    <t>condition</t>
  </si>
  <si>
    <t>posting</t>
  </si>
  <si>
    <t>accounting_group</t>
  </si>
  <si>
    <t>value_data_account_number</t>
  </si>
  <si>
    <t>account_number_approved</t>
  </si>
  <si>
    <t>value_data_cross_rate</t>
  </si>
  <si>
    <t>account_name_individual</t>
  </si>
  <si>
    <t>customer_code_individual</t>
  </si>
  <si>
    <t>value_data_exchange_rate_debit_account_bcy</t>
  </si>
  <si>
    <t>value_data_amount_debit_account_bcy</t>
  </si>
  <si>
    <t>value_data_fee_data</t>
  </si>
  <si>
    <t>value_data_branch_name</t>
  </si>
  <si>
    <t>value_data_transaction_code</t>
  </si>
  <si>
    <t>value_data_transaction_type</t>
  </si>
  <si>
    <t>value_data_sub_code</t>
  </si>
  <si>
    <t>value_data_reference_code</t>
  </si>
  <si>
    <t>''</t>
  </si>
  <si>
    <t>value_data_business_code</t>
  </si>
  <si>
    <t>value_data_value_date</t>
  </si>
  <si>
    <t>user_service['working_date']</t>
  </si>
  <si>
    <t>value_data_current_user_code</t>
  </si>
  <si>
    <t>user_service['username']</t>
  </si>
  <si>
    <t>value_data_current_branch_code</t>
  </si>
  <si>
    <t>user_service['branch_code']</t>
  </si>
  <si>
    <t>value_data_current_username</t>
  </si>
  <si>
    <t>user_service['fullname']</t>
  </si>
  <si>
    <t>value_data_current_loginname</t>
  </si>
  <si>
    <t>value_data_user_approve</t>
  </si>
  <si>
    <t>value_data_status</t>
  </si>
  <si>
    <t>'N'</t>
  </si>
  <si>
    <t>value_data_amount1</t>
  </si>
  <si>
    <t>value_data_description</t>
  </si>
  <si>
    <t>value_data_token</t>
  </si>
  <si>
    <t>'*'</t>
  </si>
  <si>
    <t>value_data_transaction_number</t>
  </si>
  <si>
    <t>not None</t>
  </si>
  <si>
    <t>value_data_transaction_date</t>
  </si>
  <si>
    <t>value_data_service_sys_date</t>
  </si>
  <si>
    <t>value_data_reference_id</t>
  </si>
  <si>
    <t>value_data_ref_id</t>
  </si>
  <si>
    <t>value_data_is_reverse</t>
  </si>
  <si>
    <t>value_data_is_transaction_reverse</t>
  </si>
  <si>
    <t>value_data_is_transaction_compensated</t>
  </si>
  <si>
    <t xml:space="preserve">', </t>
  </si>
  <si>
    <t xml:space="preserve">, </t>
  </si>
  <si>
    <t>value_data_customer_code</t>
  </si>
  <si>
    <t>value_data_withdraw_amount</t>
  </si>
  <si>
    <t>value_data_cash_currency</t>
  </si>
  <si>
    <t>value_data_cash_amount</t>
  </si>
  <si>
    <t>value_data_exchange_rate</t>
  </si>
  <si>
    <t>value_data_cash_amount_bcy</t>
  </si>
  <si>
    <t>value_data_withdrawer_name</t>
  </si>
  <si>
    <t>value_data_withdrawer_id</t>
  </si>
  <si>
    <t>value_data_withdrawer_address</t>
  </si>
  <si>
    <t>value_data_id_issue_date</t>
  </si>
  <si>
    <t>value_data_id_place</t>
  </si>
  <si>
    <t>value_data_identification_number</t>
  </si>
  <si>
    <t>value_data_currency_of_deposit_account</t>
  </si>
  <si>
    <t>value_data_interest_from_earlywdr</t>
  </si>
  <si>
    <t>value_data_due_date</t>
  </si>
  <si>
    <t>value_data_commission</t>
  </si>
  <si>
    <t>value_data_interest_prepaid</t>
  </si>
  <si>
    <t>value_data_total_vat_for_cash</t>
  </si>
  <si>
    <t>value_data_account_linkage</t>
  </si>
  <si>
    <t>value_data_amount_linkage</t>
  </si>
  <si>
    <t>value_data_total_ifc_fee_cash</t>
  </si>
  <si>
    <t>value_data_total_ifc_fee_deposit</t>
  </si>
  <si>
    <t>value_data_total_ifc_fee</t>
  </si>
  <si>
    <t>value_data_passbook_number</t>
  </si>
  <si>
    <t>value_data_account_balances</t>
  </si>
  <si>
    <t>cash_currency</t>
  </si>
  <si>
    <t>address</t>
  </si>
  <si>
    <t>id_issue_date</t>
  </si>
  <si>
    <t>not''</t>
  </si>
  <si>
    <t>'DPT_CWR'</t>
  </si>
  <si>
    <t>'CWR'</t>
  </si>
  <si>
    <t>'1120: Cash withdrawal'</t>
  </si>
  <si>
    <t>value_data_current_balance</t>
  </si>
  <si>
    <t>None</t>
  </si>
  <si>
    <t>value_data_available_balance</t>
  </si>
  <si>
    <t>value_data_home</t>
  </si>
  <si>
    <t>value_data_office</t>
  </si>
  <si>
    <t>value_data_fee_currency_code</t>
  </si>
  <si>
    <t>total_fee</t>
  </si>
  <si>
    <t>not[]</t>
  </si>
  <si>
    <t>error_current_account</t>
  </si>
  <si>
    <t>error_prepaid_fixed_deposit_account</t>
  </si>
  <si>
    <t>error_account_number_is_empty</t>
  </si>
  <si>
    <t>error_account_number_is_null</t>
  </si>
  <si>
    <t>error_account_number_not_exist</t>
  </si>
  <si>
    <t>error_serial_no_is_empty</t>
  </si>
  <si>
    <t>error_serial_no_is_null</t>
  </si>
  <si>
    <t>error_serial_no_not_exist</t>
  </si>
  <si>
    <t>error_serial_no_is_cheque</t>
  </si>
  <si>
    <t>error_serial_no_is_receipt</t>
  </si>
  <si>
    <t>error_serial_no_is_payment_order</t>
  </si>
  <si>
    <t>error_serial_no_is_gift_cheque</t>
  </si>
  <si>
    <t>error_passbook_at_branch</t>
  </si>
  <si>
    <t>error_passbook_at_teller_not_confirm</t>
  </si>
  <si>
    <t>error_passbook_status_lost</t>
  </si>
  <si>
    <t>error_passbook_status_damage</t>
  </si>
  <si>
    <t>error_passbook_status_stop_payment</t>
  </si>
  <si>
    <t>error_passbook_status_closed</t>
  </si>
  <si>
    <t>error_passbook_not_belong_to_teller</t>
  </si>
  <si>
    <t>serial_no</t>
  </si>
  <si>
    <t>method</t>
  </si>
  <si>
    <t>account_number_for_fee</t>
  </si>
  <si>
    <t>_01</t>
  </si>
  <si>
    <t>Deposit (MMK) For Same Region  (By Cash/Tr)</t>
  </si>
  <si>
    <t>success_fixed_deposit_account_status_new_no_passbook</t>
  </si>
  <si>
    <t>success_fixed_deposit_account_status_normal_no_passbook</t>
  </si>
  <si>
    <t>success_fixed_deposit_account_status_maturity_no_passbook</t>
  </si>
  <si>
    <t>success_fixed_deposit_account_status_new_has_passbook</t>
  </si>
  <si>
    <t>success_fixed_deposit_account_status_normal_has_passbook</t>
  </si>
  <si>
    <t>success_fixed_deposit_account_status_maturity_has_passbook</t>
  </si>
  <si>
    <t>success_fixed_deposit_account_status_new_no_passbook_add_fee_cash</t>
  </si>
  <si>
    <t>success_fixed_deposit_account_status_normal_no_passbook_add_fee_deposit_current</t>
  </si>
  <si>
    <t>success_fixed_deposit_account_status_normal_has_passbook_add_fee_deposit_saving</t>
  </si>
  <si>
    <t>success_fixed_deposit_account_status_dormant_has_passbook_add_fee_accounting</t>
  </si>
  <si>
    <t>error_saving_account</t>
  </si>
  <si>
    <t>error_fixed_deposit_account_status_closed</t>
  </si>
  <si>
    <t>error_fixed_deposit_account_status_block</t>
  </si>
  <si>
    <t>error_fixed_deposit_account_status_pending</t>
  </si>
  <si>
    <t>error_fixed_deposit_account_has_passbook_normal</t>
  </si>
  <si>
    <t>error_fixed_deposit_account_has_passbook_stop_payment</t>
  </si>
  <si>
    <t>error_fixed_deposit_account_add_fee_fixed_deposit</t>
  </si>
  <si>
    <t>error_fixed_deposit_account_add_fee_prepaid_fixed_deposit</t>
  </si>
  <si>
    <t>error_fixed_deposit_account_add_fee_deposit_status_closed</t>
  </si>
  <si>
    <t>error_fixed_deposit_account_add_fee_deposit_status_block</t>
  </si>
  <si>
    <t>error_fixed_deposit_account_add_fee_deposit_status_pending</t>
  </si>
  <si>
    <t>error_fixed_deposit_account_add_fee_deposit_status_new</t>
  </si>
  <si>
    <t>error_fixed_deposit_account_add_fee_deposit_status_dormant</t>
  </si>
  <si>
    <t>error_fixed_deposit_account_add_fee_deposit_bigger_available_balance</t>
  </si>
  <si>
    <t>error_fixed_deposit_account_add_fee_deposit_not_same_currency</t>
  </si>
  <si>
    <t>error_fixed_deposit_account_add_fee_accounting_posting_side_is_credit</t>
  </si>
  <si>
    <t>error_fixed_deposit_account_add_fee_accounting_level_not_9</t>
  </si>
  <si>
    <t>error_fixed_deposit_account_add_fee_accounting_not_same_currency</t>
  </si>
  <si>
    <t>error_fixed_deposit_account_add_fee_accounting_not_same_branch</t>
  </si>
  <si>
    <t>error_fixed_deposit_account_add_fee_accounting_group_is_cash</t>
  </si>
  <si>
    <t>error_fixed_deposit_account_add_fee_accounting_direct_posting_is_no</t>
  </si>
  <si>
    <t>error_serial_no_is_passbook_for_saving</t>
  </si>
  <si>
    <t>def test_11_sp_dpt_fbi_</t>
  </si>
  <si>
    <t>Pass</t>
  </si>
  <si>
    <t>FromDate</t>
  </si>
  <si>
    <t>ToDate</t>
  </si>
  <si>
    <t>Tổng số giao dịch chuyển store</t>
  </si>
  <si>
    <t>8/13/2024</t>
  </si>
  <si>
    <t>WF này đã chuyển stored trên production</t>
  </si>
  <si>
    <t>Không chuyển store, chỉ có xử lý voucher</t>
  </si>
  <si>
    <t>Sử dụng Invoke 2</t>
  </si>
  <si>
    <t>Không sử dụng nhiều, nằm trong top 50 vì Linh dùng tool thực hiện sinh lại lịch 1/9/2024</t>
  </si>
  <si>
    <t>Nghi thêm để chuyển store</t>
  </si>
  <si>
    <t>KHÔNG TEST</t>
  </si>
  <si>
    <t>short_currency_id</t>
  </si>
  <si>
    <t>, #stored</t>
  </si>
  <si>
    <t>ref_branch_code</t>
  </si>
  <si>
    <t>Testing</t>
  </si>
  <si>
    <t>Tested</t>
  </si>
  <si>
    <t>Tiên</t>
  </si>
  <si>
    <t>CTM_INSERT_CTM_API</t>
  </si>
  <si>
    <t>DPT_APR_API</t>
  </si>
  <si>
    <t>CTM_APR_API</t>
  </si>
  <si>
    <t>CTM_CAS_API</t>
  </si>
  <si>
    <t>OpenAPI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</si>
</sst>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0000000"/>
  </numFmts>
  <fonts count="20" x14ac:knownFonts="1">
    <font>
      <sz val="11"/>
      <color theme="1"/>
      <name val="Calibri"/>
      <family val="2"/>
      <scheme val="minor"/>
    </font>
    <font>
      <sz val="10"/>
      <color theme="1"/>
      <name val="Arial"/>
      <family val="2"/>
    </font>
    <font>
      <sz val="10"/>
      <color rgb="FF000000"/>
      <name val="Arial"/>
      <family val="2"/>
    </font>
    <font>
      <sz val="11"/>
      <color theme="1"/>
      <name val="Arial"/>
      <family val="2"/>
    </font>
    <font>
      <b/>
      <sz val="10"/>
      <color theme="0"/>
      <name val="Arial"/>
      <family val="2"/>
    </font>
    <font>
      <sz val="10"/>
      <color rgb="FFFF0000"/>
      <name val="Arial"/>
      <family val="2"/>
    </font>
    <font>
      <strike/>
      <sz val="10"/>
      <color theme="1"/>
      <name val="Arial"/>
      <family val="2"/>
    </font>
    <font>
      <sz val="10"/>
      <name val="Arial"/>
      <family val="2"/>
    </font>
    <font>
      <sz val="10"/>
      <color rgb="FF92D050"/>
      <name val="Arial"/>
      <family val="2"/>
    </font>
    <font>
      <sz val="11"/>
      <color theme="1"/>
      <name val="Calibri"/>
      <family val="2"/>
      <scheme val="minor"/>
    </font>
    <font>
      <b/>
      <sz val="10"/>
      <color theme="1"/>
      <name val="Arial"/>
      <family val="2"/>
    </font>
    <font>
      <b/>
      <sz val="10"/>
      <color theme="1"/>
      <name val="Tahoma"/>
      <family val="2"/>
    </font>
    <font>
      <sz val="10"/>
      <color theme="1"/>
      <name val="Tahoma"/>
      <family val="2"/>
    </font>
    <font>
      <sz val="10"/>
      <color rgb="FFFF0000"/>
      <name val="Tahoma"/>
      <family val="2"/>
    </font>
    <font>
      <u/>
      <sz val="11"/>
      <color theme="10"/>
      <name val="Calibri"/>
      <family val="2"/>
      <scheme val="minor"/>
    </font>
    <font>
      <u/>
      <sz val="10"/>
      <color theme="10"/>
      <name val="Arial"/>
      <family val="2"/>
    </font>
    <font>
      <sz val="8"/>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FFFFFF"/>
        <bgColor rgb="FFFFFFFF"/>
      </patternFill>
    </fill>
    <fill>
      <patternFill patternType="solid">
        <fgColor rgb="FFF16624"/>
        <bgColor rgb="FFF1662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rgb="FFFFFFFF"/>
      </patternFill>
    </fill>
    <fill>
      <patternFill patternType="solid">
        <fgColor theme="0" tint="-0.14999847407452621"/>
        <bgColor indexed="64"/>
      </patternFill>
    </fill>
    <fill>
      <patternFill patternType="solid">
        <fgColor rgb="FFFFFF00"/>
        <bgColor rgb="FFFFFFFF"/>
      </patternFill>
    </fill>
    <fill>
      <patternFill patternType="solid">
        <fgColor theme="9"/>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0" fontId="3" fillId="0" borderId="0"/>
    <xf numFmtId="9" fontId="9" fillId="0" borderId="0" applyFont="0" applyFill="0" applyBorder="0" applyAlignment="0" applyProtection="0"/>
    <xf numFmtId="0" fontId="14" fillId="0" borderId="0" applyNumberFormat="0" applyFill="0" applyBorder="0" applyAlignment="0" applyProtection="0"/>
    <xf numFmtId="43" fontId="9" fillId="0" borderId="0" applyFont="0" applyFill="0" applyBorder="0" applyAlignment="0" applyProtection="0"/>
    <xf numFmtId="0" fontId="3" fillId="0" borderId="0"/>
  </cellStyleXfs>
  <cellXfs count="104">
    <xf numFmtId="0" fontId="0" fillId="0" borderId="0" xfId="0"/>
    <xf numFmtId="0" fontId="1" fillId="0" borderId="0" xfId="0" applyFont="1" applyAlignment="1">
      <alignment vertical="center"/>
    </xf>
    <xf numFmtId="0" fontId="1" fillId="0" borderId="2" xfId="0" applyFont="1" applyBorder="1" applyAlignment="1">
      <alignment vertical="center"/>
    </xf>
    <xf numFmtId="0" fontId="1" fillId="3" borderId="2" xfId="1" applyFont="1" applyFill="1" applyBorder="1" applyAlignment="1">
      <alignment vertical="center"/>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2" borderId="2" xfId="0" applyFont="1" applyFill="1" applyBorder="1" applyAlignment="1">
      <alignment vertical="center"/>
    </xf>
    <xf numFmtId="0" fontId="2" fillId="0" borderId="2" xfId="0" applyFont="1" applyBorder="1" applyAlignment="1">
      <alignment vertical="center"/>
    </xf>
    <xf numFmtId="0" fontId="1" fillId="0" borderId="2" xfId="0" applyFont="1" applyBorder="1" applyAlignment="1">
      <alignment horizontal="center" vertical="center"/>
    </xf>
    <xf numFmtId="0" fontId="1" fillId="0" borderId="0" xfId="1" applyFont="1" applyAlignment="1">
      <alignment vertical="center"/>
    </xf>
    <xf numFmtId="0" fontId="1" fillId="0" borderId="2" xfId="1" applyFont="1" applyBorder="1" applyAlignment="1">
      <alignment vertical="center"/>
    </xf>
    <xf numFmtId="0" fontId="5" fillId="0" borderId="2" xfId="0" applyFont="1" applyBorder="1" applyAlignment="1">
      <alignment vertical="center"/>
    </xf>
    <xf numFmtId="0" fontId="1" fillId="0" borderId="2" xfId="0" applyFont="1" applyBorder="1"/>
    <xf numFmtId="0" fontId="1" fillId="5" borderId="2" xfId="0" applyFont="1" applyFill="1" applyBorder="1" applyAlignment="1">
      <alignment vertical="center"/>
    </xf>
    <xf numFmtId="0" fontId="1" fillId="0" borderId="2" xfId="0" applyFont="1" applyFill="1" applyBorder="1" applyAlignment="1">
      <alignment vertical="center"/>
    </xf>
    <xf numFmtId="0" fontId="1" fillId="0" borderId="2" xfId="0" applyFont="1" applyBorder="1" applyAlignment="1">
      <alignment vertical="center" wrapText="1"/>
    </xf>
    <xf numFmtId="0" fontId="1" fillId="6" borderId="2" xfId="0" applyFont="1" applyFill="1" applyBorder="1" applyAlignment="1">
      <alignment vertical="center"/>
    </xf>
    <xf numFmtId="0" fontId="5" fillId="2" borderId="2" xfId="0" applyFont="1" applyFill="1" applyBorder="1" applyAlignment="1">
      <alignment vertical="center"/>
    </xf>
    <xf numFmtId="0" fontId="1" fillId="5" borderId="2" xfId="0" applyFont="1" applyFill="1" applyBorder="1"/>
    <xf numFmtId="0" fontId="4" fillId="4" borderId="3" xfId="0" applyFont="1" applyFill="1" applyBorder="1" applyAlignment="1">
      <alignment horizontal="center" vertical="center" wrapText="1"/>
    </xf>
    <xf numFmtId="0" fontId="1" fillId="0" borderId="5" xfId="1" applyFont="1" applyBorder="1" applyAlignment="1">
      <alignment vertical="center"/>
    </xf>
    <xf numFmtId="0" fontId="1" fillId="3" borderId="4" xfId="1" applyFont="1" applyFill="1" applyBorder="1" applyAlignment="1">
      <alignment vertical="center"/>
    </xf>
    <xf numFmtId="0" fontId="1" fillId="7" borderId="2" xfId="0" applyFont="1" applyFill="1" applyBorder="1" applyAlignment="1">
      <alignment vertical="center"/>
    </xf>
    <xf numFmtId="0" fontId="1" fillId="7" borderId="2" xfId="0" applyFont="1" applyFill="1" applyBorder="1"/>
    <xf numFmtId="0" fontId="1" fillId="0" borderId="2" xfId="0" applyFont="1" applyFill="1" applyBorder="1"/>
    <xf numFmtId="0" fontId="6" fillId="2" borderId="2" xfId="0" applyFont="1" applyFill="1" applyBorder="1" applyAlignment="1">
      <alignment vertical="center"/>
    </xf>
    <xf numFmtId="0" fontId="5" fillId="2" borderId="2" xfId="0" applyFont="1" applyFill="1" applyBorder="1"/>
    <xf numFmtId="0" fontId="8" fillId="0" borderId="2" xfId="0" applyFont="1" applyBorder="1" applyAlignment="1">
      <alignment horizontal="center" vertical="center"/>
    </xf>
    <xf numFmtId="0" fontId="5" fillId="8" borderId="2" xfId="0" applyFont="1" applyFill="1" applyBorder="1" applyAlignment="1">
      <alignment vertical="center"/>
    </xf>
    <xf numFmtId="0" fontId="5" fillId="8" borderId="2" xfId="0" applyFont="1" applyFill="1" applyBorder="1"/>
    <xf numFmtId="0" fontId="7" fillId="0" borderId="2" xfId="0" applyFont="1" applyBorder="1" applyAlignment="1">
      <alignment vertical="center"/>
    </xf>
    <xf numFmtId="0" fontId="5" fillId="0" borderId="2" xfId="0" applyFont="1" applyBorder="1" applyAlignment="1">
      <alignment vertical="center" wrapText="1"/>
    </xf>
    <xf numFmtId="0" fontId="1" fillId="0" borderId="0" xfId="0" applyFont="1" applyAlignment="1">
      <alignment vertical="center" wrapText="1"/>
    </xf>
    <xf numFmtId="0" fontId="1" fillId="0" borderId="0" xfId="0" applyFont="1" applyAlignment="1">
      <alignment horizontal="right" vertical="center" wrapText="1"/>
    </xf>
    <xf numFmtId="9" fontId="1" fillId="0" borderId="0" xfId="2" applyFont="1" applyAlignment="1">
      <alignment vertical="center" wrapText="1"/>
    </xf>
    <xf numFmtId="0" fontId="1" fillId="9" borderId="2" xfId="0" applyFont="1" applyFill="1" applyBorder="1" applyAlignment="1">
      <alignment horizontal="center" vertical="center"/>
    </xf>
    <xf numFmtId="0" fontId="1" fillId="10" borderId="2" xfId="0" applyFont="1" applyFill="1" applyBorder="1" applyAlignment="1">
      <alignment vertical="center"/>
    </xf>
    <xf numFmtId="0" fontId="1" fillId="10" borderId="2" xfId="0" quotePrefix="1" applyFont="1" applyFill="1" applyBorder="1" applyAlignment="1">
      <alignment vertical="center" wrapText="1"/>
    </xf>
    <xf numFmtId="0" fontId="10" fillId="0" borderId="0" xfId="1" applyFont="1" applyAlignment="1">
      <alignment vertical="center"/>
    </xf>
    <xf numFmtId="0" fontId="11" fillId="0" borderId="0" xfId="0" applyFont="1" applyAlignment="1">
      <alignment vertical="center"/>
    </xf>
    <xf numFmtId="0" fontId="12" fillId="0" borderId="0" xfId="0" applyFont="1" applyAlignment="1">
      <alignment horizontal="center" vertical="center"/>
    </xf>
    <xf numFmtId="0" fontId="12" fillId="0" borderId="0" xfId="0" applyFont="1"/>
    <xf numFmtId="0" fontId="1" fillId="0" borderId="0" xfId="0" applyFont="1" applyAlignment="1">
      <alignment horizontal="center" vertical="center" wrapText="1"/>
    </xf>
    <xf numFmtId="0" fontId="12" fillId="0" borderId="0" xfId="0" applyFont="1" applyAlignment="1">
      <alignment vertical="center"/>
    </xf>
    <xf numFmtId="0" fontId="13" fillId="11" borderId="0" xfId="0" applyFont="1" applyFill="1" applyAlignment="1">
      <alignment vertical="center"/>
    </xf>
    <xf numFmtId="0" fontId="13" fillId="0" borderId="0" xfId="0" applyFont="1" applyAlignment="1">
      <alignment vertical="center"/>
    </xf>
    <xf numFmtId="0" fontId="12" fillId="0" borderId="0" xfId="0" applyFont="1" applyAlignment="1">
      <alignment vertical="center" wrapText="1"/>
    </xf>
    <xf numFmtId="0" fontId="14" fillId="0" borderId="0" xfId="3"/>
    <xf numFmtId="0" fontId="12" fillId="0" borderId="0" xfId="0" quotePrefix="1" applyFont="1" applyAlignment="1">
      <alignment vertical="center" wrapText="1"/>
    </xf>
    <xf numFmtId="0" fontId="12" fillId="0" borderId="0" xfId="0" applyFont="1" applyAlignment="1">
      <alignment wrapText="1"/>
    </xf>
    <xf numFmtId="0" fontId="15" fillId="0" borderId="2" xfId="3" quotePrefix="1" applyFont="1" applyBorder="1" applyAlignment="1">
      <alignment vertical="center"/>
    </xf>
    <xf numFmtId="0" fontId="15" fillId="0" borderId="2" xfId="3" quotePrefix="1" applyFont="1" applyBorder="1" applyAlignment="1">
      <alignment vertical="center" wrapText="1"/>
    </xf>
    <xf numFmtId="0" fontId="15" fillId="0" borderId="2" xfId="3" applyFont="1" applyBorder="1" applyAlignment="1">
      <alignment horizontal="left" vertical="center" wrapText="1"/>
    </xf>
    <xf numFmtId="0" fontId="5" fillId="0" borderId="2" xfId="1" applyFont="1" applyBorder="1" applyAlignment="1">
      <alignment vertical="center"/>
    </xf>
    <xf numFmtId="0" fontId="0" fillId="0" borderId="0" xfId="0" quotePrefix="1"/>
    <xf numFmtId="0" fontId="13" fillId="0" borderId="0" xfId="0" applyFont="1" applyAlignment="1">
      <alignment horizontal="center" vertical="center"/>
    </xf>
    <xf numFmtId="0" fontId="15" fillId="0" borderId="2" xfId="3" applyFont="1" applyBorder="1" applyAlignment="1">
      <alignment horizontal="left"/>
    </xf>
    <xf numFmtId="0" fontId="7" fillId="3" borderId="2" xfId="1" applyFont="1" applyFill="1" applyBorder="1" applyAlignment="1">
      <alignment vertical="center"/>
    </xf>
    <xf numFmtId="0" fontId="5" fillId="0" borderId="0" xfId="1" applyFont="1" applyAlignment="1">
      <alignment vertical="center"/>
    </xf>
    <xf numFmtId="0" fontId="14" fillId="0" borderId="0" xfId="3" applyAlignment="1">
      <alignment horizontal="left" vertical="center" wrapText="1" indent="1"/>
    </xf>
    <xf numFmtId="0" fontId="15" fillId="0" borderId="2" xfId="3" applyFont="1" applyBorder="1" applyAlignment="1">
      <alignment horizontal="left" vertical="center"/>
    </xf>
    <xf numFmtId="0" fontId="1" fillId="0" borderId="0" xfId="1" applyFont="1" applyAlignment="1">
      <alignment vertical="center" wrapText="1"/>
    </xf>
    <xf numFmtId="0" fontId="1" fillId="0" borderId="2" xfId="1" applyFont="1" applyBorder="1" applyAlignment="1">
      <alignment vertical="center" wrapText="1"/>
    </xf>
    <xf numFmtId="164" fontId="1" fillId="0" borderId="0" xfId="1" applyNumberFormat="1" applyFont="1" applyAlignment="1">
      <alignment vertical="center"/>
    </xf>
    <xf numFmtId="0" fontId="15" fillId="0" borderId="2" xfId="3" applyFont="1" applyBorder="1"/>
    <xf numFmtId="0" fontId="1" fillId="0" borderId="0" xfId="0" applyFont="1" applyBorder="1" applyAlignment="1">
      <alignment horizontal="center" vertical="center"/>
    </xf>
    <xf numFmtId="43" fontId="1" fillId="0" borderId="0" xfId="4" applyFont="1" applyAlignment="1">
      <alignment vertical="center"/>
    </xf>
    <xf numFmtId="43" fontId="1" fillId="0" borderId="0" xfId="1" applyNumberFormat="1" applyFont="1" applyAlignment="1">
      <alignment vertical="center"/>
    </xf>
    <xf numFmtId="4" fontId="1" fillId="0" borderId="0" xfId="1" applyNumberFormat="1" applyFont="1" applyAlignment="1">
      <alignment vertical="center"/>
    </xf>
    <xf numFmtId="0" fontId="1" fillId="0" borderId="2" xfId="1" applyFont="1" applyFill="1" applyBorder="1" applyAlignment="1">
      <alignment vertical="center"/>
    </xf>
    <xf numFmtId="0" fontId="7" fillId="0" borderId="2" xfId="0" applyFont="1" applyFill="1" applyBorder="1"/>
    <xf numFmtId="0" fontId="1" fillId="12" borderId="2" xfId="1" applyFont="1" applyFill="1" applyBorder="1" applyAlignment="1">
      <alignment vertical="center"/>
    </xf>
    <xf numFmtId="0" fontId="1" fillId="13" borderId="2" xfId="1" applyFont="1" applyFill="1" applyBorder="1" applyAlignment="1">
      <alignment vertical="center"/>
    </xf>
    <xf numFmtId="0" fontId="1" fillId="13" borderId="2" xfId="0" applyFont="1" applyFill="1" applyBorder="1"/>
    <xf numFmtId="0" fontId="1" fillId="0" borderId="0" xfId="1" applyFont="1" applyBorder="1" applyAlignment="1">
      <alignment vertical="center"/>
    </xf>
    <xf numFmtId="0" fontId="1" fillId="0" borderId="2" xfId="1" applyFont="1" applyBorder="1" applyAlignment="1">
      <alignment horizontal="center" vertical="center"/>
    </xf>
    <xf numFmtId="0" fontId="7" fillId="14" borderId="2" xfId="1" applyFont="1" applyFill="1" applyBorder="1" applyAlignment="1">
      <alignment vertical="center"/>
    </xf>
    <xf numFmtId="0" fontId="1" fillId="14" borderId="2" xfId="1" applyFont="1" applyFill="1" applyBorder="1" applyAlignment="1">
      <alignment vertical="center"/>
    </xf>
    <xf numFmtId="0" fontId="4" fillId="4" borderId="1" xfId="0" applyFont="1" applyFill="1" applyBorder="1" applyAlignment="1">
      <alignment horizontal="left" vertical="center" wrapText="1"/>
    </xf>
    <xf numFmtId="0" fontId="6" fillId="3" borderId="2" xfId="1" applyFont="1" applyFill="1" applyBorder="1" applyAlignment="1">
      <alignment vertical="center"/>
    </xf>
    <xf numFmtId="0" fontId="6" fillId="5" borderId="2" xfId="0" applyFont="1" applyFill="1" applyBorder="1"/>
    <xf numFmtId="0" fontId="6" fillId="0" borderId="2" xfId="0" applyFont="1" applyFill="1" applyBorder="1"/>
    <xf numFmtId="0" fontId="1" fillId="2" borderId="2" xfId="1" applyFont="1" applyFill="1" applyBorder="1" applyAlignment="1">
      <alignment vertical="center"/>
    </xf>
    <xf numFmtId="0" fontId="1" fillId="0" borderId="4" xfId="1" applyFont="1" applyFill="1" applyBorder="1" applyAlignment="1">
      <alignment vertical="center"/>
    </xf>
    <xf numFmtId="0" fontId="1" fillId="3" borderId="5" xfId="1" applyFont="1" applyFill="1" applyBorder="1" applyAlignment="1">
      <alignment vertical="center"/>
    </xf>
    <xf numFmtId="0" fontId="1" fillId="3" borderId="0" xfId="1" applyFont="1" applyFill="1" applyBorder="1" applyAlignment="1">
      <alignment vertical="center"/>
    </xf>
    <xf numFmtId="0" fontId="1" fillId="15" borderId="2" xfId="1" applyFont="1" applyFill="1" applyBorder="1" applyAlignment="1">
      <alignment vertical="center"/>
    </xf>
    <xf numFmtId="0" fontId="7" fillId="15" borderId="2" xfId="1" applyFont="1" applyFill="1" applyBorder="1" applyAlignment="1">
      <alignment vertical="center"/>
    </xf>
    <xf numFmtId="0" fontId="5" fillId="3" borderId="2" xfId="1" applyFont="1" applyFill="1" applyBorder="1" applyAlignment="1">
      <alignment vertical="center"/>
    </xf>
    <xf numFmtId="0" fontId="5" fillId="15" borderId="2" xfId="1" applyFont="1" applyFill="1" applyBorder="1" applyAlignment="1">
      <alignment vertical="center"/>
    </xf>
    <xf numFmtId="0" fontId="1" fillId="14" borderId="0" xfId="1" applyFont="1" applyFill="1" applyBorder="1" applyAlignment="1">
      <alignment vertical="center"/>
    </xf>
    <xf numFmtId="0" fontId="1" fillId="0" borderId="0" xfId="1" applyFont="1" applyFill="1" applyBorder="1" applyAlignment="1">
      <alignment vertical="center"/>
    </xf>
    <xf numFmtId="0" fontId="5" fillId="3" borderId="2" xfId="1" applyNumberFormat="1" applyFont="1" applyFill="1" applyBorder="1" applyAlignment="1">
      <alignment vertical="center"/>
    </xf>
    <xf numFmtId="0" fontId="1" fillId="3" borderId="2" xfId="1" applyNumberFormat="1" applyFont="1" applyFill="1" applyBorder="1" applyAlignment="1">
      <alignment vertical="center"/>
    </xf>
    <xf numFmtId="14" fontId="0" fillId="0" borderId="0" xfId="0" applyNumberFormat="1"/>
    <xf numFmtId="0" fontId="17" fillId="0" borderId="0" xfId="0" applyFont="1"/>
    <xf numFmtId="0" fontId="0" fillId="2" borderId="0" xfId="0" applyFill="1"/>
    <xf numFmtId="43" fontId="0" fillId="0" borderId="0" xfId="4" applyFont="1"/>
    <xf numFmtId="0" fontId="0" fillId="0" borderId="0" xfId="0" applyFill="1"/>
    <xf numFmtId="11" fontId="0" fillId="0" borderId="0" xfId="0" applyNumberFormat="1"/>
    <xf numFmtId="0" fontId="0" fillId="6" borderId="0" xfId="0" applyFill="1"/>
    <xf numFmtId="0" fontId="18" fillId="0" borderId="0" xfId="0" applyFont="1"/>
    <xf numFmtId="0" fontId="18" fillId="2" borderId="0" xfId="0" applyFont="1" applyFill="1"/>
    <xf numFmtId="0" fontId="19" fillId="0" borderId="0" xfId="0" applyFont="1"/>
  </cellXfs>
  <cellStyles count="6">
    <cellStyle name="Comma" xfId="4" builtinId="3"/>
    <cellStyle name="Hyperlink" xfId="3" builtinId="8"/>
    <cellStyle name="Normal" xfId="0" builtinId="0"/>
    <cellStyle name="Normal 2" xfId="1" xr:uid="{00000000-0005-0000-0000-000003000000}"/>
    <cellStyle name="Normal 3" xfId="5" xr:uid="{00000000-0005-0000-0000-000004000000}"/>
    <cellStyle name="Percent" xfId="2" builtinId="5"/>
  </cellStyles>
  <dxfs count="93">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FF0000"/>
      </font>
    </dxf>
    <dxf>
      <font>
        <b/>
        <i val="0"/>
        <color rgb="FF00B0F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405"/>
  <sheetViews>
    <sheetView zoomScale="85" zoomScaleNormal="85" workbookViewId="0">
      <pane xSplit="5" ySplit="9" topLeftCell="F118" activePane="bottomRight" state="frozen"/>
      <selection pane="topRight" activeCell="F1" sqref="F1"/>
      <selection pane="bottomLeft" activeCell="A3" sqref="A3"/>
      <selection pane="bottomRight" activeCell="D127" sqref="D127"/>
    </sheetView>
  </sheetViews>
  <sheetFormatPr defaultColWidth="9.140625" defaultRowHeight="12.75" x14ac:dyDescent="0.25"/>
  <cols>
    <col min="1" max="1" width="4.140625" style="1" customWidth="1"/>
    <col min="2" max="2" width="4" style="1" bestFit="1" customWidth="1"/>
    <col min="3" max="3" width="15.28515625" style="1" customWidth="1"/>
    <col min="4" max="4" width="36.5703125" style="1" bestFit="1" customWidth="1"/>
    <col min="5" max="5" width="35.42578125" style="1" bestFit="1" customWidth="1"/>
    <col min="6" max="6" width="47.85546875" style="1" bestFit="1" customWidth="1"/>
    <col min="7" max="7" width="14.28515625" style="1" bestFit="1" customWidth="1"/>
    <col min="8" max="8" width="12.7109375" style="1" bestFit="1" customWidth="1"/>
    <col min="9" max="9" width="12.42578125" style="1" bestFit="1" customWidth="1"/>
    <col min="10" max="10" width="16.28515625" style="1" bestFit="1" customWidth="1"/>
    <col min="11" max="13" width="7.85546875" style="1" customWidth="1"/>
    <col min="14" max="14" width="51.7109375" style="1" customWidth="1"/>
    <col min="15" max="16384" width="9.140625" style="1"/>
  </cols>
  <sheetData>
    <row r="2" spans="2:14" s="32" customFormat="1" x14ac:dyDescent="0.25">
      <c r="B2" s="33"/>
      <c r="C2" s="32" t="s">
        <v>932</v>
      </c>
      <c r="D2" s="32">
        <f>COUNTA($E$10:$E$405)-D3</f>
        <v>375</v>
      </c>
      <c r="E2" s="32" t="s">
        <v>933</v>
      </c>
    </row>
    <row r="3" spans="2:14" s="32" customFormat="1" x14ac:dyDescent="0.25">
      <c r="B3" s="33"/>
      <c r="C3" s="32" t="s">
        <v>901</v>
      </c>
      <c r="D3" s="32">
        <f>COUNTIF($G$10:$G$405, "No")</f>
        <v>21</v>
      </c>
    </row>
    <row r="4" spans="2:14" s="32" customFormat="1" x14ac:dyDescent="0.25">
      <c r="B4" s="33"/>
      <c r="C4" s="32" t="s">
        <v>693</v>
      </c>
      <c r="D4" s="32">
        <f>COUNTIF($I$10:$I$405, C4)</f>
        <v>366</v>
      </c>
      <c r="E4" s="34">
        <f>ROUND(D4/$D$2,2)</f>
        <v>0.98</v>
      </c>
    </row>
    <row r="5" spans="2:14" s="32" customFormat="1" x14ac:dyDescent="0.25">
      <c r="B5" s="33"/>
      <c r="C5" s="32" t="s">
        <v>690</v>
      </c>
      <c r="D5" s="32">
        <f>COUNTIF($I$10:$I$405, C5)</f>
        <v>0</v>
      </c>
      <c r="E5" s="34">
        <f>ROUND(D5/$D$2,2)</f>
        <v>0</v>
      </c>
    </row>
    <row r="6" spans="2:14" s="32" customFormat="1" x14ac:dyDescent="0.25">
      <c r="B6" s="33"/>
      <c r="C6" s="32" t="s">
        <v>934</v>
      </c>
      <c r="D6" s="32">
        <f>COUNTIF($G$10:$G$405, "")</f>
        <v>0</v>
      </c>
      <c r="E6" s="34">
        <f>ROUND(D6/$D$2,2)</f>
        <v>0</v>
      </c>
    </row>
    <row r="8" spans="2:14" x14ac:dyDescent="0.25">
      <c r="K8" s="1">
        <v>239</v>
      </c>
    </row>
    <row r="9" spans="2:14" ht="25.5" x14ac:dyDescent="0.25">
      <c r="B9" s="5" t="s">
        <v>262</v>
      </c>
      <c r="C9" s="5" t="s">
        <v>97</v>
      </c>
      <c r="D9" s="5" t="s">
        <v>98</v>
      </c>
      <c r="E9" s="5" t="s">
        <v>296</v>
      </c>
      <c r="F9" s="5" t="s">
        <v>96</v>
      </c>
      <c r="G9" s="5" t="s">
        <v>931</v>
      </c>
      <c r="H9" s="5" t="s">
        <v>266</v>
      </c>
      <c r="I9" s="5" t="s">
        <v>669</v>
      </c>
      <c r="J9" s="5" t="s">
        <v>689</v>
      </c>
      <c r="K9" s="5" t="s">
        <v>708</v>
      </c>
      <c r="L9" s="5" t="s">
        <v>420</v>
      </c>
      <c r="M9" s="5" t="s">
        <v>421</v>
      </c>
      <c r="N9" s="5" t="s">
        <v>265</v>
      </c>
    </row>
    <row r="10" spans="2:14" x14ac:dyDescent="0.25">
      <c r="B10" s="2">
        <v>1</v>
      </c>
      <c r="C10" s="14" t="s">
        <v>441</v>
      </c>
      <c r="D10" s="2" t="s">
        <v>95</v>
      </c>
      <c r="E10" s="2" t="s">
        <v>95</v>
      </c>
      <c r="F10" s="2" t="s">
        <v>440</v>
      </c>
      <c r="G10" s="8" t="s">
        <v>936</v>
      </c>
      <c r="H10" s="8" t="s">
        <v>396</v>
      </c>
      <c r="I10" s="27" t="s">
        <v>693</v>
      </c>
      <c r="J10" s="8"/>
      <c r="K10" s="8"/>
      <c r="L10" s="8" t="s">
        <v>396</v>
      </c>
      <c r="M10" s="8" t="s">
        <v>396</v>
      </c>
      <c r="N10" s="2"/>
    </row>
    <row r="11" spans="2:14" x14ac:dyDescent="0.25">
      <c r="B11" s="2">
        <v>2</v>
      </c>
      <c r="C11" s="14" t="s">
        <v>441</v>
      </c>
      <c r="D11" s="2" t="s">
        <v>442</v>
      </c>
      <c r="E11" s="2" t="s">
        <v>442</v>
      </c>
      <c r="F11" s="28" t="s">
        <v>860</v>
      </c>
      <c r="G11" s="8" t="s">
        <v>936</v>
      </c>
      <c r="H11" s="8" t="s">
        <v>396</v>
      </c>
      <c r="I11" s="27" t="s">
        <v>693</v>
      </c>
      <c r="J11" s="8"/>
      <c r="K11" s="8"/>
      <c r="L11" s="8"/>
      <c r="M11" s="8"/>
      <c r="N11" s="2"/>
    </row>
    <row r="12" spans="2:14" x14ac:dyDescent="0.25">
      <c r="B12" s="2">
        <v>2</v>
      </c>
      <c r="C12" s="14" t="s">
        <v>441</v>
      </c>
      <c r="D12" s="2" t="s">
        <v>859</v>
      </c>
      <c r="E12" s="2" t="s">
        <v>859</v>
      </c>
      <c r="F12" s="28" t="s">
        <v>861</v>
      </c>
      <c r="G12" s="8" t="s">
        <v>936</v>
      </c>
      <c r="H12" s="8" t="s">
        <v>396</v>
      </c>
      <c r="I12" s="27" t="s">
        <v>693</v>
      </c>
      <c r="J12" s="8"/>
      <c r="K12" s="8"/>
      <c r="L12" s="8"/>
      <c r="M12" s="8"/>
      <c r="N12" s="2"/>
    </row>
    <row r="13" spans="2:14" x14ac:dyDescent="0.25">
      <c r="B13" s="2">
        <v>4</v>
      </c>
      <c r="C13" s="14" t="s">
        <v>94</v>
      </c>
      <c r="D13" s="14" t="s">
        <v>92</v>
      </c>
      <c r="E13" s="2" t="s">
        <v>5</v>
      </c>
      <c r="F13" s="14" t="s">
        <v>407</v>
      </c>
      <c r="G13" s="8" t="s">
        <v>936</v>
      </c>
      <c r="H13" s="8" t="s">
        <v>396</v>
      </c>
      <c r="I13" s="27" t="s">
        <v>693</v>
      </c>
      <c r="J13" s="8"/>
      <c r="K13" s="8" t="s">
        <v>396</v>
      </c>
      <c r="L13" s="8" t="s">
        <v>396</v>
      </c>
      <c r="M13" s="8" t="s">
        <v>396</v>
      </c>
      <c r="N13" s="2"/>
    </row>
    <row r="14" spans="2:14" x14ac:dyDescent="0.25">
      <c r="B14" s="2">
        <v>5</v>
      </c>
      <c r="C14" s="14" t="s">
        <v>94</v>
      </c>
      <c r="D14" s="2" t="s">
        <v>92</v>
      </c>
      <c r="E14" s="2" t="s">
        <v>4</v>
      </c>
      <c r="F14" s="14" t="s">
        <v>408</v>
      </c>
      <c r="G14" s="8" t="s">
        <v>936</v>
      </c>
      <c r="H14" s="8" t="s">
        <v>396</v>
      </c>
      <c r="I14" s="27" t="s">
        <v>693</v>
      </c>
      <c r="J14" s="8"/>
      <c r="K14" s="8" t="s">
        <v>396</v>
      </c>
      <c r="L14" s="8" t="s">
        <v>396</v>
      </c>
      <c r="M14" s="8" t="s">
        <v>396</v>
      </c>
      <c r="N14" s="2" t="s">
        <v>742</v>
      </c>
    </row>
    <row r="15" spans="2:14" x14ac:dyDescent="0.25">
      <c r="B15" s="2">
        <v>6</v>
      </c>
      <c r="C15" s="14" t="s">
        <v>94</v>
      </c>
      <c r="D15" s="2" t="s">
        <v>92</v>
      </c>
      <c r="E15" s="2" t="s">
        <v>3</v>
      </c>
      <c r="F15" s="14" t="s">
        <v>406</v>
      </c>
      <c r="G15" s="8" t="s">
        <v>936</v>
      </c>
      <c r="H15" s="8" t="s">
        <v>396</v>
      </c>
      <c r="I15" s="27" t="s">
        <v>693</v>
      </c>
      <c r="J15" s="8"/>
      <c r="K15" s="8" t="s">
        <v>396</v>
      </c>
      <c r="L15" s="8" t="s">
        <v>396</v>
      </c>
      <c r="M15" s="8" t="s">
        <v>396</v>
      </c>
      <c r="N15" s="2" t="s">
        <v>724</v>
      </c>
    </row>
    <row r="16" spans="2:14" x14ac:dyDescent="0.25">
      <c r="B16" s="2">
        <v>7</v>
      </c>
      <c r="C16" s="14" t="s">
        <v>94</v>
      </c>
      <c r="D16" s="2" t="s">
        <v>92</v>
      </c>
      <c r="E16" s="2" t="s">
        <v>2</v>
      </c>
      <c r="F16" s="14" t="s">
        <v>330</v>
      </c>
      <c r="G16" s="8" t="s">
        <v>936</v>
      </c>
      <c r="H16" s="8" t="s">
        <v>396</v>
      </c>
      <c r="I16" s="27" t="s">
        <v>693</v>
      </c>
      <c r="J16" s="8"/>
      <c r="K16" s="8" t="s">
        <v>396</v>
      </c>
      <c r="L16" s="8" t="s">
        <v>396</v>
      </c>
      <c r="M16" s="8" t="s">
        <v>396</v>
      </c>
      <c r="N16" s="2"/>
    </row>
    <row r="17" spans="2:14" x14ac:dyDescent="0.25">
      <c r="B17" s="2">
        <v>8</v>
      </c>
      <c r="C17" s="14" t="s">
        <v>94</v>
      </c>
      <c r="D17" s="2" t="s">
        <v>92</v>
      </c>
      <c r="E17" s="2" t="s">
        <v>1</v>
      </c>
      <c r="F17" s="14" t="s">
        <v>405</v>
      </c>
      <c r="G17" s="8" t="s">
        <v>936</v>
      </c>
      <c r="H17" s="8" t="s">
        <v>396</v>
      </c>
      <c r="I17" s="27" t="s">
        <v>693</v>
      </c>
      <c r="J17" s="8"/>
      <c r="K17" s="8" t="s">
        <v>396</v>
      </c>
      <c r="L17" s="8" t="s">
        <v>396</v>
      </c>
      <c r="M17" s="8" t="s">
        <v>396</v>
      </c>
      <c r="N17" s="2"/>
    </row>
    <row r="18" spans="2:14" x14ac:dyDescent="0.25">
      <c r="B18" s="2">
        <v>9</v>
      </c>
      <c r="C18" s="14" t="s">
        <v>94</v>
      </c>
      <c r="D18" s="2" t="s">
        <v>92</v>
      </c>
      <c r="E18" s="2" t="s">
        <v>0</v>
      </c>
      <c r="F18" s="14" t="s">
        <v>398</v>
      </c>
      <c r="G18" s="8" t="s">
        <v>936</v>
      </c>
      <c r="H18" s="8" t="s">
        <v>396</v>
      </c>
      <c r="I18" s="27" t="s">
        <v>693</v>
      </c>
      <c r="J18" s="11"/>
      <c r="K18" s="8" t="s">
        <v>396</v>
      </c>
      <c r="L18" s="8" t="s">
        <v>396</v>
      </c>
      <c r="M18" s="8" t="s">
        <v>396</v>
      </c>
      <c r="N18" s="2"/>
    </row>
    <row r="19" spans="2:14" x14ac:dyDescent="0.25">
      <c r="B19" s="2">
        <v>10</v>
      </c>
      <c r="C19" s="14" t="s">
        <v>94</v>
      </c>
      <c r="D19" s="2" t="s">
        <v>92</v>
      </c>
      <c r="E19" s="2" t="s">
        <v>397</v>
      </c>
      <c r="F19" s="28" t="s">
        <v>935</v>
      </c>
      <c r="G19" s="8" t="s">
        <v>936</v>
      </c>
      <c r="H19" s="8" t="s">
        <v>396</v>
      </c>
      <c r="I19" s="27" t="s">
        <v>693</v>
      </c>
      <c r="J19" s="8"/>
      <c r="K19" s="8"/>
      <c r="L19" s="8"/>
      <c r="M19" s="8"/>
      <c r="N19" s="2"/>
    </row>
    <row r="20" spans="2:14" x14ac:dyDescent="0.25">
      <c r="B20" s="2">
        <v>24</v>
      </c>
      <c r="C20" s="14" t="s">
        <v>94</v>
      </c>
      <c r="D20" s="14" t="s">
        <v>91</v>
      </c>
      <c r="E20" s="2" t="s">
        <v>5</v>
      </c>
      <c r="F20" s="14" t="s">
        <v>340</v>
      </c>
      <c r="G20" s="8" t="s">
        <v>936</v>
      </c>
      <c r="H20" s="8" t="s">
        <v>396</v>
      </c>
      <c r="I20" s="27" t="s">
        <v>693</v>
      </c>
      <c r="J20" s="8"/>
      <c r="K20" s="8" t="s">
        <v>396</v>
      </c>
      <c r="L20" s="8" t="s">
        <v>396</v>
      </c>
      <c r="M20" s="8" t="s">
        <v>396</v>
      </c>
      <c r="N20" s="2"/>
    </row>
    <row r="21" spans="2:14" x14ac:dyDescent="0.25">
      <c r="B21" s="2">
        <v>25</v>
      </c>
      <c r="C21" s="14" t="s">
        <v>94</v>
      </c>
      <c r="D21" s="2" t="s">
        <v>91</v>
      </c>
      <c r="E21" s="2" t="s">
        <v>4</v>
      </c>
      <c r="F21" s="14" t="s">
        <v>341</v>
      </c>
      <c r="G21" s="8" t="s">
        <v>936</v>
      </c>
      <c r="H21" s="8" t="s">
        <v>396</v>
      </c>
      <c r="I21" s="27" t="s">
        <v>693</v>
      </c>
      <c r="J21" s="8"/>
      <c r="K21" s="8" t="s">
        <v>396</v>
      </c>
      <c r="L21" s="8" t="s">
        <v>396</v>
      </c>
      <c r="M21" s="8" t="s">
        <v>396</v>
      </c>
      <c r="N21" s="2"/>
    </row>
    <row r="22" spans="2:14" x14ac:dyDescent="0.25">
      <c r="B22" s="2">
        <v>26</v>
      </c>
      <c r="C22" s="14" t="s">
        <v>94</v>
      </c>
      <c r="D22" s="2" t="s">
        <v>91</v>
      </c>
      <c r="E22" s="2" t="s">
        <v>3</v>
      </c>
      <c r="F22" s="14" t="s">
        <v>339</v>
      </c>
      <c r="G22" s="8" t="s">
        <v>936</v>
      </c>
      <c r="H22" s="8" t="s">
        <v>396</v>
      </c>
      <c r="I22" s="27" t="s">
        <v>693</v>
      </c>
      <c r="J22" s="8"/>
      <c r="K22" s="8" t="s">
        <v>396</v>
      </c>
      <c r="L22" s="8" t="s">
        <v>396</v>
      </c>
      <c r="M22" s="8" t="s">
        <v>396</v>
      </c>
      <c r="N22" s="2" t="s">
        <v>720</v>
      </c>
    </row>
    <row r="23" spans="2:14" x14ac:dyDescent="0.25">
      <c r="B23" s="2">
        <v>27</v>
      </c>
      <c r="C23" s="14" t="s">
        <v>94</v>
      </c>
      <c r="D23" s="2" t="s">
        <v>91</v>
      </c>
      <c r="E23" s="2" t="s">
        <v>2</v>
      </c>
      <c r="F23" s="14" t="s">
        <v>331</v>
      </c>
      <c r="G23" s="8" t="s">
        <v>936</v>
      </c>
      <c r="H23" s="8" t="s">
        <v>396</v>
      </c>
      <c r="I23" s="27" t="s">
        <v>693</v>
      </c>
      <c r="J23" s="8"/>
      <c r="K23" s="8" t="s">
        <v>396</v>
      </c>
      <c r="L23" s="8" t="s">
        <v>396</v>
      </c>
      <c r="M23" s="8" t="s">
        <v>396</v>
      </c>
      <c r="N23" s="8" t="s">
        <v>691</v>
      </c>
    </row>
    <row r="24" spans="2:14" x14ac:dyDescent="0.25">
      <c r="B24" s="2">
        <v>28</v>
      </c>
      <c r="C24" s="14" t="s">
        <v>94</v>
      </c>
      <c r="D24" s="2" t="s">
        <v>91</v>
      </c>
      <c r="E24" s="2" t="s">
        <v>1</v>
      </c>
      <c r="F24" s="14" t="s">
        <v>335</v>
      </c>
      <c r="G24" s="8" t="s">
        <v>936</v>
      </c>
      <c r="H24" s="8" t="s">
        <v>396</v>
      </c>
      <c r="I24" s="27" t="s">
        <v>693</v>
      </c>
      <c r="J24" s="8"/>
      <c r="K24" s="8" t="s">
        <v>396</v>
      </c>
      <c r="L24" s="8" t="s">
        <v>396</v>
      </c>
      <c r="M24" s="8" t="s">
        <v>396</v>
      </c>
      <c r="N24" s="8" t="s">
        <v>691</v>
      </c>
    </row>
    <row r="25" spans="2:14" x14ac:dyDescent="0.25">
      <c r="B25" s="2">
        <v>29</v>
      </c>
      <c r="C25" s="14" t="s">
        <v>94</v>
      </c>
      <c r="D25" s="2" t="s">
        <v>91</v>
      </c>
      <c r="E25" s="2" t="s">
        <v>0</v>
      </c>
      <c r="F25" s="14" t="s">
        <v>325</v>
      </c>
      <c r="G25" s="8" t="s">
        <v>936</v>
      </c>
      <c r="H25" s="8" t="s">
        <v>396</v>
      </c>
      <c r="I25" s="27" t="s">
        <v>693</v>
      </c>
      <c r="J25" s="11"/>
      <c r="K25" s="8" t="s">
        <v>396</v>
      </c>
      <c r="L25" s="8" t="s">
        <v>396</v>
      </c>
      <c r="M25" s="8" t="s">
        <v>396</v>
      </c>
      <c r="N25" s="2"/>
    </row>
    <row r="26" spans="2:14" x14ac:dyDescent="0.25">
      <c r="B26" s="2">
        <v>30</v>
      </c>
      <c r="C26" s="14" t="s">
        <v>94</v>
      </c>
      <c r="D26" s="14" t="s">
        <v>90</v>
      </c>
      <c r="E26" s="2" t="s">
        <v>5</v>
      </c>
      <c r="F26" s="17" t="s">
        <v>698</v>
      </c>
      <c r="G26" s="8" t="s">
        <v>936</v>
      </c>
      <c r="H26" s="8" t="s">
        <v>396</v>
      </c>
      <c r="I26" s="27" t="s">
        <v>693</v>
      </c>
      <c r="J26" s="8"/>
      <c r="K26" s="8" t="s">
        <v>396</v>
      </c>
      <c r="L26" s="8"/>
      <c r="M26" s="8" t="s">
        <v>396</v>
      </c>
      <c r="N26" s="2"/>
    </row>
    <row r="27" spans="2:14" x14ac:dyDescent="0.25">
      <c r="B27" s="2">
        <v>31</v>
      </c>
      <c r="C27" s="14" t="s">
        <v>94</v>
      </c>
      <c r="D27" s="2" t="s">
        <v>90</v>
      </c>
      <c r="E27" s="2" t="s">
        <v>4</v>
      </c>
      <c r="F27" s="17" t="s">
        <v>699</v>
      </c>
      <c r="G27" s="8" t="s">
        <v>936</v>
      </c>
      <c r="H27" s="8" t="s">
        <v>396</v>
      </c>
      <c r="I27" s="27" t="s">
        <v>693</v>
      </c>
      <c r="J27" s="8"/>
      <c r="K27" s="8" t="s">
        <v>396</v>
      </c>
      <c r="L27" s="8"/>
      <c r="M27" s="8" t="s">
        <v>396</v>
      </c>
      <c r="N27" s="2"/>
    </row>
    <row r="28" spans="2:14" x14ac:dyDescent="0.25">
      <c r="B28" s="2">
        <v>32</v>
      </c>
      <c r="C28" s="14" t="s">
        <v>94</v>
      </c>
      <c r="D28" s="2" t="s">
        <v>90</v>
      </c>
      <c r="E28" s="2" t="s">
        <v>3</v>
      </c>
      <c r="F28" s="14" t="s">
        <v>338</v>
      </c>
      <c r="G28" s="8" t="s">
        <v>936</v>
      </c>
      <c r="H28" s="8" t="s">
        <v>396</v>
      </c>
      <c r="I28" s="27" t="s">
        <v>693</v>
      </c>
      <c r="J28" s="8"/>
      <c r="K28" s="8" t="s">
        <v>396</v>
      </c>
      <c r="L28" s="8" t="s">
        <v>396</v>
      </c>
      <c r="M28" s="8" t="s">
        <v>396</v>
      </c>
      <c r="N28" s="2" t="s">
        <v>726</v>
      </c>
    </row>
    <row r="29" spans="2:14" x14ac:dyDescent="0.25">
      <c r="B29" s="2">
        <v>33</v>
      </c>
      <c r="C29" s="14" t="s">
        <v>94</v>
      </c>
      <c r="D29" s="2" t="s">
        <v>90</v>
      </c>
      <c r="E29" s="2" t="s">
        <v>2</v>
      </c>
      <c r="F29" s="14" t="s">
        <v>329</v>
      </c>
      <c r="G29" s="8" t="s">
        <v>936</v>
      </c>
      <c r="H29" s="8" t="s">
        <v>396</v>
      </c>
      <c r="I29" s="27" t="s">
        <v>693</v>
      </c>
      <c r="J29" s="8"/>
      <c r="K29" s="8" t="s">
        <v>396</v>
      </c>
      <c r="L29" s="8" t="s">
        <v>396</v>
      </c>
      <c r="M29" s="8" t="s">
        <v>396</v>
      </c>
      <c r="N29" s="8" t="s">
        <v>691</v>
      </c>
    </row>
    <row r="30" spans="2:14" x14ac:dyDescent="0.25">
      <c r="B30" s="2">
        <v>34</v>
      </c>
      <c r="C30" s="14" t="s">
        <v>94</v>
      </c>
      <c r="D30" s="2" t="s">
        <v>90</v>
      </c>
      <c r="E30" s="2" t="s">
        <v>1</v>
      </c>
      <c r="F30" s="14" t="s">
        <v>334</v>
      </c>
      <c r="G30" s="8" t="s">
        <v>936</v>
      </c>
      <c r="H30" s="8" t="s">
        <v>396</v>
      </c>
      <c r="I30" s="27" t="s">
        <v>693</v>
      </c>
      <c r="J30" s="8"/>
      <c r="K30" s="8" t="s">
        <v>396</v>
      </c>
      <c r="L30" s="8" t="s">
        <v>396</v>
      </c>
      <c r="M30" s="8" t="s">
        <v>396</v>
      </c>
      <c r="N30" s="11" t="s">
        <v>725</v>
      </c>
    </row>
    <row r="31" spans="2:14" x14ac:dyDescent="0.25">
      <c r="B31" s="2">
        <v>35</v>
      </c>
      <c r="C31" s="14" t="s">
        <v>94</v>
      </c>
      <c r="D31" s="2" t="s">
        <v>90</v>
      </c>
      <c r="E31" s="2" t="s">
        <v>0</v>
      </c>
      <c r="F31" s="14" t="s">
        <v>324</v>
      </c>
      <c r="G31" s="8" t="s">
        <v>936</v>
      </c>
      <c r="H31" s="8" t="s">
        <v>396</v>
      </c>
      <c r="I31" s="27" t="s">
        <v>693</v>
      </c>
      <c r="J31" s="11"/>
      <c r="K31" s="8" t="s">
        <v>396</v>
      </c>
      <c r="L31" s="8" t="s">
        <v>396</v>
      </c>
      <c r="M31" s="8" t="s">
        <v>396</v>
      </c>
      <c r="N31" s="2"/>
    </row>
    <row r="32" spans="2:14" x14ac:dyDescent="0.25">
      <c r="B32" s="2">
        <v>54</v>
      </c>
      <c r="C32" s="14" t="s">
        <v>94</v>
      </c>
      <c r="D32" s="14" t="s">
        <v>87</v>
      </c>
      <c r="E32" s="2" t="s">
        <v>5</v>
      </c>
      <c r="F32" s="14" t="s">
        <v>651</v>
      </c>
      <c r="G32" s="8" t="s">
        <v>936</v>
      </c>
      <c r="H32" s="8" t="s">
        <v>396</v>
      </c>
      <c r="I32" s="27" t="s">
        <v>693</v>
      </c>
      <c r="J32" s="8"/>
      <c r="K32" s="8" t="s">
        <v>396</v>
      </c>
      <c r="L32" s="8" t="s">
        <v>396</v>
      </c>
      <c r="M32" s="8" t="s">
        <v>396</v>
      </c>
      <c r="N32" s="2" t="s">
        <v>749</v>
      </c>
    </row>
    <row r="33" spans="2:14" x14ac:dyDescent="0.25">
      <c r="B33" s="2">
        <v>55</v>
      </c>
      <c r="C33" s="14" t="s">
        <v>94</v>
      </c>
      <c r="D33" s="2" t="s">
        <v>87</v>
      </c>
      <c r="E33" s="2" t="s">
        <v>4</v>
      </c>
      <c r="F33" s="14" t="s">
        <v>650</v>
      </c>
      <c r="G33" s="8" t="s">
        <v>936</v>
      </c>
      <c r="H33" s="8" t="s">
        <v>396</v>
      </c>
      <c r="I33" s="27" t="s">
        <v>693</v>
      </c>
      <c r="J33" s="8"/>
      <c r="K33" s="8" t="s">
        <v>396</v>
      </c>
      <c r="L33" s="8" t="s">
        <v>396</v>
      </c>
      <c r="M33" s="8" t="s">
        <v>396</v>
      </c>
      <c r="N33" s="2" t="s">
        <v>749</v>
      </c>
    </row>
    <row r="34" spans="2:14" x14ac:dyDescent="0.25">
      <c r="B34" s="2">
        <v>56</v>
      </c>
      <c r="C34" s="14" t="s">
        <v>94</v>
      </c>
      <c r="D34" s="2" t="s">
        <v>87</v>
      </c>
      <c r="E34" s="2" t="s">
        <v>3</v>
      </c>
      <c r="F34" s="14" t="s">
        <v>86</v>
      </c>
      <c r="G34" s="8" t="s">
        <v>936</v>
      </c>
      <c r="H34" s="8" t="s">
        <v>396</v>
      </c>
      <c r="I34" s="27" t="s">
        <v>693</v>
      </c>
      <c r="J34" s="8"/>
      <c r="K34" s="8" t="s">
        <v>396</v>
      </c>
      <c r="L34" s="8" t="s">
        <v>396</v>
      </c>
      <c r="M34" s="8" t="s">
        <v>396</v>
      </c>
      <c r="N34" s="2" t="s">
        <v>727</v>
      </c>
    </row>
    <row r="35" spans="2:14" x14ac:dyDescent="0.25">
      <c r="B35" s="2">
        <v>57</v>
      </c>
      <c r="C35" s="14" t="s">
        <v>94</v>
      </c>
      <c r="D35" s="2" t="s">
        <v>87</v>
      </c>
      <c r="E35" s="2" t="s">
        <v>2</v>
      </c>
      <c r="F35" s="14" t="s">
        <v>85</v>
      </c>
      <c r="G35" s="8" t="s">
        <v>936</v>
      </c>
      <c r="H35" s="8" t="s">
        <v>396</v>
      </c>
      <c r="I35" s="27" t="s">
        <v>693</v>
      </c>
      <c r="J35" s="8"/>
      <c r="K35" s="8" t="s">
        <v>396</v>
      </c>
      <c r="L35" s="8" t="s">
        <v>396</v>
      </c>
      <c r="M35" s="8" t="s">
        <v>396</v>
      </c>
      <c r="N35" s="2" t="s">
        <v>744</v>
      </c>
    </row>
    <row r="36" spans="2:14" x14ac:dyDescent="0.25">
      <c r="B36" s="2">
        <v>58</v>
      </c>
      <c r="C36" s="14" t="s">
        <v>94</v>
      </c>
      <c r="D36" s="2" t="s">
        <v>87</v>
      </c>
      <c r="E36" s="2" t="s">
        <v>1</v>
      </c>
      <c r="F36" s="14" t="s">
        <v>652</v>
      </c>
      <c r="G36" s="8" t="s">
        <v>936</v>
      </c>
      <c r="H36" s="8" t="s">
        <v>396</v>
      </c>
      <c r="I36" s="27" t="s">
        <v>693</v>
      </c>
      <c r="J36" s="8"/>
      <c r="K36" s="8" t="s">
        <v>396</v>
      </c>
      <c r="L36" s="8"/>
      <c r="M36" s="8" t="s">
        <v>396</v>
      </c>
      <c r="N36" s="11" t="s">
        <v>878</v>
      </c>
    </row>
    <row r="37" spans="2:14" x14ac:dyDescent="0.25">
      <c r="B37" s="2">
        <v>59</v>
      </c>
      <c r="C37" s="14" t="s">
        <v>94</v>
      </c>
      <c r="D37" s="2" t="s">
        <v>87</v>
      </c>
      <c r="E37" s="2" t="s">
        <v>0</v>
      </c>
      <c r="F37" s="14" t="s">
        <v>323</v>
      </c>
      <c r="G37" s="8" t="s">
        <v>936</v>
      </c>
      <c r="H37" s="8" t="s">
        <v>396</v>
      </c>
      <c r="I37" s="27" t="s">
        <v>693</v>
      </c>
      <c r="J37" s="11"/>
      <c r="K37" s="8" t="s">
        <v>396</v>
      </c>
      <c r="L37" s="8" t="s">
        <v>396</v>
      </c>
      <c r="M37" s="8" t="s">
        <v>396</v>
      </c>
      <c r="N37" s="2"/>
    </row>
    <row r="38" spans="2:14" x14ac:dyDescent="0.25">
      <c r="B38" s="2">
        <v>60</v>
      </c>
      <c r="C38" s="14" t="s">
        <v>94</v>
      </c>
      <c r="D38" s="2" t="s">
        <v>87</v>
      </c>
      <c r="E38" s="2" t="s">
        <v>83</v>
      </c>
      <c r="F38" s="28" t="s">
        <v>763</v>
      </c>
      <c r="G38" s="8" t="s">
        <v>936</v>
      </c>
      <c r="H38" s="8" t="s">
        <v>396</v>
      </c>
      <c r="I38" s="27" t="s">
        <v>693</v>
      </c>
      <c r="J38" s="8"/>
      <c r="K38" s="8"/>
      <c r="L38" s="8"/>
      <c r="M38" s="8"/>
      <c r="N38" s="2"/>
    </row>
    <row r="39" spans="2:14" x14ac:dyDescent="0.25">
      <c r="B39" s="2">
        <v>61</v>
      </c>
      <c r="C39" s="14" t="s">
        <v>94</v>
      </c>
      <c r="D39" s="14" t="s">
        <v>84</v>
      </c>
      <c r="E39" s="2" t="s">
        <v>5</v>
      </c>
      <c r="F39" s="14" t="s">
        <v>410</v>
      </c>
      <c r="G39" s="8" t="s">
        <v>936</v>
      </c>
      <c r="H39" s="8" t="s">
        <v>396</v>
      </c>
      <c r="I39" s="27" t="s">
        <v>693</v>
      </c>
      <c r="J39" s="8"/>
      <c r="K39" s="8" t="s">
        <v>396</v>
      </c>
      <c r="L39" s="8" t="s">
        <v>396</v>
      </c>
      <c r="M39" s="8" t="s">
        <v>396</v>
      </c>
      <c r="N39" s="2"/>
    </row>
    <row r="40" spans="2:14" x14ac:dyDescent="0.25">
      <c r="B40" s="2">
        <v>62</v>
      </c>
      <c r="C40" s="14" t="s">
        <v>94</v>
      </c>
      <c r="D40" s="2" t="s">
        <v>84</v>
      </c>
      <c r="E40" s="2" t="s">
        <v>4</v>
      </c>
      <c r="F40" s="14" t="s">
        <v>662</v>
      </c>
      <c r="G40" s="8" t="s">
        <v>936</v>
      </c>
      <c r="H40" s="8" t="s">
        <v>396</v>
      </c>
      <c r="I40" s="27" t="s">
        <v>693</v>
      </c>
      <c r="J40" s="8"/>
      <c r="K40" s="8" t="s">
        <v>396</v>
      </c>
      <c r="L40" s="8" t="s">
        <v>396</v>
      </c>
      <c r="M40" s="8" t="s">
        <v>396</v>
      </c>
      <c r="N40" s="2"/>
    </row>
    <row r="41" spans="2:14" x14ac:dyDescent="0.25">
      <c r="B41" s="2">
        <v>63</v>
      </c>
      <c r="C41" s="14" t="s">
        <v>94</v>
      </c>
      <c r="D41" s="2" t="s">
        <v>84</v>
      </c>
      <c r="E41" s="2" t="s">
        <v>3</v>
      </c>
      <c r="F41" s="14" t="s">
        <v>409</v>
      </c>
      <c r="G41" s="8" t="s">
        <v>936</v>
      </c>
      <c r="H41" s="8" t="s">
        <v>396</v>
      </c>
      <c r="I41" s="27" t="s">
        <v>693</v>
      </c>
      <c r="J41" s="8"/>
      <c r="K41" s="8" t="s">
        <v>396</v>
      </c>
      <c r="L41" s="8" t="s">
        <v>396</v>
      </c>
      <c r="M41" s="8" t="s">
        <v>396</v>
      </c>
      <c r="N41" s="2" t="s">
        <v>728</v>
      </c>
    </row>
    <row r="42" spans="2:14" x14ac:dyDescent="0.25">
      <c r="B42" s="2">
        <v>64</v>
      </c>
      <c r="C42" s="14" t="s">
        <v>94</v>
      </c>
      <c r="D42" s="2" t="s">
        <v>84</v>
      </c>
      <c r="E42" s="2" t="s">
        <v>2</v>
      </c>
      <c r="F42" s="14" t="s">
        <v>401</v>
      </c>
      <c r="G42" s="8" t="s">
        <v>936</v>
      </c>
      <c r="H42" s="8" t="s">
        <v>396</v>
      </c>
      <c r="I42" s="27" t="s">
        <v>693</v>
      </c>
      <c r="J42" s="8"/>
      <c r="K42" s="8" t="s">
        <v>396</v>
      </c>
      <c r="L42" s="8" t="s">
        <v>396</v>
      </c>
      <c r="M42" s="8" t="s">
        <v>396</v>
      </c>
      <c r="N42" s="2" t="s">
        <v>743</v>
      </c>
    </row>
    <row r="43" spans="2:14" x14ac:dyDescent="0.25">
      <c r="B43" s="2">
        <v>65</v>
      </c>
      <c r="C43" s="14" t="s">
        <v>94</v>
      </c>
      <c r="D43" s="2" t="s">
        <v>84</v>
      </c>
      <c r="E43" s="2" t="s">
        <v>1</v>
      </c>
      <c r="F43" s="14" t="s">
        <v>402</v>
      </c>
      <c r="G43" s="8" t="s">
        <v>936</v>
      </c>
      <c r="H43" s="8" t="s">
        <v>396</v>
      </c>
      <c r="I43" s="27" t="s">
        <v>693</v>
      </c>
      <c r="J43" s="8"/>
      <c r="K43" s="8" t="s">
        <v>396</v>
      </c>
      <c r="L43" s="8" t="s">
        <v>396</v>
      </c>
      <c r="M43" s="8" t="s">
        <v>396</v>
      </c>
      <c r="N43" s="2" t="s">
        <v>729</v>
      </c>
    </row>
    <row r="44" spans="2:14" x14ac:dyDescent="0.25">
      <c r="B44" s="2">
        <v>66</v>
      </c>
      <c r="C44" s="14" t="s">
        <v>94</v>
      </c>
      <c r="D44" s="2" t="s">
        <v>84</v>
      </c>
      <c r="E44" s="2" t="s">
        <v>0</v>
      </c>
      <c r="F44" s="14" t="s">
        <v>399</v>
      </c>
      <c r="G44" s="8" t="s">
        <v>936</v>
      </c>
      <c r="H44" s="8" t="s">
        <v>396</v>
      </c>
      <c r="I44" s="27" t="s">
        <v>693</v>
      </c>
      <c r="J44" s="11"/>
      <c r="K44" s="8" t="s">
        <v>396</v>
      </c>
      <c r="L44" s="8" t="s">
        <v>396</v>
      </c>
      <c r="M44" s="8" t="s">
        <v>396</v>
      </c>
      <c r="N44" s="2"/>
    </row>
    <row r="45" spans="2:14" x14ac:dyDescent="0.25">
      <c r="B45" s="2">
        <v>67</v>
      </c>
      <c r="C45" s="14" t="s">
        <v>94</v>
      </c>
      <c r="D45" s="2" t="s">
        <v>84</v>
      </c>
      <c r="E45" s="2" t="s">
        <v>83</v>
      </c>
      <c r="F45" s="28" t="s">
        <v>764</v>
      </c>
      <c r="G45" s="8" t="s">
        <v>936</v>
      </c>
      <c r="H45" s="8" t="s">
        <v>396</v>
      </c>
      <c r="I45" s="27" t="s">
        <v>693</v>
      </c>
      <c r="J45" s="11"/>
      <c r="K45" s="8"/>
      <c r="L45" s="8"/>
      <c r="M45" s="8" t="s">
        <v>396</v>
      </c>
      <c r="N45" s="2"/>
    </row>
    <row r="46" spans="2:14" x14ac:dyDescent="0.25">
      <c r="B46" s="2">
        <v>68</v>
      </c>
      <c r="C46" s="14" t="s">
        <v>94</v>
      </c>
      <c r="D46" s="14" t="s">
        <v>422</v>
      </c>
      <c r="E46" s="2" t="s">
        <v>5</v>
      </c>
      <c r="F46" s="28" t="s">
        <v>769</v>
      </c>
      <c r="G46" s="8" t="s">
        <v>936</v>
      </c>
      <c r="H46" s="8" t="s">
        <v>396</v>
      </c>
      <c r="I46" s="27" t="s">
        <v>693</v>
      </c>
      <c r="J46" s="8"/>
      <c r="K46" s="8"/>
      <c r="L46" s="8"/>
      <c r="M46" s="8" t="s">
        <v>396</v>
      </c>
      <c r="N46" s="2" t="s">
        <v>425</v>
      </c>
    </row>
    <row r="47" spans="2:14" x14ac:dyDescent="0.25">
      <c r="B47" s="2">
        <v>69</v>
      </c>
      <c r="C47" s="14" t="s">
        <v>94</v>
      </c>
      <c r="D47" s="2" t="s">
        <v>422</v>
      </c>
      <c r="E47" s="2" t="s">
        <v>4</v>
      </c>
      <c r="F47" s="28" t="s">
        <v>768</v>
      </c>
      <c r="G47" s="8" t="s">
        <v>936</v>
      </c>
      <c r="H47" s="8" t="s">
        <v>396</v>
      </c>
      <c r="I47" s="27" t="s">
        <v>693</v>
      </c>
      <c r="J47" s="8"/>
      <c r="K47" s="8"/>
      <c r="L47" s="8"/>
      <c r="M47" s="8" t="s">
        <v>396</v>
      </c>
      <c r="N47" s="11" t="s">
        <v>767</v>
      </c>
    </row>
    <row r="48" spans="2:14" x14ac:dyDescent="0.25">
      <c r="B48" s="2">
        <v>70</v>
      </c>
      <c r="C48" s="14" t="s">
        <v>94</v>
      </c>
      <c r="D48" s="2" t="s">
        <v>422</v>
      </c>
      <c r="E48" s="2" t="s">
        <v>3</v>
      </c>
      <c r="F48" s="28" t="s">
        <v>770</v>
      </c>
      <c r="G48" s="8" t="s">
        <v>936</v>
      </c>
      <c r="H48" s="8" t="s">
        <v>396</v>
      </c>
      <c r="I48" s="27" t="s">
        <v>693</v>
      </c>
      <c r="J48" s="2"/>
      <c r="K48" s="8"/>
      <c r="L48" s="8"/>
      <c r="M48" s="8" t="s">
        <v>396</v>
      </c>
      <c r="N48" s="2" t="s">
        <v>780</v>
      </c>
    </row>
    <row r="49" spans="2:14" x14ac:dyDescent="0.25">
      <c r="B49" s="2">
        <v>71</v>
      </c>
      <c r="C49" s="14" t="s">
        <v>94</v>
      </c>
      <c r="D49" s="2" t="s">
        <v>422</v>
      </c>
      <c r="E49" s="2" t="s">
        <v>2</v>
      </c>
      <c r="F49" s="28" t="s">
        <v>771</v>
      </c>
      <c r="G49" s="8" t="s">
        <v>936</v>
      </c>
      <c r="H49" s="8" t="s">
        <v>396</v>
      </c>
      <c r="I49" s="27" t="s">
        <v>693</v>
      </c>
      <c r="J49" s="2"/>
      <c r="K49" s="8"/>
      <c r="L49" s="8"/>
      <c r="M49" s="8" t="s">
        <v>396</v>
      </c>
      <c r="N49" s="11" t="s">
        <v>743</v>
      </c>
    </row>
    <row r="50" spans="2:14" x14ac:dyDescent="0.25">
      <c r="B50" s="2">
        <v>72</v>
      </c>
      <c r="C50" s="14" t="s">
        <v>94</v>
      </c>
      <c r="D50" s="2" t="s">
        <v>422</v>
      </c>
      <c r="E50" s="2" t="s">
        <v>1</v>
      </c>
      <c r="F50" s="28" t="s">
        <v>772</v>
      </c>
      <c r="G50" s="8" t="s">
        <v>936</v>
      </c>
      <c r="H50" s="8" t="s">
        <v>396</v>
      </c>
      <c r="I50" s="27" t="s">
        <v>693</v>
      </c>
      <c r="J50" s="2"/>
      <c r="K50" s="8"/>
      <c r="L50" s="8"/>
      <c r="M50" s="8" t="s">
        <v>396</v>
      </c>
      <c r="N50" s="11" t="s">
        <v>743</v>
      </c>
    </row>
    <row r="51" spans="2:14" x14ac:dyDescent="0.25">
      <c r="B51" s="2">
        <v>73</v>
      </c>
      <c r="C51" s="14" t="s">
        <v>94</v>
      </c>
      <c r="D51" s="2" t="s">
        <v>422</v>
      </c>
      <c r="E51" s="2" t="s">
        <v>0</v>
      </c>
      <c r="F51" s="28" t="s">
        <v>773</v>
      </c>
      <c r="G51" s="8" t="s">
        <v>936</v>
      </c>
      <c r="H51" s="8" t="s">
        <v>396</v>
      </c>
      <c r="I51" s="27" t="s">
        <v>693</v>
      </c>
      <c r="J51" s="8"/>
      <c r="K51" s="8"/>
      <c r="L51" s="8"/>
      <c r="M51" s="8" t="s">
        <v>396</v>
      </c>
      <c r="N51" s="2" t="s">
        <v>425</v>
      </c>
    </row>
    <row r="52" spans="2:14" x14ac:dyDescent="0.25">
      <c r="B52" s="2">
        <v>74</v>
      </c>
      <c r="C52" s="14" t="s">
        <v>94</v>
      </c>
      <c r="D52" s="2" t="s">
        <v>422</v>
      </c>
      <c r="E52" s="2" t="s">
        <v>426</v>
      </c>
      <c r="F52" s="28" t="s">
        <v>769</v>
      </c>
      <c r="G52" s="8" t="s">
        <v>936</v>
      </c>
      <c r="H52" s="8" t="s">
        <v>396</v>
      </c>
      <c r="I52" s="27" t="s">
        <v>693</v>
      </c>
      <c r="J52" s="8"/>
      <c r="K52" s="8"/>
      <c r="L52" s="8"/>
      <c r="M52" s="8"/>
      <c r="N52" s="2" t="s">
        <v>425</v>
      </c>
    </row>
    <row r="53" spans="2:14" x14ac:dyDescent="0.25">
      <c r="B53" s="2">
        <v>75</v>
      </c>
      <c r="C53" s="14" t="s">
        <v>94</v>
      </c>
      <c r="D53" s="2" t="s">
        <v>422</v>
      </c>
      <c r="E53" s="2" t="s">
        <v>427</v>
      </c>
      <c r="F53" s="28" t="s">
        <v>768</v>
      </c>
      <c r="G53" s="8" t="s">
        <v>936</v>
      </c>
      <c r="H53" s="8" t="s">
        <v>396</v>
      </c>
      <c r="I53" s="27" t="s">
        <v>693</v>
      </c>
      <c r="J53" s="8"/>
      <c r="K53" s="8"/>
      <c r="L53" s="8"/>
      <c r="M53" s="8"/>
      <c r="N53" s="2" t="s">
        <v>425</v>
      </c>
    </row>
    <row r="54" spans="2:14" x14ac:dyDescent="0.25">
      <c r="B54" s="2">
        <v>76</v>
      </c>
      <c r="C54" s="14" t="s">
        <v>94</v>
      </c>
      <c r="D54" s="2" t="s">
        <v>422</v>
      </c>
      <c r="E54" s="2" t="s">
        <v>428</v>
      </c>
      <c r="F54" s="28" t="s">
        <v>768</v>
      </c>
      <c r="G54" s="8" t="s">
        <v>936</v>
      </c>
      <c r="H54" s="8" t="s">
        <v>396</v>
      </c>
      <c r="I54" s="27" t="s">
        <v>693</v>
      </c>
      <c r="J54" s="8"/>
      <c r="K54" s="8"/>
      <c r="L54" s="8"/>
      <c r="M54" s="8"/>
      <c r="N54" s="2" t="s">
        <v>425</v>
      </c>
    </row>
    <row r="55" spans="2:14" x14ac:dyDescent="0.25">
      <c r="B55" s="2">
        <v>77</v>
      </c>
      <c r="C55" s="14" t="s">
        <v>94</v>
      </c>
      <c r="D55" s="14" t="s">
        <v>423</v>
      </c>
      <c r="E55" s="2" t="s">
        <v>430</v>
      </c>
      <c r="F55" s="28" t="s">
        <v>784</v>
      </c>
      <c r="G55" s="8" t="s">
        <v>936</v>
      </c>
      <c r="H55" s="8" t="s">
        <v>396</v>
      </c>
      <c r="I55" s="27" t="s">
        <v>693</v>
      </c>
      <c r="J55" s="8"/>
      <c r="K55" s="8"/>
      <c r="L55" s="8"/>
      <c r="M55" s="8"/>
      <c r="N55" s="2" t="s">
        <v>429</v>
      </c>
    </row>
    <row r="56" spans="2:14" x14ac:dyDescent="0.25">
      <c r="B56" s="2">
        <v>80</v>
      </c>
      <c r="C56" s="14" t="s">
        <v>94</v>
      </c>
      <c r="D56" s="2" t="s">
        <v>423</v>
      </c>
      <c r="E56" s="16" t="s">
        <v>3</v>
      </c>
      <c r="F56" s="14" t="s">
        <v>337</v>
      </c>
      <c r="G56" s="8" t="s">
        <v>936</v>
      </c>
      <c r="H56" s="8" t="s">
        <v>396</v>
      </c>
      <c r="I56" s="27" t="s">
        <v>693</v>
      </c>
      <c r="J56" s="15"/>
      <c r="K56" s="8" t="s">
        <v>396</v>
      </c>
      <c r="L56" s="8" t="s">
        <v>396</v>
      </c>
      <c r="M56" s="8" t="s">
        <v>396</v>
      </c>
      <c r="N56" s="15" t="s">
        <v>792</v>
      </c>
    </row>
    <row r="57" spans="2:14" x14ac:dyDescent="0.25">
      <c r="B57" s="2">
        <v>81</v>
      </c>
      <c r="C57" s="14" t="s">
        <v>94</v>
      </c>
      <c r="D57" s="2" t="s">
        <v>423</v>
      </c>
      <c r="E57" s="16" t="s">
        <v>431</v>
      </c>
      <c r="F57" s="14" t="s">
        <v>332</v>
      </c>
      <c r="G57" s="8" t="s">
        <v>936</v>
      </c>
      <c r="H57" s="8" t="s">
        <v>396</v>
      </c>
      <c r="I57" s="27" t="s">
        <v>693</v>
      </c>
      <c r="J57" s="2"/>
      <c r="K57" s="8" t="s">
        <v>396</v>
      </c>
      <c r="L57" s="8" t="s">
        <v>396</v>
      </c>
      <c r="M57" s="8" t="s">
        <v>396</v>
      </c>
      <c r="N57" s="2" t="s">
        <v>743</v>
      </c>
    </row>
    <row r="58" spans="2:14" x14ac:dyDescent="0.25">
      <c r="B58" s="2">
        <v>83</v>
      </c>
      <c r="C58" s="14" t="s">
        <v>94</v>
      </c>
      <c r="D58" s="2" t="s">
        <v>423</v>
      </c>
      <c r="E58" s="16" t="s">
        <v>0</v>
      </c>
      <c r="F58" s="14" t="s">
        <v>326</v>
      </c>
      <c r="G58" s="8" t="s">
        <v>936</v>
      </c>
      <c r="H58" s="8" t="s">
        <v>396</v>
      </c>
      <c r="I58" s="27" t="s">
        <v>693</v>
      </c>
      <c r="J58" s="11"/>
      <c r="K58" s="8" t="s">
        <v>396</v>
      </c>
      <c r="L58" s="8" t="s">
        <v>396</v>
      </c>
      <c r="M58" s="8" t="s">
        <v>396</v>
      </c>
      <c r="N58" s="2" t="s">
        <v>429</v>
      </c>
    </row>
    <row r="59" spans="2:14" x14ac:dyDescent="0.25">
      <c r="B59" s="2">
        <v>84</v>
      </c>
      <c r="C59" s="14" t="s">
        <v>94</v>
      </c>
      <c r="D59" s="14" t="s">
        <v>424</v>
      </c>
      <c r="E59" s="16" t="s">
        <v>5</v>
      </c>
      <c r="F59" s="28" t="s">
        <v>782</v>
      </c>
      <c r="G59" s="8" t="s">
        <v>936</v>
      </c>
      <c r="H59" s="8" t="s">
        <v>396</v>
      </c>
      <c r="I59" s="27" t="s">
        <v>693</v>
      </c>
      <c r="J59" s="8"/>
      <c r="K59" s="8"/>
      <c r="L59" s="8"/>
      <c r="M59" s="8" t="s">
        <v>396</v>
      </c>
      <c r="N59" s="2" t="s">
        <v>435</v>
      </c>
    </row>
    <row r="60" spans="2:14" x14ac:dyDescent="0.25">
      <c r="B60" s="2">
        <v>85</v>
      </c>
      <c r="C60" s="14" t="s">
        <v>94</v>
      </c>
      <c r="D60" s="2" t="s">
        <v>424</v>
      </c>
      <c r="E60" s="16" t="s">
        <v>4</v>
      </c>
      <c r="F60" s="28" t="s">
        <v>783</v>
      </c>
      <c r="G60" s="8" t="s">
        <v>936</v>
      </c>
      <c r="H60" s="8" t="s">
        <v>396</v>
      </c>
      <c r="I60" s="27" t="s">
        <v>693</v>
      </c>
      <c r="J60" s="8"/>
      <c r="K60" s="8"/>
      <c r="L60" s="8"/>
      <c r="M60" s="8" t="s">
        <v>396</v>
      </c>
      <c r="N60" s="2" t="s">
        <v>435</v>
      </c>
    </row>
    <row r="61" spans="2:14" x14ac:dyDescent="0.25">
      <c r="B61" s="2">
        <v>86</v>
      </c>
      <c r="C61" s="14" t="s">
        <v>94</v>
      </c>
      <c r="D61" s="2" t="s">
        <v>424</v>
      </c>
      <c r="E61" s="16" t="s">
        <v>3</v>
      </c>
      <c r="F61" s="28" t="s">
        <v>774</v>
      </c>
      <c r="G61" s="8" t="s">
        <v>936</v>
      </c>
      <c r="H61" s="8" t="s">
        <v>396</v>
      </c>
      <c r="I61" s="27" t="s">
        <v>693</v>
      </c>
      <c r="J61" s="8"/>
      <c r="K61" s="8"/>
      <c r="L61" s="8"/>
      <c r="M61" s="8" t="s">
        <v>396</v>
      </c>
      <c r="N61" s="15" t="s">
        <v>791</v>
      </c>
    </row>
    <row r="62" spans="2:14" x14ac:dyDescent="0.25">
      <c r="B62" s="2">
        <v>87</v>
      </c>
      <c r="C62" s="14" t="s">
        <v>94</v>
      </c>
      <c r="D62" s="2" t="s">
        <v>424</v>
      </c>
      <c r="E62" s="16" t="s">
        <v>432</v>
      </c>
      <c r="F62" s="28" t="s">
        <v>781</v>
      </c>
      <c r="G62" s="8" t="s">
        <v>936</v>
      </c>
      <c r="H62" s="8" t="s">
        <v>396</v>
      </c>
      <c r="I62" s="27" t="s">
        <v>693</v>
      </c>
      <c r="J62" s="8"/>
      <c r="K62" s="8"/>
      <c r="L62" s="8"/>
      <c r="M62" s="8" t="s">
        <v>396</v>
      </c>
      <c r="N62" s="2" t="s">
        <v>743</v>
      </c>
    </row>
    <row r="63" spans="2:14" x14ac:dyDescent="0.25">
      <c r="B63" s="2">
        <v>88</v>
      </c>
      <c r="C63" s="14" t="s">
        <v>94</v>
      </c>
      <c r="D63" s="2" t="s">
        <v>424</v>
      </c>
      <c r="E63" s="16" t="s">
        <v>1</v>
      </c>
      <c r="F63" s="28" t="s">
        <v>775</v>
      </c>
      <c r="G63" s="8" t="s">
        <v>936</v>
      </c>
      <c r="H63" s="8" t="s">
        <v>396</v>
      </c>
      <c r="I63" s="27" t="s">
        <v>693</v>
      </c>
      <c r="J63" s="8"/>
      <c r="K63" s="8"/>
      <c r="L63" s="8"/>
      <c r="M63" s="8" t="s">
        <v>396</v>
      </c>
      <c r="N63" s="2" t="s">
        <v>743</v>
      </c>
    </row>
    <row r="64" spans="2:14" x14ac:dyDescent="0.25">
      <c r="B64" s="2">
        <v>89</v>
      </c>
      <c r="C64" s="14" t="s">
        <v>94</v>
      </c>
      <c r="D64" s="2" t="s">
        <v>424</v>
      </c>
      <c r="E64" s="16" t="s">
        <v>0</v>
      </c>
      <c r="F64" s="28" t="s">
        <v>776</v>
      </c>
      <c r="G64" s="8" t="s">
        <v>936</v>
      </c>
      <c r="H64" s="8" t="s">
        <v>396</v>
      </c>
      <c r="I64" s="27" t="s">
        <v>693</v>
      </c>
      <c r="J64" s="8"/>
      <c r="K64" s="8"/>
      <c r="L64" s="8"/>
      <c r="M64" s="8" t="s">
        <v>396</v>
      </c>
      <c r="N64" s="2" t="s">
        <v>435</v>
      </c>
    </row>
    <row r="65" spans="2:14" x14ac:dyDescent="0.25">
      <c r="B65" s="2">
        <v>90</v>
      </c>
      <c r="C65" s="14" t="s">
        <v>94</v>
      </c>
      <c r="D65" s="2" t="s">
        <v>424</v>
      </c>
      <c r="E65" s="2" t="s">
        <v>433</v>
      </c>
      <c r="F65" s="28" t="s">
        <v>785</v>
      </c>
      <c r="G65" s="8" t="s">
        <v>936</v>
      </c>
      <c r="H65" s="8" t="s">
        <v>396</v>
      </c>
      <c r="I65" s="27" t="s">
        <v>693</v>
      </c>
      <c r="J65" s="8"/>
      <c r="K65" s="8"/>
      <c r="L65" s="8"/>
      <c r="M65" s="8"/>
      <c r="N65" s="2" t="s">
        <v>435</v>
      </c>
    </row>
    <row r="66" spans="2:14" x14ac:dyDescent="0.25">
      <c r="B66" s="2">
        <v>91</v>
      </c>
      <c r="C66" s="14" t="s">
        <v>94</v>
      </c>
      <c r="D66" s="2" t="s">
        <v>424</v>
      </c>
      <c r="E66" s="2" t="s">
        <v>434</v>
      </c>
      <c r="F66" s="28" t="s">
        <v>787</v>
      </c>
      <c r="G66" s="8" t="s">
        <v>936</v>
      </c>
      <c r="H66" s="8" t="s">
        <v>396</v>
      </c>
      <c r="I66" s="27" t="s">
        <v>693</v>
      </c>
      <c r="J66" s="8"/>
      <c r="K66" s="8"/>
      <c r="L66" s="8"/>
      <c r="M66" s="8"/>
      <c r="N66" s="2" t="s">
        <v>435</v>
      </c>
    </row>
    <row r="67" spans="2:14" x14ac:dyDescent="0.25">
      <c r="B67" s="2">
        <v>92</v>
      </c>
      <c r="C67" s="14" t="s">
        <v>94</v>
      </c>
      <c r="D67" s="14" t="s">
        <v>436</v>
      </c>
      <c r="E67" s="16" t="s">
        <v>5</v>
      </c>
      <c r="F67" s="28" t="s">
        <v>790</v>
      </c>
      <c r="G67" s="8" t="s">
        <v>936</v>
      </c>
      <c r="H67" s="8" t="s">
        <v>396</v>
      </c>
      <c r="I67" s="27" t="s">
        <v>693</v>
      </c>
      <c r="J67" s="8"/>
      <c r="K67" s="8"/>
      <c r="L67" s="8"/>
      <c r="M67" s="8" t="s">
        <v>396</v>
      </c>
      <c r="N67" s="2" t="s">
        <v>438</v>
      </c>
    </row>
    <row r="68" spans="2:14" x14ac:dyDescent="0.25">
      <c r="B68" s="2">
        <v>93</v>
      </c>
      <c r="C68" s="14" t="s">
        <v>94</v>
      </c>
      <c r="D68" s="14" t="s">
        <v>436</v>
      </c>
      <c r="E68" s="16" t="s">
        <v>4</v>
      </c>
      <c r="F68" s="28" t="s">
        <v>788</v>
      </c>
      <c r="G68" s="8" t="s">
        <v>936</v>
      </c>
      <c r="H68" s="8" t="s">
        <v>396</v>
      </c>
      <c r="I68" s="27" t="s">
        <v>693</v>
      </c>
      <c r="J68" s="8"/>
      <c r="K68" s="8"/>
      <c r="L68" s="8"/>
      <c r="M68" s="8" t="s">
        <v>396</v>
      </c>
      <c r="N68" s="2" t="s">
        <v>438</v>
      </c>
    </row>
    <row r="69" spans="2:14" x14ac:dyDescent="0.25">
      <c r="B69" s="2">
        <v>94</v>
      </c>
      <c r="C69" s="14" t="s">
        <v>94</v>
      </c>
      <c r="D69" s="2" t="s">
        <v>436</v>
      </c>
      <c r="E69" s="16" t="s">
        <v>3</v>
      </c>
      <c r="F69" s="28" t="s">
        <v>777</v>
      </c>
      <c r="G69" s="8" t="s">
        <v>936</v>
      </c>
      <c r="H69" s="8" t="s">
        <v>396</v>
      </c>
      <c r="I69" s="27" t="s">
        <v>693</v>
      </c>
      <c r="J69" s="8"/>
      <c r="K69" s="8"/>
      <c r="L69" s="8"/>
      <c r="M69" s="8" t="s">
        <v>396</v>
      </c>
      <c r="N69" s="2" t="s">
        <v>793</v>
      </c>
    </row>
    <row r="70" spans="2:14" x14ac:dyDescent="0.25">
      <c r="B70" s="2">
        <v>95</v>
      </c>
      <c r="C70" s="14" t="s">
        <v>94</v>
      </c>
      <c r="D70" s="2" t="s">
        <v>436</v>
      </c>
      <c r="E70" s="16" t="s">
        <v>2</v>
      </c>
      <c r="F70" s="28" t="s">
        <v>778</v>
      </c>
      <c r="G70" s="8" t="s">
        <v>936</v>
      </c>
      <c r="H70" s="8" t="s">
        <v>396</v>
      </c>
      <c r="I70" s="27" t="s">
        <v>693</v>
      </c>
      <c r="J70" s="8"/>
      <c r="K70" s="8"/>
      <c r="L70" s="8"/>
      <c r="M70" s="8" t="s">
        <v>396</v>
      </c>
      <c r="N70" s="2" t="s">
        <v>743</v>
      </c>
    </row>
    <row r="71" spans="2:14" x14ac:dyDescent="0.25">
      <c r="B71" s="2">
        <v>96</v>
      </c>
      <c r="C71" s="14" t="s">
        <v>94</v>
      </c>
      <c r="D71" s="2" t="s">
        <v>436</v>
      </c>
      <c r="E71" s="16" t="s">
        <v>1</v>
      </c>
      <c r="F71" s="28" t="s">
        <v>779</v>
      </c>
      <c r="G71" s="8" t="s">
        <v>936</v>
      </c>
      <c r="H71" s="8" t="s">
        <v>396</v>
      </c>
      <c r="I71" s="27" t="s">
        <v>693</v>
      </c>
      <c r="J71" s="2"/>
      <c r="K71" s="8"/>
      <c r="L71" s="8"/>
      <c r="M71" s="8" t="s">
        <v>396</v>
      </c>
      <c r="N71" s="2" t="s">
        <v>743</v>
      </c>
    </row>
    <row r="72" spans="2:14" x14ac:dyDescent="0.25">
      <c r="B72" s="2">
        <v>97</v>
      </c>
      <c r="C72" s="14" t="s">
        <v>94</v>
      </c>
      <c r="D72" s="2" t="s">
        <v>436</v>
      </c>
      <c r="E72" s="16" t="s">
        <v>0</v>
      </c>
      <c r="F72" s="28" t="s">
        <v>789</v>
      </c>
      <c r="G72" s="8" t="s">
        <v>936</v>
      </c>
      <c r="H72" s="8" t="s">
        <v>396</v>
      </c>
      <c r="I72" s="27" t="s">
        <v>693</v>
      </c>
      <c r="J72" s="8"/>
      <c r="K72" s="8"/>
      <c r="L72" s="8"/>
      <c r="M72" s="8" t="s">
        <v>396</v>
      </c>
      <c r="N72" s="2" t="s">
        <v>438</v>
      </c>
    </row>
    <row r="73" spans="2:14" x14ac:dyDescent="0.25">
      <c r="B73" s="2">
        <v>98</v>
      </c>
      <c r="C73" s="14" t="s">
        <v>94</v>
      </c>
      <c r="D73" s="2" t="s">
        <v>436</v>
      </c>
      <c r="E73" s="2" t="s">
        <v>437</v>
      </c>
      <c r="F73" s="28" t="s">
        <v>788</v>
      </c>
      <c r="G73" s="8" t="s">
        <v>936</v>
      </c>
      <c r="H73" s="8" t="s">
        <v>396</v>
      </c>
      <c r="I73" s="27" t="s">
        <v>693</v>
      </c>
      <c r="J73" s="8"/>
      <c r="K73" s="8"/>
      <c r="L73" s="8"/>
      <c r="M73" s="8"/>
      <c r="N73" s="2" t="s">
        <v>438</v>
      </c>
    </row>
    <row r="74" spans="2:14" x14ac:dyDescent="0.25">
      <c r="B74" s="2">
        <v>99</v>
      </c>
      <c r="C74" s="14" t="s">
        <v>94</v>
      </c>
      <c r="D74" s="14" t="s">
        <v>82</v>
      </c>
      <c r="E74" s="2" t="s">
        <v>5</v>
      </c>
      <c r="F74" s="14" t="s">
        <v>412</v>
      </c>
      <c r="G74" s="8" t="s">
        <v>936</v>
      </c>
      <c r="H74" s="8" t="s">
        <v>396</v>
      </c>
      <c r="I74" s="27" t="s">
        <v>693</v>
      </c>
      <c r="J74" s="8"/>
      <c r="K74" s="8" t="s">
        <v>396</v>
      </c>
      <c r="L74" s="8" t="s">
        <v>396</v>
      </c>
      <c r="M74" s="8" t="s">
        <v>396</v>
      </c>
      <c r="N74" s="2"/>
    </row>
    <row r="75" spans="2:14" x14ac:dyDescent="0.25">
      <c r="B75" s="2">
        <v>100</v>
      </c>
      <c r="C75" s="14" t="s">
        <v>94</v>
      </c>
      <c r="D75" s="2" t="s">
        <v>82</v>
      </c>
      <c r="E75" s="2" t="s">
        <v>4</v>
      </c>
      <c r="F75" s="14" t="s">
        <v>663</v>
      </c>
      <c r="G75" s="8" t="s">
        <v>936</v>
      </c>
      <c r="H75" s="8" t="s">
        <v>396</v>
      </c>
      <c r="I75" s="27" t="s">
        <v>693</v>
      </c>
      <c r="J75" s="8"/>
      <c r="K75" s="8" t="s">
        <v>396</v>
      </c>
      <c r="L75" s="8" t="s">
        <v>396</v>
      </c>
      <c r="M75" s="8" t="s">
        <v>396</v>
      </c>
      <c r="N75" s="2"/>
    </row>
    <row r="76" spans="2:14" x14ac:dyDescent="0.25">
      <c r="B76" s="2">
        <v>101</v>
      </c>
      <c r="C76" s="14" t="s">
        <v>94</v>
      </c>
      <c r="D76" s="2" t="s">
        <v>82</v>
      </c>
      <c r="E76" s="2" t="s">
        <v>3</v>
      </c>
      <c r="F76" s="14" t="s">
        <v>411</v>
      </c>
      <c r="G76" s="8" t="s">
        <v>936</v>
      </c>
      <c r="H76" s="8" t="s">
        <v>396</v>
      </c>
      <c r="I76" s="27" t="s">
        <v>693</v>
      </c>
      <c r="J76" s="8"/>
      <c r="K76" s="8" t="s">
        <v>396</v>
      </c>
      <c r="L76" s="8" t="s">
        <v>396</v>
      </c>
      <c r="M76" s="8" t="s">
        <v>396</v>
      </c>
      <c r="N76" s="11" t="s">
        <v>834</v>
      </c>
    </row>
    <row r="77" spans="2:14" x14ac:dyDescent="0.25">
      <c r="B77" s="2">
        <v>102</v>
      </c>
      <c r="C77" s="14" t="s">
        <v>94</v>
      </c>
      <c r="D77" s="2" t="s">
        <v>82</v>
      </c>
      <c r="E77" s="2" t="s">
        <v>2</v>
      </c>
      <c r="F77" s="14" t="s">
        <v>403</v>
      </c>
      <c r="G77" s="8" t="s">
        <v>936</v>
      </c>
      <c r="H77" s="8" t="s">
        <v>396</v>
      </c>
      <c r="I77" s="27" t="s">
        <v>693</v>
      </c>
      <c r="J77" s="8"/>
      <c r="K77" s="8" t="s">
        <v>396</v>
      </c>
      <c r="L77" s="8" t="s">
        <v>396</v>
      </c>
      <c r="M77" s="8" t="s">
        <v>396</v>
      </c>
      <c r="N77" s="2" t="s">
        <v>887</v>
      </c>
    </row>
    <row r="78" spans="2:14" x14ac:dyDescent="0.25">
      <c r="B78" s="2">
        <v>103</v>
      </c>
      <c r="C78" s="14" t="s">
        <v>94</v>
      </c>
      <c r="D78" s="2" t="s">
        <v>82</v>
      </c>
      <c r="E78" s="2" t="s">
        <v>1</v>
      </c>
      <c r="F78" s="14" t="s">
        <v>404</v>
      </c>
      <c r="G78" s="8" t="s">
        <v>936</v>
      </c>
      <c r="H78" s="8" t="s">
        <v>396</v>
      </c>
      <c r="I78" s="27" t="s">
        <v>693</v>
      </c>
      <c r="J78" s="8"/>
      <c r="K78" s="8" t="s">
        <v>396</v>
      </c>
      <c r="L78" s="8" t="s">
        <v>396</v>
      </c>
      <c r="M78" s="8" t="s">
        <v>396</v>
      </c>
      <c r="N78" s="2" t="s">
        <v>886</v>
      </c>
    </row>
    <row r="79" spans="2:14" x14ac:dyDescent="0.25">
      <c r="B79" s="2">
        <v>104</v>
      </c>
      <c r="C79" s="14" t="s">
        <v>94</v>
      </c>
      <c r="D79" s="2" t="s">
        <v>82</v>
      </c>
      <c r="E79" s="2" t="s">
        <v>0</v>
      </c>
      <c r="F79" s="14" t="s">
        <v>400</v>
      </c>
      <c r="G79" s="8" t="s">
        <v>936</v>
      </c>
      <c r="H79" s="8" t="s">
        <v>396</v>
      </c>
      <c r="I79" s="27" t="s">
        <v>693</v>
      </c>
      <c r="J79" s="11"/>
      <c r="K79" s="8" t="s">
        <v>396</v>
      </c>
      <c r="L79" s="8" t="s">
        <v>396</v>
      </c>
      <c r="M79" s="8" t="s">
        <v>396</v>
      </c>
      <c r="N79" s="2"/>
    </row>
    <row r="80" spans="2:14" x14ac:dyDescent="0.25">
      <c r="B80" s="2">
        <v>105</v>
      </c>
      <c r="C80" s="14" t="s">
        <v>94</v>
      </c>
      <c r="D80" s="2" t="s">
        <v>82</v>
      </c>
      <c r="E80" s="2" t="s">
        <v>81</v>
      </c>
      <c r="F80" s="28" t="s">
        <v>829</v>
      </c>
      <c r="G80" s="8" t="s">
        <v>936</v>
      </c>
      <c r="H80" s="8" t="s">
        <v>396</v>
      </c>
      <c r="I80" s="27" t="s">
        <v>693</v>
      </c>
      <c r="J80" s="8"/>
      <c r="K80" s="8"/>
      <c r="L80" s="8"/>
      <c r="M80" s="8"/>
      <c r="N80" s="2"/>
    </row>
    <row r="81" spans="2:14" x14ac:dyDescent="0.25">
      <c r="B81" s="2">
        <v>106</v>
      </c>
      <c r="C81" s="14" t="s">
        <v>94</v>
      </c>
      <c r="D81" s="2" t="s">
        <v>82</v>
      </c>
      <c r="E81" s="2" t="s">
        <v>80</v>
      </c>
      <c r="F81" s="14"/>
      <c r="G81" s="35" t="s">
        <v>262</v>
      </c>
      <c r="H81" s="8"/>
      <c r="I81" s="8"/>
      <c r="J81" s="8"/>
      <c r="K81" s="8"/>
      <c r="L81" s="8"/>
      <c r="M81" s="8"/>
      <c r="N81" s="2"/>
    </row>
    <row r="82" spans="2:14" x14ac:dyDescent="0.25">
      <c r="B82" s="2">
        <v>107</v>
      </c>
      <c r="C82" s="14" t="s">
        <v>94</v>
      </c>
      <c r="D82" s="2" t="s">
        <v>82</v>
      </c>
      <c r="E82" s="2" t="s">
        <v>439</v>
      </c>
      <c r="F82" s="28" t="s">
        <v>830</v>
      </c>
      <c r="G82" s="8" t="s">
        <v>936</v>
      </c>
      <c r="H82" s="8" t="s">
        <v>396</v>
      </c>
      <c r="I82" s="27" t="s">
        <v>693</v>
      </c>
      <c r="J82" s="8"/>
      <c r="K82" s="8"/>
      <c r="L82" s="8"/>
      <c r="M82" s="8"/>
      <c r="N82" s="2"/>
    </row>
    <row r="83" spans="2:14" x14ac:dyDescent="0.25">
      <c r="B83" s="2">
        <v>108</v>
      </c>
      <c r="C83" s="14" t="s">
        <v>94</v>
      </c>
      <c r="D83" s="2" t="s">
        <v>82</v>
      </c>
      <c r="E83" s="2" t="s">
        <v>79</v>
      </c>
      <c r="F83" s="28" t="s">
        <v>831</v>
      </c>
      <c r="G83" s="8" t="s">
        <v>936</v>
      </c>
      <c r="H83" s="8" t="s">
        <v>396</v>
      </c>
      <c r="I83" s="27" t="s">
        <v>693</v>
      </c>
      <c r="J83" s="8"/>
      <c r="K83" s="8"/>
      <c r="L83" s="8"/>
      <c r="M83" s="8"/>
      <c r="N83" s="2"/>
    </row>
    <row r="84" spans="2:14" x14ac:dyDescent="0.25">
      <c r="B84" s="2">
        <v>110</v>
      </c>
      <c r="C84" s="14" t="s">
        <v>94</v>
      </c>
      <c r="D84" s="14" t="s">
        <v>78</v>
      </c>
      <c r="E84" s="2" t="s">
        <v>5</v>
      </c>
      <c r="F84" s="14" t="s">
        <v>343</v>
      </c>
      <c r="G84" s="8" t="s">
        <v>936</v>
      </c>
      <c r="H84" s="8" t="s">
        <v>396</v>
      </c>
      <c r="I84" s="27" t="s">
        <v>693</v>
      </c>
      <c r="J84" s="8"/>
      <c r="K84" s="8" t="s">
        <v>396</v>
      </c>
      <c r="L84" s="8" t="s">
        <v>396</v>
      </c>
      <c r="M84" s="8" t="s">
        <v>396</v>
      </c>
      <c r="N84" s="2"/>
    </row>
    <row r="85" spans="2:14" x14ac:dyDescent="0.25">
      <c r="B85" s="2">
        <v>111</v>
      </c>
      <c r="C85" s="14" t="s">
        <v>94</v>
      </c>
      <c r="D85" s="2" t="s">
        <v>78</v>
      </c>
      <c r="E85" s="2" t="s">
        <v>4</v>
      </c>
      <c r="F85" s="14" t="s">
        <v>344</v>
      </c>
      <c r="G85" s="8" t="s">
        <v>936</v>
      </c>
      <c r="H85" s="8" t="s">
        <v>396</v>
      </c>
      <c r="I85" s="27" t="s">
        <v>693</v>
      </c>
      <c r="J85" s="8"/>
      <c r="K85" s="8" t="s">
        <v>396</v>
      </c>
      <c r="L85" s="8" t="s">
        <v>396</v>
      </c>
      <c r="M85" s="8" t="s">
        <v>396</v>
      </c>
      <c r="N85" s="2"/>
    </row>
    <row r="86" spans="2:14" x14ac:dyDescent="0.25">
      <c r="B86" s="2">
        <v>112</v>
      </c>
      <c r="C86" s="14" t="s">
        <v>94</v>
      </c>
      <c r="D86" s="2" t="s">
        <v>78</v>
      </c>
      <c r="E86" s="2" t="s">
        <v>3</v>
      </c>
      <c r="F86" s="14" t="s">
        <v>342</v>
      </c>
      <c r="G86" s="8" t="s">
        <v>936</v>
      </c>
      <c r="H86" s="8" t="s">
        <v>396</v>
      </c>
      <c r="I86" s="27" t="s">
        <v>693</v>
      </c>
      <c r="J86" s="8"/>
      <c r="K86" s="8" t="s">
        <v>396</v>
      </c>
      <c r="L86" s="8" t="s">
        <v>396</v>
      </c>
      <c r="M86" s="8" t="s">
        <v>396</v>
      </c>
      <c r="N86" s="2" t="s">
        <v>730</v>
      </c>
    </row>
    <row r="87" spans="2:14" x14ac:dyDescent="0.25">
      <c r="B87" s="2">
        <v>113</v>
      </c>
      <c r="C87" s="14" t="s">
        <v>94</v>
      </c>
      <c r="D87" s="2" t="s">
        <v>78</v>
      </c>
      <c r="E87" s="2" t="s">
        <v>2</v>
      </c>
      <c r="F87" s="14" t="s">
        <v>333</v>
      </c>
      <c r="G87" s="8" t="s">
        <v>936</v>
      </c>
      <c r="H87" s="8" t="s">
        <v>396</v>
      </c>
      <c r="I87" s="27" t="s">
        <v>693</v>
      </c>
      <c r="J87" s="8"/>
      <c r="K87" s="8" t="s">
        <v>396</v>
      </c>
      <c r="L87" s="8" t="s">
        <v>396</v>
      </c>
      <c r="M87" s="8" t="s">
        <v>396</v>
      </c>
      <c r="N87" s="2" t="s">
        <v>743</v>
      </c>
    </row>
    <row r="88" spans="2:14" x14ac:dyDescent="0.25">
      <c r="B88" s="2">
        <v>114</v>
      </c>
      <c r="C88" s="14" t="s">
        <v>94</v>
      </c>
      <c r="D88" s="2" t="s">
        <v>78</v>
      </c>
      <c r="E88" s="2" t="s">
        <v>1</v>
      </c>
      <c r="F88" s="14" t="s">
        <v>336</v>
      </c>
      <c r="G88" s="8" t="s">
        <v>936</v>
      </c>
      <c r="H88" s="8" t="s">
        <v>396</v>
      </c>
      <c r="I88" s="27" t="s">
        <v>693</v>
      </c>
      <c r="J88" s="8"/>
      <c r="K88" s="8" t="s">
        <v>396</v>
      </c>
      <c r="L88" s="8" t="s">
        <v>396</v>
      </c>
      <c r="M88" s="8" t="s">
        <v>396</v>
      </c>
      <c r="N88" s="2" t="s">
        <v>743</v>
      </c>
    </row>
    <row r="89" spans="2:14" x14ac:dyDescent="0.25">
      <c r="B89" s="2">
        <v>115</v>
      </c>
      <c r="C89" s="14" t="s">
        <v>94</v>
      </c>
      <c r="D89" s="2" t="s">
        <v>78</v>
      </c>
      <c r="E89" s="2" t="s">
        <v>0</v>
      </c>
      <c r="F89" s="14" t="s">
        <v>327</v>
      </c>
      <c r="G89" s="8" t="s">
        <v>936</v>
      </c>
      <c r="H89" s="8" t="s">
        <v>396</v>
      </c>
      <c r="I89" s="27" t="s">
        <v>693</v>
      </c>
      <c r="J89" s="11"/>
      <c r="K89" s="8" t="s">
        <v>396</v>
      </c>
      <c r="L89" s="8" t="s">
        <v>396</v>
      </c>
      <c r="M89" s="8" t="s">
        <v>396</v>
      </c>
      <c r="N89" s="2"/>
    </row>
    <row r="90" spans="2:14" x14ac:dyDescent="0.25">
      <c r="B90" s="2">
        <v>117</v>
      </c>
      <c r="C90" s="14" t="s">
        <v>94</v>
      </c>
      <c r="D90" s="14" t="s">
        <v>76</v>
      </c>
      <c r="E90" s="2" t="s">
        <v>72</v>
      </c>
      <c r="F90" s="28" t="s">
        <v>766</v>
      </c>
      <c r="G90" s="8" t="s">
        <v>936</v>
      </c>
      <c r="H90" s="8" t="s">
        <v>396</v>
      </c>
      <c r="I90" s="27" t="s">
        <v>693</v>
      </c>
      <c r="J90" s="8"/>
      <c r="K90" s="8"/>
      <c r="L90" s="8"/>
      <c r="M90" s="8"/>
      <c r="N90" s="2"/>
    </row>
    <row r="91" spans="2:14" x14ac:dyDescent="0.25">
      <c r="B91" s="2">
        <v>118</v>
      </c>
      <c r="C91" s="14" t="s">
        <v>94</v>
      </c>
      <c r="D91" s="2" t="s">
        <v>76</v>
      </c>
      <c r="E91" s="2" t="s">
        <v>71</v>
      </c>
      <c r="F91" s="28" t="s">
        <v>765</v>
      </c>
      <c r="G91" s="8" t="s">
        <v>936</v>
      </c>
      <c r="H91" s="8" t="s">
        <v>396</v>
      </c>
      <c r="I91" s="27" t="s">
        <v>693</v>
      </c>
      <c r="J91" s="8"/>
      <c r="K91" s="8"/>
      <c r="L91" s="8"/>
      <c r="M91" s="8"/>
      <c r="N91" s="2"/>
    </row>
    <row r="92" spans="2:14" x14ac:dyDescent="0.25">
      <c r="B92" s="2">
        <v>119</v>
      </c>
      <c r="C92" s="14" t="s">
        <v>94</v>
      </c>
      <c r="D92" s="2" t="s">
        <v>76</v>
      </c>
      <c r="E92" s="2" t="s">
        <v>6</v>
      </c>
      <c r="F92" s="28" t="s">
        <v>832</v>
      </c>
      <c r="G92" s="8" t="s">
        <v>936</v>
      </c>
      <c r="H92" s="8" t="s">
        <v>396</v>
      </c>
      <c r="I92" s="27" t="s">
        <v>693</v>
      </c>
      <c r="J92" s="8"/>
      <c r="K92" s="8"/>
      <c r="L92" s="8"/>
      <c r="M92" s="8"/>
      <c r="N92" s="2"/>
    </row>
    <row r="93" spans="2:14" x14ac:dyDescent="0.25">
      <c r="B93" s="2">
        <v>120</v>
      </c>
      <c r="C93" s="14" t="s">
        <v>94</v>
      </c>
      <c r="D93" s="2" t="s">
        <v>76</v>
      </c>
      <c r="E93" s="2" t="s">
        <v>75</v>
      </c>
      <c r="F93" s="28" t="s">
        <v>766</v>
      </c>
      <c r="G93" s="8" t="s">
        <v>936</v>
      </c>
      <c r="H93" s="8" t="s">
        <v>396</v>
      </c>
      <c r="I93" s="27" t="s">
        <v>693</v>
      </c>
      <c r="J93" s="8"/>
      <c r="K93" s="8"/>
      <c r="L93" s="8"/>
      <c r="M93" s="8"/>
      <c r="N93" s="2"/>
    </row>
    <row r="94" spans="2:14" x14ac:dyDescent="0.25">
      <c r="B94" s="2">
        <v>120</v>
      </c>
      <c r="C94" s="14" t="s">
        <v>94</v>
      </c>
      <c r="D94" s="2" t="s">
        <v>76</v>
      </c>
      <c r="E94" s="2" t="s">
        <v>865</v>
      </c>
      <c r="F94" s="28" t="s">
        <v>864</v>
      </c>
      <c r="G94" s="8" t="s">
        <v>936</v>
      </c>
      <c r="H94" s="8" t="s">
        <v>396</v>
      </c>
      <c r="I94" s="27" t="s">
        <v>693</v>
      </c>
      <c r="J94" s="8"/>
      <c r="K94" s="8"/>
      <c r="L94" s="8"/>
      <c r="M94" s="8"/>
      <c r="N94" s="2"/>
    </row>
    <row r="95" spans="2:14" x14ac:dyDescent="0.25">
      <c r="B95" s="2">
        <v>132</v>
      </c>
      <c r="C95" s="14" t="s">
        <v>94</v>
      </c>
      <c r="D95" s="14" t="s">
        <v>74</v>
      </c>
      <c r="E95" s="13" t="s">
        <v>2</v>
      </c>
      <c r="F95" s="28" t="s">
        <v>795</v>
      </c>
      <c r="G95" s="8" t="s">
        <v>936</v>
      </c>
      <c r="H95" s="8" t="s">
        <v>396</v>
      </c>
      <c r="I95" s="8" t="s">
        <v>693</v>
      </c>
      <c r="J95" s="8"/>
      <c r="K95" s="8"/>
      <c r="L95" s="8"/>
      <c r="M95" s="8" t="s">
        <v>396</v>
      </c>
      <c r="N95" s="2" t="s">
        <v>743</v>
      </c>
    </row>
    <row r="96" spans="2:14" x14ac:dyDescent="0.25">
      <c r="B96" s="2">
        <v>132</v>
      </c>
      <c r="C96" s="14" t="s">
        <v>94</v>
      </c>
      <c r="D96" s="2" t="s">
        <v>74</v>
      </c>
      <c r="E96" s="13" t="s">
        <v>3</v>
      </c>
      <c r="F96" s="28" t="s">
        <v>797</v>
      </c>
      <c r="G96" s="8" t="s">
        <v>936</v>
      </c>
      <c r="H96" s="8" t="s">
        <v>396</v>
      </c>
      <c r="I96" s="8" t="s">
        <v>693</v>
      </c>
      <c r="J96" s="8"/>
      <c r="K96" s="8"/>
      <c r="L96" s="8"/>
      <c r="M96" s="8" t="s">
        <v>396</v>
      </c>
      <c r="N96" s="2" t="s">
        <v>798</v>
      </c>
    </row>
    <row r="97" spans="2:14" x14ac:dyDescent="0.25">
      <c r="B97" s="2">
        <v>132</v>
      </c>
      <c r="C97" s="14" t="s">
        <v>94</v>
      </c>
      <c r="D97" s="2" t="s">
        <v>74</v>
      </c>
      <c r="E97" s="13" t="s">
        <v>1</v>
      </c>
      <c r="F97" s="28" t="s">
        <v>796</v>
      </c>
      <c r="G97" s="8" t="s">
        <v>936</v>
      </c>
      <c r="H97" s="8" t="s">
        <v>396</v>
      </c>
      <c r="I97" s="8" t="s">
        <v>693</v>
      </c>
      <c r="J97" s="8"/>
      <c r="K97" s="8"/>
      <c r="L97" s="8"/>
      <c r="M97" s="8" t="s">
        <v>396</v>
      </c>
      <c r="N97" s="2" t="s">
        <v>743</v>
      </c>
    </row>
    <row r="98" spans="2:14" x14ac:dyDescent="0.25">
      <c r="B98" s="2">
        <v>132</v>
      </c>
      <c r="C98" s="14" t="s">
        <v>94</v>
      </c>
      <c r="D98" s="2" t="s">
        <v>74</v>
      </c>
      <c r="E98" s="13" t="s">
        <v>0</v>
      </c>
      <c r="F98" s="28" t="s">
        <v>794</v>
      </c>
      <c r="G98" s="8" t="s">
        <v>936</v>
      </c>
      <c r="H98" s="8" t="s">
        <v>396</v>
      </c>
      <c r="I98" s="8" t="s">
        <v>693</v>
      </c>
      <c r="J98" s="8"/>
      <c r="K98" s="8"/>
      <c r="L98" s="8"/>
      <c r="M98" s="8" t="s">
        <v>396</v>
      </c>
      <c r="N98" s="2" t="s">
        <v>419</v>
      </c>
    </row>
    <row r="99" spans="2:14" x14ac:dyDescent="0.25">
      <c r="B99" s="2">
        <v>129</v>
      </c>
      <c r="C99" s="14" t="s">
        <v>94</v>
      </c>
      <c r="D99" s="2" t="s">
        <v>74</v>
      </c>
      <c r="E99" s="2" t="s">
        <v>843</v>
      </c>
      <c r="F99" s="28" t="s">
        <v>844</v>
      </c>
      <c r="G99" s="8" t="s">
        <v>936</v>
      </c>
      <c r="H99" s="8" t="s">
        <v>396</v>
      </c>
      <c r="I99" s="8" t="s">
        <v>693</v>
      </c>
      <c r="J99" s="11"/>
      <c r="K99" s="8"/>
      <c r="L99" s="8"/>
      <c r="M99" s="8" t="s">
        <v>396</v>
      </c>
      <c r="N99" s="2" t="s">
        <v>845</v>
      </c>
    </row>
    <row r="100" spans="2:14" x14ac:dyDescent="0.25">
      <c r="B100" s="2">
        <v>129</v>
      </c>
      <c r="C100" s="14" t="s">
        <v>94</v>
      </c>
      <c r="D100" s="2" t="s">
        <v>74</v>
      </c>
      <c r="E100" s="2" t="s">
        <v>671</v>
      </c>
      <c r="F100" s="28" t="s">
        <v>762</v>
      </c>
      <c r="G100" s="8" t="s">
        <v>936</v>
      </c>
      <c r="H100" s="8" t="s">
        <v>396</v>
      </c>
      <c r="I100" s="8" t="s">
        <v>693</v>
      </c>
      <c r="J100" s="8"/>
      <c r="K100" s="8"/>
      <c r="L100" s="8"/>
      <c r="M100" s="8" t="s">
        <v>396</v>
      </c>
      <c r="N100" s="2"/>
    </row>
    <row r="101" spans="2:14" x14ac:dyDescent="0.25">
      <c r="B101" s="2">
        <v>133</v>
      </c>
      <c r="C101" s="14" t="s">
        <v>94</v>
      </c>
      <c r="D101" s="2" t="s">
        <v>73</v>
      </c>
      <c r="E101" s="2" t="s">
        <v>72</v>
      </c>
      <c r="F101" s="28" t="s">
        <v>765</v>
      </c>
      <c r="G101" s="8" t="s">
        <v>936</v>
      </c>
      <c r="H101" s="8" t="s">
        <v>396</v>
      </c>
      <c r="I101" s="8" t="s">
        <v>693</v>
      </c>
      <c r="J101" s="8"/>
      <c r="K101" s="8"/>
      <c r="L101" s="8"/>
      <c r="M101" s="8"/>
      <c r="N101" s="2"/>
    </row>
    <row r="102" spans="2:14" x14ac:dyDescent="0.25">
      <c r="B102" s="2">
        <v>134</v>
      </c>
      <c r="C102" s="14" t="s">
        <v>94</v>
      </c>
      <c r="D102" s="2" t="s">
        <v>73</v>
      </c>
      <c r="E102" s="2" t="s">
        <v>71</v>
      </c>
      <c r="F102" s="28" t="s">
        <v>766</v>
      </c>
      <c r="G102" s="8" t="s">
        <v>936</v>
      </c>
      <c r="H102" s="8" t="s">
        <v>396</v>
      </c>
      <c r="I102" s="8" t="s">
        <v>693</v>
      </c>
      <c r="J102" s="8"/>
      <c r="K102" s="8"/>
      <c r="L102" s="8"/>
      <c r="M102" s="8"/>
      <c r="N102" s="2"/>
    </row>
    <row r="103" spans="2:14" x14ac:dyDescent="0.25">
      <c r="B103" s="2">
        <v>135</v>
      </c>
      <c r="C103" s="14" t="s">
        <v>94</v>
      </c>
      <c r="D103" s="2" t="s">
        <v>73</v>
      </c>
      <c r="E103" s="2" t="s">
        <v>6</v>
      </c>
      <c r="F103" s="28" t="s">
        <v>832</v>
      </c>
      <c r="G103" s="8" t="s">
        <v>936</v>
      </c>
      <c r="H103" s="8" t="s">
        <v>396</v>
      </c>
      <c r="I103" s="8" t="s">
        <v>693</v>
      </c>
      <c r="J103" s="8"/>
      <c r="K103" s="8"/>
      <c r="L103" s="8"/>
      <c r="M103" s="8"/>
      <c r="N103" s="2"/>
    </row>
    <row r="104" spans="2:14" x14ac:dyDescent="0.25">
      <c r="B104" s="2">
        <v>135</v>
      </c>
      <c r="C104" s="14" t="s">
        <v>94</v>
      </c>
      <c r="D104" s="2" t="s">
        <v>73</v>
      </c>
      <c r="E104" s="2" t="s">
        <v>672</v>
      </c>
      <c r="F104" s="28" t="s">
        <v>832</v>
      </c>
      <c r="G104" s="8" t="s">
        <v>936</v>
      </c>
      <c r="H104" s="8" t="s">
        <v>396</v>
      </c>
      <c r="I104" s="8" t="s">
        <v>693</v>
      </c>
      <c r="J104" s="8"/>
      <c r="K104" s="8"/>
      <c r="L104" s="8"/>
      <c r="M104" s="8"/>
      <c r="N104" s="2"/>
    </row>
    <row r="105" spans="2:14" x14ac:dyDescent="0.25">
      <c r="B105" s="2">
        <v>144</v>
      </c>
      <c r="C105" s="14" t="s">
        <v>413</v>
      </c>
      <c r="D105" s="2" t="s">
        <v>77</v>
      </c>
      <c r="E105" s="2" t="s">
        <v>825</v>
      </c>
      <c r="F105" s="28" t="s">
        <v>824</v>
      </c>
      <c r="G105" s="8" t="s">
        <v>936</v>
      </c>
      <c r="H105" s="8" t="s">
        <v>396</v>
      </c>
      <c r="I105" s="8" t="s">
        <v>693</v>
      </c>
      <c r="J105" s="8"/>
      <c r="K105" s="8"/>
      <c r="L105" s="8"/>
      <c r="M105" s="8"/>
      <c r="N105" s="2"/>
    </row>
    <row r="106" spans="2:14" x14ac:dyDescent="0.25">
      <c r="B106" s="2">
        <v>145</v>
      </c>
      <c r="C106" s="14" t="s">
        <v>413</v>
      </c>
      <c r="D106" s="2" t="s">
        <v>77</v>
      </c>
      <c r="E106" s="2" t="s">
        <v>869</v>
      </c>
      <c r="F106" s="28" t="s">
        <v>892</v>
      </c>
      <c r="G106" s="8" t="s">
        <v>936</v>
      </c>
      <c r="H106" s="8" t="s">
        <v>396</v>
      </c>
      <c r="I106" s="8" t="s">
        <v>693</v>
      </c>
      <c r="J106" s="8"/>
      <c r="K106" s="8"/>
      <c r="L106" s="8"/>
      <c r="M106" s="8"/>
      <c r="N106" s="2" t="s">
        <v>895</v>
      </c>
    </row>
    <row r="107" spans="2:14" x14ac:dyDescent="0.25">
      <c r="B107" s="2">
        <v>146</v>
      </c>
      <c r="C107" s="14" t="s">
        <v>413</v>
      </c>
      <c r="D107" s="2" t="s">
        <v>77</v>
      </c>
      <c r="E107" s="2" t="s">
        <v>899</v>
      </c>
      <c r="F107" s="28" t="s">
        <v>889</v>
      </c>
      <c r="G107" s="8" t="s">
        <v>936</v>
      </c>
      <c r="H107" s="8" t="s">
        <v>396</v>
      </c>
      <c r="I107" s="8" t="s">
        <v>693</v>
      </c>
      <c r="J107" s="8"/>
      <c r="K107" s="8"/>
      <c r="L107" s="8"/>
      <c r="M107" s="8"/>
      <c r="N107" s="2" t="s">
        <v>898</v>
      </c>
    </row>
    <row r="108" spans="2:14" ht="38.25" x14ac:dyDescent="0.25">
      <c r="B108" s="2">
        <v>147</v>
      </c>
      <c r="C108" s="14" t="s">
        <v>413</v>
      </c>
      <c r="D108" s="2" t="s">
        <v>77</v>
      </c>
      <c r="E108" s="2" t="s">
        <v>12</v>
      </c>
      <c r="F108" s="28" t="s">
        <v>890</v>
      </c>
      <c r="G108" s="8" t="s">
        <v>936</v>
      </c>
      <c r="H108" s="8" t="s">
        <v>396</v>
      </c>
      <c r="I108" s="8" t="s">
        <v>693</v>
      </c>
      <c r="J108" s="8"/>
      <c r="K108" s="8"/>
      <c r="L108" s="8"/>
      <c r="M108" s="8"/>
      <c r="N108" s="15" t="s">
        <v>896</v>
      </c>
    </row>
    <row r="109" spans="2:14" x14ac:dyDescent="0.25">
      <c r="B109" s="2">
        <v>148</v>
      </c>
      <c r="C109" s="14" t="s">
        <v>413</v>
      </c>
      <c r="D109" s="2" t="s">
        <v>77</v>
      </c>
      <c r="E109" s="2" t="s">
        <v>11</v>
      </c>
      <c r="F109" s="28" t="s">
        <v>891</v>
      </c>
      <c r="G109" s="8" t="s">
        <v>936</v>
      </c>
      <c r="H109" s="8" t="s">
        <v>396</v>
      </c>
      <c r="I109" s="8" t="s">
        <v>693</v>
      </c>
      <c r="J109" s="8"/>
      <c r="K109" s="8"/>
      <c r="L109" s="8"/>
      <c r="M109" s="8"/>
      <c r="N109" s="2" t="s">
        <v>897</v>
      </c>
    </row>
    <row r="110" spans="2:14" x14ac:dyDescent="0.25">
      <c r="B110" s="2">
        <v>148</v>
      </c>
      <c r="C110" s="14" t="s">
        <v>413</v>
      </c>
      <c r="D110" s="2" t="s">
        <v>77</v>
      </c>
      <c r="E110" s="2" t="s">
        <v>893</v>
      </c>
      <c r="F110" s="28" t="s">
        <v>894</v>
      </c>
      <c r="G110" s="8" t="s">
        <v>936</v>
      </c>
      <c r="H110" s="8" t="s">
        <v>396</v>
      </c>
      <c r="I110" s="8" t="s">
        <v>693</v>
      </c>
      <c r="J110" s="8"/>
      <c r="K110" s="8"/>
      <c r="L110" s="8"/>
      <c r="M110" s="8"/>
      <c r="N110" s="2"/>
    </row>
    <row r="111" spans="2:14" x14ac:dyDescent="0.25">
      <c r="B111" s="2">
        <v>155</v>
      </c>
      <c r="C111" s="14" t="s">
        <v>70</v>
      </c>
      <c r="D111" s="14" t="s">
        <v>868</v>
      </c>
      <c r="E111" s="2" t="s">
        <v>5</v>
      </c>
      <c r="F111" s="14" t="s">
        <v>384</v>
      </c>
      <c r="G111" s="8" t="s">
        <v>936</v>
      </c>
      <c r="H111" s="8" t="s">
        <v>396</v>
      </c>
      <c r="I111" s="27" t="s">
        <v>693</v>
      </c>
      <c r="J111" s="2"/>
      <c r="K111" s="8" t="s">
        <v>396</v>
      </c>
      <c r="L111" s="8" t="s">
        <v>396</v>
      </c>
      <c r="M111" s="8" t="s">
        <v>396</v>
      </c>
      <c r="N111" s="2" t="s">
        <v>714</v>
      </c>
    </row>
    <row r="112" spans="2:14" x14ac:dyDescent="0.25">
      <c r="B112" s="2">
        <v>156</v>
      </c>
      <c r="C112" s="14" t="s">
        <v>70</v>
      </c>
      <c r="D112" s="14" t="s">
        <v>868</v>
      </c>
      <c r="E112" s="2" t="s">
        <v>4</v>
      </c>
      <c r="F112" s="14" t="s">
        <v>385</v>
      </c>
      <c r="G112" s="8" t="s">
        <v>936</v>
      </c>
      <c r="H112" s="8" t="s">
        <v>396</v>
      </c>
      <c r="I112" s="27" t="s">
        <v>693</v>
      </c>
      <c r="J112" s="2"/>
      <c r="K112" s="8" t="s">
        <v>396</v>
      </c>
      <c r="L112" s="8" t="s">
        <v>396</v>
      </c>
      <c r="M112" s="8" t="s">
        <v>396</v>
      </c>
      <c r="N112" s="2" t="s">
        <v>714</v>
      </c>
    </row>
    <row r="113" spans="2:14" x14ac:dyDescent="0.25">
      <c r="B113" s="2">
        <v>157</v>
      </c>
      <c r="C113" s="14" t="s">
        <v>70</v>
      </c>
      <c r="D113" s="14" t="s">
        <v>868</v>
      </c>
      <c r="E113" s="2" t="s">
        <v>3</v>
      </c>
      <c r="F113" s="14" t="s">
        <v>383</v>
      </c>
      <c r="G113" s="8" t="s">
        <v>936</v>
      </c>
      <c r="H113" s="8" t="s">
        <v>396</v>
      </c>
      <c r="I113" s="27" t="s">
        <v>693</v>
      </c>
      <c r="J113" s="2"/>
      <c r="K113" s="8" t="s">
        <v>396</v>
      </c>
      <c r="L113" s="8" t="s">
        <v>396</v>
      </c>
      <c r="M113" s="8" t="s">
        <v>396</v>
      </c>
      <c r="N113" s="2" t="s">
        <v>873</v>
      </c>
    </row>
    <row r="114" spans="2:14" x14ac:dyDescent="0.25">
      <c r="B114" s="2">
        <v>158</v>
      </c>
      <c r="C114" s="14" t="s">
        <v>70</v>
      </c>
      <c r="D114" s="14" t="s">
        <v>868</v>
      </c>
      <c r="E114" s="2" t="s">
        <v>2</v>
      </c>
      <c r="F114" s="14" t="s">
        <v>379</v>
      </c>
      <c r="G114" s="8" t="s">
        <v>936</v>
      </c>
      <c r="H114" s="8" t="s">
        <v>396</v>
      </c>
      <c r="I114" s="27" t="s">
        <v>693</v>
      </c>
      <c r="J114" s="2"/>
      <c r="K114" s="8" t="s">
        <v>396</v>
      </c>
      <c r="L114" s="8" t="s">
        <v>396</v>
      </c>
      <c r="M114" s="8" t="s">
        <v>396</v>
      </c>
      <c r="N114" s="2" t="s">
        <v>872</v>
      </c>
    </row>
    <row r="115" spans="2:14" x14ac:dyDescent="0.25">
      <c r="B115" s="2">
        <v>159</v>
      </c>
      <c r="C115" s="14" t="s">
        <v>70</v>
      </c>
      <c r="D115" s="14" t="s">
        <v>868</v>
      </c>
      <c r="E115" s="2" t="s">
        <v>1</v>
      </c>
      <c r="F115" s="14" t="s">
        <v>380</v>
      </c>
      <c r="G115" s="8" t="s">
        <v>936</v>
      </c>
      <c r="H115" s="8" t="s">
        <v>396</v>
      </c>
      <c r="I115" s="27" t="s">
        <v>693</v>
      </c>
      <c r="J115" s="2"/>
      <c r="K115" s="8" t="s">
        <v>396</v>
      </c>
      <c r="L115" s="8" t="s">
        <v>396</v>
      </c>
      <c r="M115" s="8" t="s">
        <v>396</v>
      </c>
      <c r="N115" s="2"/>
    </row>
    <row r="116" spans="2:14" x14ac:dyDescent="0.25">
      <c r="B116" s="2">
        <v>160</v>
      </c>
      <c r="C116" s="14" t="s">
        <v>70</v>
      </c>
      <c r="D116" s="14" t="s">
        <v>868</v>
      </c>
      <c r="E116" s="2" t="s">
        <v>0</v>
      </c>
      <c r="F116" s="14" t="s">
        <v>376</v>
      </c>
      <c r="G116" s="8" t="s">
        <v>936</v>
      </c>
      <c r="H116" s="8" t="s">
        <v>396</v>
      </c>
      <c r="I116" s="27" t="s">
        <v>693</v>
      </c>
      <c r="J116" s="8"/>
      <c r="K116" s="8" t="s">
        <v>396</v>
      </c>
      <c r="L116" s="8" t="s">
        <v>396</v>
      </c>
      <c r="M116" s="8" t="s">
        <v>396</v>
      </c>
      <c r="N116" s="2"/>
    </row>
    <row r="117" spans="2:14" x14ac:dyDescent="0.25">
      <c r="B117" s="2">
        <v>162</v>
      </c>
      <c r="C117" s="14" t="s">
        <v>70</v>
      </c>
      <c r="D117" s="14" t="s">
        <v>868</v>
      </c>
      <c r="E117" s="2" t="s">
        <v>676</v>
      </c>
      <c r="F117" s="28" t="s">
        <v>822</v>
      </c>
      <c r="G117" s="8" t="s">
        <v>936</v>
      </c>
      <c r="H117" s="8" t="s">
        <v>396</v>
      </c>
      <c r="I117" s="27" t="s">
        <v>693</v>
      </c>
      <c r="J117" s="8"/>
      <c r="K117" s="8"/>
      <c r="L117" s="8"/>
      <c r="M117" s="8"/>
      <c r="N117" s="2"/>
    </row>
    <row r="118" spans="2:14" x14ac:dyDescent="0.25">
      <c r="B118" s="2"/>
      <c r="C118" s="14" t="s">
        <v>70</v>
      </c>
      <c r="D118" s="14" t="s">
        <v>868</v>
      </c>
      <c r="E118" s="2" t="s">
        <v>921</v>
      </c>
      <c r="F118" s="28" t="s">
        <v>922</v>
      </c>
      <c r="G118" s="8" t="s">
        <v>936</v>
      </c>
      <c r="H118" s="8" t="s">
        <v>396</v>
      </c>
      <c r="I118" s="27" t="s">
        <v>693</v>
      </c>
      <c r="J118" s="8"/>
      <c r="K118" s="8" t="s">
        <v>396</v>
      </c>
      <c r="L118" s="8" t="s">
        <v>396</v>
      </c>
      <c r="M118" s="8" t="s">
        <v>396</v>
      </c>
      <c r="N118" s="2"/>
    </row>
    <row r="119" spans="2:14" x14ac:dyDescent="0.25">
      <c r="B119" s="2"/>
      <c r="C119" s="14" t="s">
        <v>70</v>
      </c>
      <c r="D119" s="14" t="s">
        <v>868</v>
      </c>
      <c r="E119" s="2" t="s">
        <v>677</v>
      </c>
      <c r="F119" s="28" t="s">
        <v>923</v>
      </c>
      <c r="G119" s="8" t="s">
        <v>936</v>
      </c>
      <c r="H119" s="8" t="s">
        <v>396</v>
      </c>
      <c r="I119" s="27" t="s">
        <v>693</v>
      </c>
      <c r="J119" s="8"/>
      <c r="K119" s="8" t="s">
        <v>396</v>
      </c>
      <c r="L119" s="8" t="s">
        <v>396</v>
      </c>
      <c r="M119" s="8" t="s">
        <v>396</v>
      </c>
      <c r="N119" s="2"/>
    </row>
    <row r="120" spans="2:14" x14ac:dyDescent="0.25">
      <c r="B120" s="2"/>
      <c r="C120" s="14" t="s">
        <v>70</v>
      </c>
      <c r="D120" s="14" t="s">
        <v>868</v>
      </c>
      <c r="E120" s="2" t="s">
        <v>678</v>
      </c>
      <c r="F120" s="28" t="s">
        <v>924</v>
      </c>
      <c r="G120" s="8" t="s">
        <v>936</v>
      </c>
      <c r="H120" s="8" t="s">
        <v>396</v>
      </c>
      <c r="I120" s="27" t="s">
        <v>693</v>
      </c>
      <c r="J120" s="8"/>
      <c r="K120" s="8" t="s">
        <v>396</v>
      </c>
      <c r="L120" s="8" t="s">
        <v>396</v>
      </c>
      <c r="M120" s="8" t="s">
        <v>396</v>
      </c>
      <c r="N120" s="2"/>
    </row>
    <row r="121" spans="2:14" x14ac:dyDescent="0.25">
      <c r="B121" s="2"/>
      <c r="C121" s="14" t="s">
        <v>70</v>
      </c>
      <c r="D121" s="14" t="s">
        <v>868</v>
      </c>
      <c r="E121" s="2" t="s">
        <v>680</v>
      </c>
      <c r="F121" s="28" t="s">
        <v>938</v>
      </c>
      <c r="G121" s="8" t="s">
        <v>936</v>
      </c>
      <c r="H121" s="8" t="s">
        <v>396</v>
      </c>
      <c r="I121" s="27" t="s">
        <v>693</v>
      </c>
      <c r="J121" s="8"/>
      <c r="K121" s="8"/>
      <c r="L121" s="8"/>
      <c r="M121" s="8"/>
      <c r="N121" s="36" t="s">
        <v>940</v>
      </c>
    </row>
    <row r="122" spans="2:14" x14ac:dyDescent="0.25">
      <c r="B122" s="2"/>
      <c r="C122" s="14" t="s">
        <v>70</v>
      </c>
      <c r="D122" s="14" t="s">
        <v>868</v>
      </c>
      <c r="E122" s="2" t="s">
        <v>679</v>
      </c>
      <c r="F122" s="28" t="s">
        <v>938</v>
      </c>
      <c r="G122" s="8" t="s">
        <v>936</v>
      </c>
      <c r="H122" s="8" t="s">
        <v>396</v>
      </c>
      <c r="I122" s="27" t="s">
        <v>693</v>
      </c>
      <c r="J122" s="8"/>
      <c r="K122" s="8"/>
      <c r="L122" s="8"/>
      <c r="M122" s="8"/>
      <c r="N122" s="36" t="s">
        <v>941</v>
      </c>
    </row>
    <row r="123" spans="2:14" x14ac:dyDescent="0.25">
      <c r="B123" s="2">
        <v>161</v>
      </c>
      <c r="C123" s="14" t="s">
        <v>70</v>
      </c>
      <c r="D123" s="14" t="s">
        <v>868</v>
      </c>
      <c r="E123" s="2" t="s">
        <v>681</v>
      </c>
      <c r="F123" s="28" t="s">
        <v>938</v>
      </c>
      <c r="G123" s="8" t="s">
        <v>936</v>
      </c>
      <c r="H123" s="8" t="s">
        <v>396</v>
      </c>
      <c r="I123" s="27" t="s">
        <v>693</v>
      </c>
      <c r="J123" s="8"/>
      <c r="K123" s="8"/>
      <c r="L123" s="8"/>
      <c r="M123" s="8"/>
      <c r="N123" s="36" t="s">
        <v>942</v>
      </c>
    </row>
    <row r="124" spans="2:14" ht="51" x14ac:dyDescent="0.25">
      <c r="B124" s="2">
        <v>162</v>
      </c>
      <c r="C124" s="14" t="s">
        <v>70</v>
      </c>
      <c r="D124" s="14" t="s">
        <v>868</v>
      </c>
      <c r="E124" s="2" t="s">
        <v>682</v>
      </c>
      <c r="F124" s="28" t="s">
        <v>938</v>
      </c>
      <c r="G124" s="8" t="s">
        <v>936</v>
      </c>
      <c r="H124" s="8" t="s">
        <v>396</v>
      </c>
      <c r="I124" s="27" t="s">
        <v>693</v>
      </c>
      <c r="J124" s="8"/>
      <c r="K124" s="8"/>
      <c r="L124" s="8"/>
      <c r="M124" s="8"/>
      <c r="N124" s="37" t="s">
        <v>950</v>
      </c>
    </row>
    <row r="125" spans="2:14" x14ac:dyDescent="0.25">
      <c r="B125" s="2">
        <v>163</v>
      </c>
      <c r="C125" s="14" t="s">
        <v>70</v>
      </c>
      <c r="D125" s="14" t="s">
        <v>69</v>
      </c>
      <c r="E125" s="2" t="s">
        <v>5</v>
      </c>
      <c r="F125" s="28" t="s">
        <v>857</v>
      </c>
      <c r="G125" s="8" t="s">
        <v>936</v>
      </c>
      <c r="H125" s="8" t="s">
        <v>396</v>
      </c>
      <c r="I125" s="27" t="s">
        <v>693</v>
      </c>
      <c r="J125" s="8"/>
      <c r="K125" s="8" t="s">
        <v>396</v>
      </c>
      <c r="L125" s="8"/>
      <c r="M125" s="8"/>
      <c r="N125" s="2" t="s">
        <v>925</v>
      </c>
    </row>
    <row r="126" spans="2:14" x14ac:dyDescent="0.25">
      <c r="B126" s="2">
        <v>164</v>
      </c>
      <c r="C126" s="14" t="s">
        <v>70</v>
      </c>
      <c r="D126" s="2" t="s">
        <v>69</v>
      </c>
      <c r="E126" s="2" t="s">
        <v>4</v>
      </c>
      <c r="F126" s="28" t="s">
        <v>858</v>
      </c>
      <c r="G126" s="8" t="s">
        <v>936</v>
      </c>
      <c r="H126" s="8" t="s">
        <v>396</v>
      </c>
      <c r="I126" s="27" t="s">
        <v>693</v>
      </c>
      <c r="J126" s="8"/>
      <c r="K126" s="8" t="s">
        <v>396</v>
      </c>
      <c r="L126" s="8"/>
      <c r="M126" s="8"/>
      <c r="N126" s="2" t="s">
        <v>920</v>
      </c>
    </row>
    <row r="127" spans="2:14" x14ac:dyDescent="0.25">
      <c r="B127" s="2">
        <v>165</v>
      </c>
      <c r="C127" s="14" t="s">
        <v>70</v>
      </c>
      <c r="D127" s="2" t="s">
        <v>69</v>
      </c>
      <c r="E127" s="2" t="s">
        <v>874</v>
      </c>
      <c r="F127" s="28" t="s">
        <v>926</v>
      </c>
      <c r="G127" s="8" t="s">
        <v>936</v>
      </c>
      <c r="H127" s="8" t="s">
        <v>396</v>
      </c>
      <c r="I127" s="27" t="s">
        <v>693</v>
      </c>
      <c r="J127" s="8"/>
      <c r="K127" s="8" t="s">
        <v>396</v>
      </c>
      <c r="L127" s="8"/>
      <c r="M127" s="8"/>
      <c r="N127" s="2"/>
    </row>
    <row r="128" spans="2:14" x14ac:dyDescent="0.25">
      <c r="B128" s="2">
        <v>166</v>
      </c>
      <c r="C128" s="14" t="s">
        <v>70</v>
      </c>
      <c r="D128" s="2" t="s">
        <v>69</v>
      </c>
      <c r="E128" s="2" t="s">
        <v>839</v>
      </c>
      <c r="F128" s="28" t="s">
        <v>927</v>
      </c>
      <c r="G128" s="8" t="s">
        <v>936</v>
      </c>
      <c r="H128" s="8" t="s">
        <v>396</v>
      </c>
      <c r="I128" s="27" t="s">
        <v>693</v>
      </c>
      <c r="J128" s="8"/>
      <c r="K128" s="8" t="s">
        <v>396</v>
      </c>
      <c r="L128" s="8"/>
      <c r="M128" s="8"/>
      <c r="N128" s="2"/>
    </row>
    <row r="129" spans="2:14" x14ac:dyDescent="0.25">
      <c r="B129" s="2">
        <v>167</v>
      </c>
      <c r="C129" s="14" t="s">
        <v>70</v>
      </c>
      <c r="D129" s="2" t="s">
        <v>69</v>
      </c>
      <c r="E129" s="2" t="s">
        <v>53</v>
      </c>
      <c r="F129" s="28" t="s">
        <v>856</v>
      </c>
      <c r="G129" s="8" t="s">
        <v>936</v>
      </c>
      <c r="H129" s="8" t="s">
        <v>396</v>
      </c>
      <c r="I129" s="27" t="s">
        <v>693</v>
      </c>
      <c r="J129" s="8"/>
      <c r="K129" s="8" t="s">
        <v>396</v>
      </c>
      <c r="L129" s="8"/>
      <c r="M129" s="8"/>
      <c r="N129" s="2"/>
    </row>
    <row r="130" spans="2:14" x14ac:dyDescent="0.25">
      <c r="B130" s="2">
        <v>168</v>
      </c>
      <c r="C130" s="14" t="s">
        <v>70</v>
      </c>
      <c r="D130" s="2" t="s">
        <v>69</v>
      </c>
      <c r="E130" s="2" t="s">
        <v>12</v>
      </c>
      <c r="F130" s="28" t="s">
        <v>855</v>
      </c>
      <c r="G130" s="8" t="s">
        <v>936</v>
      </c>
      <c r="H130" s="8" t="s">
        <v>396</v>
      </c>
      <c r="I130" s="27" t="s">
        <v>693</v>
      </c>
      <c r="J130" s="8"/>
      <c r="K130" s="8" t="s">
        <v>396</v>
      </c>
      <c r="L130" s="8"/>
      <c r="M130" s="8"/>
      <c r="N130" s="2"/>
    </row>
    <row r="131" spans="2:14" x14ac:dyDescent="0.25">
      <c r="B131" s="2">
        <v>169</v>
      </c>
      <c r="C131" s="14" t="s">
        <v>70</v>
      </c>
      <c r="D131" s="2" t="s">
        <v>69</v>
      </c>
      <c r="E131" s="2" t="s">
        <v>11</v>
      </c>
      <c r="F131" s="28" t="s">
        <v>854</v>
      </c>
      <c r="G131" s="8" t="s">
        <v>936</v>
      </c>
      <c r="H131" s="8" t="s">
        <v>396</v>
      </c>
      <c r="I131" s="27" t="s">
        <v>693</v>
      </c>
      <c r="J131" s="8"/>
      <c r="K131" s="8" t="s">
        <v>396</v>
      </c>
      <c r="L131" s="8"/>
      <c r="M131" s="8"/>
      <c r="N131" s="2"/>
    </row>
    <row r="132" spans="2:14" x14ac:dyDescent="0.25">
      <c r="B132" s="2">
        <v>170</v>
      </c>
      <c r="C132" s="14" t="s">
        <v>70</v>
      </c>
      <c r="D132" s="14" t="s">
        <v>68</v>
      </c>
      <c r="E132" s="2" t="s">
        <v>5</v>
      </c>
      <c r="F132" s="14" t="s">
        <v>387</v>
      </c>
      <c r="G132" s="8" t="s">
        <v>936</v>
      </c>
      <c r="H132" s="8" t="s">
        <v>396</v>
      </c>
      <c r="I132" s="27" t="s">
        <v>693</v>
      </c>
      <c r="J132" s="8"/>
      <c r="K132" s="8" t="s">
        <v>396</v>
      </c>
      <c r="L132" s="8" t="s">
        <v>396</v>
      </c>
      <c r="M132" s="8" t="s">
        <v>396</v>
      </c>
      <c r="N132" s="2" t="s">
        <v>714</v>
      </c>
    </row>
    <row r="133" spans="2:14" x14ac:dyDescent="0.25">
      <c r="B133" s="2">
        <v>171</v>
      </c>
      <c r="C133" s="14" t="s">
        <v>70</v>
      </c>
      <c r="D133" s="2" t="s">
        <v>68</v>
      </c>
      <c r="E133" s="2" t="s">
        <v>4</v>
      </c>
      <c r="F133" s="14" t="s">
        <v>388</v>
      </c>
      <c r="G133" s="8" t="s">
        <v>936</v>
      </c>
      <c r="H133" s="8" t="s">
        <v>396</v>
      </c>
      <c r="I133" s="27" t="s">
        <v>693</v>
      </c>
      <c r="J133" s="8"/>
      <c r="K133" s="8" t="s">
        <v>396</v>
      </c>
      <c r="L133" s="8" t="s">
        <v>396</v>
      </c>
      <c r="M133" s="8" t="s">
        <v>396</v>
      </c>
      <c r="N133" s="2" t="s">
        <v>714</v>
      </c>
    </row>
    <row r="134" spans="2:14" x14ac:dyDescent="0.25">
      <c r="B134" s="2">
        <v>172</v>
      </c>
      <c r="C134" s="14" t="s">
        <v>70</v>
      </c>
      <c r="D134" s="2" t="s">
        <v>68</v>
      </c>
      <c r="E134" s="2" t="s">
        <v>3</v>
      </c>
      <c r="F134" s="14" t="s">
        <v>386</v>
      </c>
      <c r="G134" s="8" t="s">
        <v>936</v>
      </c>
      <c r="H134" s="8" t="s">
        <v>396</v>
      </c>
      <c r="I134" s="27" t="s">
        <v>693</v>
      </c>
      <c r="J134" s="8"/>
      <c r="K134" s="8" t="s">
        <v>396</v>
      </c>
      <c r="L134" s="8" t="s">
        <v>396</v>
      </c>
      <c r="M134" s="8" t="s">
        <v>396</v>
      </c>
      <c r="N134" s="2" t="s">
        <v>833</v>
      </c>
    </row>
    <row r="135" spans="2:14" x14ac:dyDescent="0.25">
      <c r="B135" s="2">
        <v>173</v>
      </c>
      <c r="C135" s="14" t="s">
        <v>70</v>
      </c>
      <c r="D135" s="25" t="s">
        <v>68</v>
      </c>
      <c r="E135" s="25" t="s">
        <v>2</v>
      </c>
      <c r="F135" s="25"/>
      <c r="G135" s="35" t="s">
        <v>262</v>
      </c>
      <c r="H135" s="8"/>
      <c r="I135" s="8"/>
      <c r="J135" s="8"/>
      <c r="K135" s="8"/>
      <c r="L135" s="8"/>
      <c r="M135" s="8"/>
      <c r="N135" s="2"/>
    </row>
    <row r="136" spans="2:14" x14ac:dyDescent="0.25">
      <c r="B136" s="2">
        <v>174</v>
      </c>
      <c r="C136" s="14" t="s">
        <v>70</v>
      </c>
      <c r="D136" s="2" t="s">
        <v>68</v>
      </c>
      <c r="E136" s="2" t="s">
        <v>1</v>
      </c>
      <c r="F136" s="14" t="s">
        <v>382</v>
      </c>
      <c r="G136" s="8" t="s">
        <v>936</v>
      </c>
      <c r="H136" s="8" t="s">
        <v>396</v>
      </c>
      <c r="I136" s="27" t="s">
        <v>693</v>
      </c>
      <c r="J136" s="8"/>
      <c r="K136" s="8" t="s">
        <v>396</v>
      </c>
      <c r="L136" s="8" t="s">
        <v>396</v>
      </c>
      <c r="M136" s="8" t="s">
        <v>396</v>
      </c>
      <c r="N136" s="2" t="s">
        <v>900</v>
      </c>
    </row>
    <row r="137" spans="2:14" x14ac:dyDescent="0.25">
      <c r="B137" s="2">
        <v>175</v>
      </c>
      <c r="C137" s="14" t="s">
        <v>70</v>
      </c>
      <c r="D137" s="2" t="s">
        <v>68</v>
      </c>
      <c r="E137" s="2" t="s">
        <v>0</v>
      </c>
      <c r="F137" s="14" t="s">
        <v>378</v>
      </c>
      <c r="G137" s="8" t="s">
        <v>936</v>
      </c>
      <c r="H137" s="8" t="s">
        <v>396</v>
      </c>
      <c r="I137" s="27" t="s">
        <v>693</v>
      </c>
      <c r="J137" s="8"/>
      <c r="K137" s="8" t="s">
        <v>396</v>
      </c>
      <c r="L137" s="8" t="s">
        <v>396</v>
      </c>
      <c r="M137" s="8" t="s">
        <v>396</v>
      </c>
      <c r="N137" s="2"/>
    </row>
    <row r="138" spans="2:14" x14ac:dyDescent="0.25">
      <c r="B138" s="2">
        <v>176</v>
      </c>
      <c r="C138" s="14" t="s">
        <v>70</v>
      </c>
      <c r="D138" s="2" t="s">
        <v>68</v>
      </c>
      <c r="E138" s="2" t="s">
        <v>67</v>
      </c>
      <c r="F138" s="28" t="s">
        <v>919</v>
      </c>
      <c r="G138" s="8" t="s">
        <v>936</v>
      </c>
      <c r="H138" s="8" t="s">
        <v>396</v>
      </c>
      <c r="I138" s="27" t="s">
        <v>693</v>
      </c>
      <c r="J138" s="8"/>
      <c r="K138" s="8" t="s">
        <v>396</v>
      </c>
      <c r="L138" s="8" t="s">
        <v>396</v>
      </c>
      <c r="M138" s="8" t="s">
        <v>396</v>
      </c>
      <c r="N138" s="2"/>
    </row>
    <row r="139" spans="2:14" x14ac:dyDescent="0.25">
      <c r="B139" s="2">
        <v>178</v>
      </c>
      <c r="C139" s="14" t="s">
        <v>70</v>
      </c>
      <c r="D139" s="14" t="s">
        <v>66</v>
      </c>
      <c r="E139" s="2" t="s">
        <v>5</v>
      </c>
      <c r="F139" s="14" t="s">
        <v>390</v>
      </c>
      <c r="G139" s="8" t="s">
        <v>936</v>
      </c>
      <c r="H139" s="8" t="s">
        <v>396</v>
      </c>
      <c r="I139" s="27" t="s">
        <v>693</v>
      </c>
      <c r="J139" s="8"/>
      <c r="K139" s="8" t="s">
        <v>396</v>
      </c>
      <c r="L139" s="8" t="s">
        <v>396</v>
      </c>
      <c r="M139" s="8" t="s">
        <v>396</v>
      </c>
      <c r="N139" s="2" t="s">
        <v>714</v>
      </c>
    </row>
    <row r="140" spans="2:14" x14ac:dyDescent="0.25">
      <c r="B140" s="2">
        <v>179</v>
      </c>
      <c r="C140" s="14" t="s">
        <v>70</v>
      </c>
      <c r="D140" s="2" t="s">
        <v>66</v>
      </c>
      <c r="E140" s="2" t="s">
        <v>4</v>
      </c>
      <c r="F140" s="14" t="s">
        <v>391</v>
      </c>
      <c r="G140" s="8" t="s">
        <v>936</v>
      </c>
      <c r="H140" s="8" t="s">
        <v>396</v>
      </c>
      <c r="I140" s="27" t="s">
        <v>693</v>
      </c>
      <c r="J140" s="2"/>
      <c r="K140" s="8" t="s">
        <v>396</v>
      </c>
      <c r="L140" s="8" t="s">
        <v>396</v>
      </c>
      <c r="M140" s="8" t="s">
        <v>396</v>
      </c>
      <c r="N140" s="2" t="s">
        <v>876</v>
      </c>
    </row>
    <row r="141" spans="2:14" x14ac:dyDescent="0.25">
      <c r="B141" s="2">
        <v>180</v>
      </c>
      <c r="C141" s="14" t="s">
        <v>70</v>
      </c>
      <c r="D141" s="2" t="s">
        <v>66</v>
      </c>
      <c r="E141" s="2" t="s">
        <v>3</v>
      </c>
      <c r="F141" s="14" t="s">
        <v>389</v>
      </c>
      <c r="G141" s="8" t="s">
        <v>936</v>
      </c>
      <c r="H141" s="8" t="s">
        <v>396</v>
      </c>
      <c r="I141" s="27" t="s">
        <v>693</v>
      </c>
      <c r="J141" s="2"/>
      <c r="K141" s="8" t="s">
        <v>396</v>
      </c>
      <c r="L141" s="8" t="s">
        <v>396</v>
      </c>
      <c r="M141" s="8" t="s">
        <v>396</v>
      </c>
      <c r="N141" s="2" t="s">
        <v>834</v>
      </c>
    </row>
    <row r="142" spans="2:14" x14ac:dyDescent="0.25">
      <c r="B142" s="2">
        <v>181</v>
      </c>
      <c r="C142" s="14" t="s">
        <v>70</v>
      </c>
      <c r="D142" s="25" t="s">
        <v>66</v>
      </c>
      <c r="E142" s="25" t="s">
        <v>2</v>
      </c>
      <c r="F142" s="25"/>
      <c r="G142" s="35" t="s">
        <v>262</v>
      </c>
      <c r="H142" s="8"/>
      <c r="I142" s="27" t="s">
        <v>693</v>
      </c>
      <c r="J142" s="2"/>
      <c r="K142" s="8" t="s">
        <v>396</v>
      </c>
      <c r="L142" s="8" t="s">
        <v>396</v>
      </c>
      <c r="M142" s="8" t="s">
        <v>396</v>
      </c>
      <c r="N142" s="2" t="s">
        <v>875</v>
      </c>
    </row>
    <row r="143" spans="2:14" x14ac:dyDescent="0.25">
      <c r="B143" s="2">
        <v>182</v>
      </c>
      <c r="C143" s="14" t="s">
        <v>70</v>
      </c>
      <c r="D143" s="2" t="s">
        <v>66</v>
      </c>
      <c r="E143" s="2" t="s">
        <v>1</v>
      </c>
      <c r="F143" s="14" t="s">
        <v>381</v>
      </c>
      <c r="G143" s="8" t="s">
        <v>936</v>
      </c>
      <c r="H143" s="8" t="s">
        <v>396</v>
      </c>
      <c r="I143" s="27" t="s">
        <v>693</v>
      </c>
      <c r="J143" s="2"/>
      <c r="K143" s="8" t="s">
        <v>396</v>
      </c>
      <c r="L143" s="8" t="s">
        <v>396</v>
      </c>
      <c r="M143" s="8" t="s">
        <v>396</v>
      </c>
      <c r="N143" s="2" t="s">
        <v>833</v>
      </c>
    </row>
    <row r="144" spans="2:14" x14ac:dyDescent="0.25">
      <c r="B144" s="2">
        <v>183</v>
      </c>
      <c r="C144" s="14" t="s">
        <v>70</v>
      </c>
      <c r="D144" s="2" t="s">
        <v>66</v>
      </c>
      <c r="E144" s="2" t="s">
        <v>0</v>
      </c>
      <c r="F144" s="14" t="s">
        <v>377</v>
      </c>
      <c r="G144" s="8" t="s">
        <v>936</v>
      </c>
      <c r="H144" s="8" t="s">
        <v>396</v>
      </c>
      <c r="I144" s="27" t="s">
        <v>693</v>
      </c>
      <c r="J144" s="8"/>
      <c r="K144" s="8" t="s">
        <v>396</v>
      </c>
      <c r="L144" s="8" t="s">
        <v>396</v>
      </c>
      <c r="M144" s="8" t="s">
        <v>396</v>
      </c>
      <c r="N144" s="2"/>
    </row>
    <row r="145" spans="2:14" x14ac:dyDescent="0.25">
      <c r="B145" s="2"/>
      <c r="C145" s="14" t="s">
        <v>70</v>
      </c>
      <c r="D145" s="2" t="s">
        <v>66</v>
      </c>
      <c r="E145" s="2" t="s">
        <v>683</v>
      </c>
      <c r="F145" s="28" t="s">
        <v>930</v>
      </c>
      <c r="G145" s="8" t="s">
        <v>936</v>
      </c>
      <c r="H145" s="8" t="s">
        <v>396</v>
      </c>
      <c r="I145" s="27" t="s">
        <v>693</v>
      </c>
      <c r="J145" s="8"/>
      <c r="K145" s="8"/>
      <c r="L145" s="8" t="s">
        <v>396</v>
      </c>
      <c r="M145" s="8" t="s">
        <v>396</v>
      </c>
      <c r="N145" s="2"/>
    </row>
    <row r="146" spans="2:14" x14ac:dyDescent="0.25">
      <c r="B146" s="2"/>
      <c r="C146" s="14" t="s">
        <v>70</v>
      </c>
      <c r="D146" s="2" t="s">
        <v>66</v>
      </c>
      <c r="E146" s="2" t="s">
        <v>684</v>
      </c>
      <c r="F146" s="28" t="s">
        <v>919</v>
      </c>
      <c r="G146" s="8" t="s">
        <v>936</v>
      </c>
      <c r="H146" s="8" t="s">
        <v>396</v>
      </c>
      <c r="I146" s="27" t="s">
        <v>693</v>
      </c>
      <c r="J146" s="8"/>
      <c r="K146" s="8"/>
      <c r="L146" s="8" t="s">
        <v>396</v>
      </c>
      <c r="M146" s="8" t="s">
        <v>396</v>
      </c>
      <c r="N146" s="2"/>
    </row>
    <row r="147" spans="2:14" x14ac:dyDescent="0.25">
      <c r="B147" s="2"/>
      <c r="C147" s="14" t="s">
        <v>70</v>
      </c>
      <c r="D147" s="2" t="s">
        <v>66</v>
      </c>
      <c r="E147" s="2" t="s">
        <v>676</v>
      </c>
      <c r="F147" s="28" t="s">
        <v>822</v>
      </c>
      <c r="G147" s="8" t="s">
        <v>936</v>
      </c>
      <c r="H147" s="8" t="s">
        <v>396</v>
      </c>
      <c r="I147" s="27" t="s">
        <v>693</v>
      </c>
      <c r="J147" s="8"/>
      <c r="K147" s="8"/>
      <c r="L147" s="8"/>
      <c r="M147" s="8"/>
      <c r="N147" s="2"/>
    </row>
    <row r="148" spans="2:14" x14ac:dyDescent="0.25">
      <c r="B148" s="2">
        <v>187</v>
      </c>
      <c r="C148" s="14" t="s">
        <v>70</v>
      </c>
      <c r="D148" s="14" t="s">
        <v>65</v>
      </c>
      <c r="E148" s="2" t="s">
        <v>5</v>
      </c>
      <c r="F148" s="28" t="s">
        <v>815</v>
      </c>
      <c r="G148" s="8" t="s">
        <v>936</v>
      </c>
      <c r="H148" s="8" t="s">
        <v>396</v>
      </c>
      <c r="I148" s="27" t="s">
        <v>693</v>
      </c>
      <c r="J148" s="8"/>
      <c r="K148" s="8"/>
      <c r="L148" s="8"/>
      <c r="M148" s="8"/>
      <c r="N148" s="2"/>
    </row>
    <row r="149" spans="2:14" x14ac:dyDescent="0.25">
      <c r="B149" s="2">
        <v>188</v>
      </c>
      <c r="C149" s="14" t="s">
        <v>70</v>
      </c>
      <c r="D149" s="2" t="s">
        <v>65</v>
      </c>
      <c r="E149" s="2" t="s">
        <v>3</v>
      </c>
      <c r="F149" s="28" t="s">
        <v>816</v>
      </c>
      <c r="G149" s="8" t="s">
        <v>936</v>
      </c>
      <c r="H149" s="8" t="s">
        <v>396</v>
      </c>
      <c r="I149" s="27" t="s">
        <v>693</v>
      </c>
      <c r="J149" s="8"/>
      <c r="K149" s="8"/>
      <c r="L149" s="8"/>
      <c r="M149" s="8"/>
      <c r="N149" s="2"/>
    </row>
    <row r="150" spans="2:14" x14ac:dyDescent="0.25">
      <c r="B150" s="2">
        <v>189</v>
      </c>
      <c r="C150" s="14" t="s">
        <v>70</v>
      </c>
      <c r="D150" s="2" t="s">
        <v>65</v>
      </c>
      <c r="E150" s="2" t="s">
        <v>2</v>
      </c>
      <c r="F150" s="28" t="s">
        <v>817</v>
      </c>
      <c r="G150" s="8" t="s">
        <v>936</v>
      </c>
      <c r="H150" s="8" t="s">
        <v>396</v>
      </c>
      <c r="I150" s="27" t="s">
        <v>693</v>
      </c>
      <c r="J150" s="8"/>
      <c r="K150" s="8"/>
      <c r="L150" s="8"/>
      <c r="M150" s="8"/>
      <c r="N150" s="2" t="s">
        <v>881</v>
      </c>
    </row>
    <row r="151" spans="2:14" x14ac:dyDescent="0.25">
      <c r="B151" s="2">
        <v>190</v>
      </c>
      <c r="C151" s="14" t="s">
        <v>70</v>
      </c>
      <c r="D151" s="2" t="s">
        <v>65</v>
      </c>
      <c r="E151" s="2" t="s">
        <v>1</v>
      </c>
      <c r="F151" s="28" t="s">
        <v>818</v>
      </c>
      <c r="G151" s="8" t="s">
        <v>936</v>
      </c>
      <c r="H151" s="8" t="s">
        <v>396</v>
      </c>
      <c r="I151" s="27" t="s">
        <v>693</v>
      </c>
      <c r="J151" s="8"/>
      <c r="K151" s="8"/>
      <c r="L151" s="8"/>
      <c r="M151" s="8"/>
      <c r="N151" s="2"/>
    </row>
    <row r="152" spans="2:14" x14ac:dyDescent="0.25">
      <c r="B152" s="2">
        <v>191</v>
      </c>
      <c r="C152" s="14" t="s">
        <v>70</v>
      </c>
      <c r="D152" s="2" t="s">
        <v>65</v>
      </c>
      <c r="E152" s="2" t="s">
        <v>0</v>
      </c>
      <c r="F152" s="28" t="s">
        <v>821</v>
      </c>
      <c r="G152" s="8" t="s">
        <v>936</v>
      </c>
      <c r="H152" s="8" t="s">
        <v>396</v>
      </c>
      <c r="I152" s="27" t="s">
        <v>693</v>
      </c>
      <c r="J152" s="8"/>
      <c r="K152" s="8"/>
      <c r="L152" s="8" t="s">
        <v>396</v>
      </c>
      <c r="M152" s="8"/>
      <c r="N152" s="14" t="s">
        <v>472</v>
      </c>
    </row>
    <row r="153" spans="2:14" x14ac:dyDescent="0.25">
      <c r="B153" s="2">
        <v>192</v>
      </c>
      <c r="C153" s="14" t="s">
        <v>70</v>
      </c>
      <c r="D153" s="2" t="s">
        <v>65</v>
      </c>
      <c r="E153" s="7" t="s">
        <v>64</v>
      </c>
      <c r="F153" s="28" t="s">
        <v>820</v>
      </c>
      <c r="G153" s="8" t="s">
        <v>936</v>
      </c>
      <c r="H153" s="8" t="s">
        <v>396</v>
      </c>
      <c r="I153" s="27" t="s">
        <v>693</v>
      </c>
      <c r="J153" s="8"/>
      <c r="K153" s="8"/>
      <c r="L153" s="8"/>
      <c r="M153" s="8"/>
      <c r="N153" s="2" t="s">
        <v>862</v>
      </c>
    </row>
    <row r="154" spans="2:14" x14ac:dyDescent="0.25">
      <c r="B154" s="2">
        <v>193</v>
      </c>
      <c r="C154" s="14" t="s">
        <v>70</v>
      </c>
      <c r="D154" s="2" t="s">
        <v>65</v>
      </c>
      <c r="E154" s="7" t="s">
        <v>63</v>
      </c>
      <c r="F154" s="28" t="s">
        <v>819</v>
      </c>
      <c r="G154" s="8" t="s">
        <v>936</v>
      </c>
      <c r="H154" s="8" t="s">
        <v>396</v>
      </c>
      <c r="I154" s="27" t="s">
        <v>693</v>
      </c>
      <c r="J154" s="8"/>
      <c r="K154" s="8"/>
      <c r="L154" s="8"/>
      <c r="M154" s="8"/>
      <c r="N154" s="2"/>
    </row>
    <row r="155" spans="2:14" x14ac:dyDescent="0.25">
      <c r="B155" s="2">
        <v>194</v>
      </c>
      <c r="C155" s="14" t="s">
        <v>70</v>
      </c>
      <c r="D155" s="2" t="s">
        <v>65</v>
      </c>
      <c r="E155" s="7" t="s">
        <v>62</v>
      </c>
      <c r="F155" s="28" t="s">
        <v>822</v>
      </c>
      <c r="G155" s="8" t="s">
        <v>936</v>
      </c>
      <c r="H155" s="8" t="s">
        <v>396</v>
      </c>
      <c r="I155" s="27" t="s">
        <v>693</v>
      </c>
      <c r="J155" s="8"/>
      <c r="K155" s="8"/>
      <c r="L155" s="8"/>
      <c r="M155" s="8" t="s">
        <v>396</v>
      </c>
      <c r="N155" s="2" t="s">
        <v>905</v>
      </c>
    </row>
    <row r="156" spans="2:14" x14ac:dyDescent="0.25">
      <c r="B156" s="2">
        <v>193</v>
      </c>
      <c r="C156" s="14" t="s">
        <v>70</v>
      </c>
      <c r="D156" s="2" t="s">
        <v>65</v>
      </c>
      <c r="E156" s="7" t="s">
        <v>902</v>
      </c>
      <c r="F156" s="28" t="s">
        <v>903</v>
      </c>
      <c r="G156" s="8" t="s">
        <v>936</v>
      </c>
      <c r="H156" s="8" t="s">
        <v>396</v>
      </c>
      <c r="I156" s="27" t="s">
        <v>693</v>
      </c>
      <c r="J156" s="8"/>
      <c r="K156" s="8"/>
      <c r="L156" s="8"/>
      <c r="M156" s="8"/>
      <c r="N156" s="2" t="s">
        <v>904</v>
      </c>
    </row>
    <row r="157" spans="2:14" x14ac:dyDescent="0.25">
      <c r="B157" s="2">
        <v>193</v>
      </c>
      <c r="C157" s="14" t="s">
        <v>70</v>
      </c>
      <c r="D157" s="2" t="s">
        <v>65</v>
      </c>
      <c r="E157" s="2" t="s">
        <v>36</v>
      </c>
      <c r="F157" s="28" t="s">
        <v>877</v>
      </c>
      <c r="G157" s="8" t="s">
        <v>936</v>
      </c>
      <c r="H157" s="8" t="s">
        <v>396</v>
      </c>
      <c r="I157" s="27" t="s">
        <v>693</v>
      </c>
      <c r="J157" s="8"/>
      <c r="K157" s="8"/>
      <c r="L157" s="8"/>
      <c r="M157" s="8"/>
      <c r="N157" s="2" t="s">
        <v>880</v>
      </c>
    </row>
    <row r="158" spans="2:14" x14ac:dyDescent="0.25">
      <c r="B158" s="2">
        <v>205</v>
      </c>
      <c r="C158" s="14" t="s">
        <v>61</v>
      </c>
      <c r="D158" s="14" t="s">
        <v>60</v>
      </c>
      <c r="E158" s="2" t="s">
        <v>5</v>
      </c>
      <c r="F158" s="14" t="s">
        <v>359</v>
      </c>
      <c r="G158" s="8" t="s">
        <v>936</v>
      </c>
      <c r="H158" s="8" t="s">
        <v>396</v>
      </c>
      <c r="I158" s="27" t="s">
        <v>693</v>
      </c>
      <c r="J158" s="8"/>
      <c r="K158" s="8" t="s">
        <v>396</v>
      </c>
      <c r="L158" s="8" t="s">
        <v>396</v>
      </c>
      <c r="M158" s="8" t="s">
        <v>396</v>
      </c>
      <c r="N158" s="30" t="s">
        <v>870</v>
      </c>
    </row>
    <row r="159" spans="2:14" x14ac:dyDescent="0.25">
      <c r="B159" s="2">
        <v>206</v>
      </c>
      <c r="C159" s="14" t="s">
        <v>61</v>
      </c>
      <c r="D159" s="2" t="s">
        <v>60</v>
      </c>
      <c r="E159" s="2" t="s">
        <v>4</v>
      </c>
      <c r="F159" s="14" t="s">
        <v>360</v>
      </c>
      <c r="G159" s="8" t="s">
        <v>936</v>
      </c>
      <c r="H159" s="8" t="s">
        <v>396</v>
      </c>
      <c r="I159" s="27" t="s">
        <v>693</v>
      </c>
      <c r="J159" s="8"/>
      <c r="K159" s="8" t="s">
        <v>396</v>
      </c>
      <c r="L159" s="8" t="s">
        <v>396</v>
      </c>
      <c r="M159" s="8" t="s">
        <v>396</v>
      </c>
      <c r="N159" s="30" t="s">
        <v>870</v>
      </c>
    </row>
    <row r="160" spans="2:14" x14ac:dyDescent="0.25">
      <c r="B160" s="2">
        <v>207</v>
      </c>
      <c r="C160" s="14" t="s">
        <v>61</v>
      </c>
      <c r="D160" s="2" t="s">
        <v>60</v>
      </c>
      <c r="E160" s="2" t="s">
        <v>3</v>
      </c>
      <c r="F160" s="14" t="s">
        <v>358</v>
      </c>
      <c r="G160" s="8" t="s">
        <v>936</v>
      </c>
      <c r="H160" s="8" t="s">
        <v>396</v>
      </c>
      <c r="I160" s="27" t="s">
        <v>693</v>
      </c>
      <c r="J160" s="8"/>
      <c r="K160" s="8" t="s">
        <v>396</v>
      </c>
      <c r="L160" s="8" t="s">
        <v>396</v>
      </c>
      <c r="M160" s="8" t="s">
        <v>396</v>
      </c>
      <c r="N160" s="11" t="s">
        <v>718</v>
      </c>
    </row>
    <row r="161" spans="2:14" x14ac:dyDescent="0.25">
      <c r="B161" s="2">
        <v>208</v>
      </c>
      <c r="C161" s="14" t="s">
        <v>61</v>
      </c>
      <c r="D161" s="2" t="s">
        <v>60</v>
      </c>
      <c r="E161" s="2" t="s">
        <v>2</v>
      </c>
      <c r="F161" s="14" t="s">
        <v>353</v>
      </c>
      <c r="G161" s="8" t="s">
        <v>936</v>
      </c>
      <c r="H161" s="8" t="s">
        <v>396</v>
      </c>
      <c r="I161" s="27" t="s">
        <v>693</v>
      </c>
      <c r="J161" s="8"/>
      <c r="K161" s="8" t="s">
        <v>396</v>
      </c>
      <c r="L161" s="8" t="s">
        <v>396</v>
      </c>
      <c r="M161" s="8" t="s">
        <v>396</v>
      </c>
      <c r="N161" s="11" t="s">
        <v>718</v>
      </c>
    </row>
    <row r="162" spans="2:14" x14ac:dyDescent="0.25">
      <c r="B162" s="2">
        <v>209</v>
      </c>
      <c r="C162" s="14" t="s">
        <v>61</v>
      </c>
      <c r="D162" s="2" t="s">
        <v>60</v>
      </c>
      <c r="E162" s="2" t="s">
        <v>1</v>
      </c>
      <c r="F162" s="14" t="s">
        <v>356</v>
      </c>
      <c r="G162" s="8" t="s">
        <v>936</v>
      </c>
      <c r="H162" s="8" t="s">
        <v>396</v>
      </c>
      <c r="I162" s="27" t="s">
        <v>693</v>
      </c>
      <c r="J162" s="8"/>
      <c r="K162" s="8" t="s">
        <v>396</v>
      </c>
      <c r="L162" s="8" t="s">
        <v>396</v>
      </c>
      <c r="M162" s="8" t="s">
        <v>396</v>
      </c>
      <c r="N162" s="11" t="s">
        <v>718</v>
      </c>
    </row>
    <row r="163" spans="2:14" x14ac:dyDescent="0.25">
      <c r="B163" s="2">
        <v>210</v>
      </c>
      <c r="C163" s="14" t="s">
        <v>61</v>
      </c>
      <c r="D163" s="2" t="s">
        <v>60</v>
      </c>
      <c r="E163" s="2" t="s">
        <v>0</v>
      </c>
      <c r="F163" s="14" t="s">
        <v>350</v>
      </c>
      <c r="G163" s="8" t="s">
        <v>936</v>
      </c>
      <c r="H163" s="8" t="s">
        <v>396</v>
      </c>
      <c r="I163" s="27" t="s">
        <v>693</v>
      </c>
      <c r="J163" s="8"/>
      <c r="K163" s="8" t="s">
        <v>396</v>
      </c>
      <c r="L163" s="8" t="s">
        <v>396</v>
      </c>
      <c r="M163" s="8" t="s">
        <v>396</v>
      </c>
      <c r="N163" s="11" t="s">
        <v>718</v>
      </c>
    </row>
    <row r="164" spans="2:14" x14ac:dyDescent="0.25">
      <c r="B164" s="2"/>
      <c r="C164" s="14" t="s">
        <v>61</v>
      </c>
      <c r="D164" s="2" t="s">
        <v>60</v>
      </c>
      <c r="E164" s="2" t="s">
        <v>738</v>
      </c>
      <c r="F164" s="28" t="s">
        <v>943</v>
      </c>
      <c r="G164" s="8" t="s">
        <v>936</v>
      </c>
      <c r="H164" s="8" t="s">
        <v>396</v>
      </c>
      <c r="I164" s="27" t="s">
        <v>693</v>
      </c>
      <c r="J164" s="8"/>
      <c r="K164" s="8"/>
      <c r="L164" s="8"/>
      <c r="M164" s="8"/>
      <c r="N164" s="2"/>
    </row>
    <row r="165" spans="2:14" x14ac:dyDescent="0.25">
      <c r="B165" s="2">
        <v>211</v>
      </c>
      <c r="C165" s="14" t="s">
        <v>61</v>
      </c>
      <c r="D165" s="2" t="s">
        <v>60</v>
      </c>
      <c r="E165" s="2" t="s">
        <v>665</v>
      </c>
      <c r="F165" s="28" t="s">
        <v>944</v>
      </c>
      <c r="G165" s="8" t="s">
        <v>936</v>
      </c>
      <c r="H165" s="8" t="s">
        <v>396</v>
      </c>
      <c r="I165" s="27" t="s">
        <v>693</v>
      </c>
      <c r="J165" s="8"/>
      <c r="K165" s="8"/>
      <c r="L165" s="8"/>
      <c r="M165" s="8"/>
      <c r="N165" s="36" t="s">
        <v>948</v>
      </c>
    </row>
    <row r="166" spans="2:14" x14ac:dyDescent="0.25">
      <c r="B166" s="2">
        <v>212</v>
      </c>
      <c r="C166" s="14" t="s">
        <v>61</v>
      </c>
      <c r="D166" s="14" t="s">
        <v>59</v>
      </c>
      <c r="E166" s="2" t="s">
        <v>5</v>
      </c>
      <c r="F166" s="14" t="s">
        <v>361</v>
      </c>
      <c r="G166" s="8" t="s">
        <v>936</v>
      </c>
      <c r="H166" s="8" t="s">
        <v>396</v>
      </c>
      <c r="I166" s="27" t="s">
        <v>693</v>
      </c>
      <c r="J166" s="8"/>
      <c r="K166" s="8" t="s">
        <v>396</v>
      </c>
      <c r="L166" s="8" t="s">
        <v>396</v>
      </c>
      <c r="M166" s="8" t="s">
        <v>396</v>
      </c>
      <c r="N166" s="30" t="s">
        <v>870</v>
      </c>
    </row>
    <row r="167" spans="2:14" x14ac:dyDescent="0.25">
      <c r="B167" s="2">
        <v>213</v>
      </c>
      <c r="C167" s="14" t="s">
        <v>61</v>
      </c>
      <c r="D167" s="2" t="s">
        <v>59</v>
      </c>
      <c r="E167" s="2" t="s">
        <v>4</v>
      </c>
      <c r="F167" s="14" t="s">
        <v>362</v>
      </c>
      <c r="G167" s="8" t="s">
        <v>936</v>
      </c>
      <c r="H167" s="8" t="s">
        <v>396</v>
      </c>
      <c r="I167" s="27" t="s">
        <v>693</v>
      </c>
      <c r="J167" s="8"/>
      <c r="K167" s="8" t="s">
        <v>396</v>
      </c>
      <c r="L167" s="8" t="s">
        <v>396</v>
      </c>
      <c r="M167" s="8" t="s">
        <v>396</v>
      </c>
      <c r="N167" s="30" t="s">
        <v>870</v>
      </c>
    </row>
    <row r="168" spans="2:14" x14ac:dyDescent="0.25">
      <c r="B168" s="2">
        <v>214</v>
      </c>
      <c r="C168" s="14" t="s">
        <v>61</v>
      </c>
      <c r="D168" s="2" t="s">
        <v>59</v>
      </c>
      <c r="E168" s="2" t="s">
        <v>3</v>
      </c>
      <c r="F168" s="14" t="s">
        <v>363</v>
      </c>
      <c r="G168" s="8" t="s">
        <v>936</v>
      </c>
      <c r="H168" s="8" t="s">
        <v>396</v>
      </c>
      <c r="I168" s="27" t="s">
        <v>693</v>
      </c>
      <c r="J168" s="8"/>
      <c r="K168" s="8" t="s">
        <v>396</v>
      </c>
      <c r="L168" s="8" t="s">
        <v>396</v>
      </c>
      <c r="M168" s="8" t="s">
        <v>396</v>
      </c>
      <c r="N168" s="2" t="s">
        <v>883</v>
      </c>
    </row>
    <row r="169" spans="2:14" x14ac:dyDescent="0.25">
      <c r="B169" s="2">
        <v>215</v>
      </c>
      <c r="C169" s="14" t="s">
        <v>61</v>
      </c>
      <c r="D169" s="2" t="s">
        <v>59</v>
      </c>
      <c r="E169" s="2" t="s">
        <v>2</v>
      </c>
      <c r="F169" s="14" t="s">
        <v>354</v>
      </c>
      <c r="G169" s="8" t="s">
        <v>936</v>
      </c>
      <c r="H169" s="8" t="s">
        <v>396</v>
      </c>
      <c r="I169" s="27" t="s">
        <v>693</v>
      </c>
      <c r="J169" s="8"/>
      <c r="K169" s="8" t="s">
        <v>396</v>
      </c>
      <c r="L169" s="8" t="s">
        <v>396</v>
      </c>
      <c r="M169" s="8" t="s">
        <v>396</v>
      </c>
      <c r="N169" s="2" t="s">
        <v>882</v>
      </c>
    </row>
    <row r="170" spans="2:14" x14ac:dyDescent="0.25">
      <c r="B170" s="2">
        <v>216</v>
      </c>
      <c r="C170" s="14" t="s">
        <v>61</v>
      </c>
      <c r="D170" s="2" t="s">
        <v>59</v>
      </c>
      <c r="E170" s="2" t="s">
        <v>1</v>
      </c>
      <c r="F170" s="14" t="s">
        <v>357</v>
      </c>
      <c r="G170" s="8" t="s">
        <v>936</v>
      </c>
      <c r="H170" s="8" t="s">
        <v>396</v>
      </c>
      <c r="I170" s="27" t="s">
        <v>693</v>
      </c>
      <c r="J170" s="8"/>
      <c r="K170" s="8" t="s">
        <v>396</v>
      </c>
      <c r="L170" s="8" t="s">
        <v>396</v>
      </c>
      <c r="M170" s="8" t="s">
        <v>396</v>
      </c>
      <c r="N170" s="2" t="s">
        <v>716</v>
      </c>
    </row>
    <row r="171" spans="2:14" x14ac:dyDescent="0.25">
      <c r="B171" s="2">
        <v>217</v>
      </c>
      <c r="C171" s="14" t="s">
        <v>61</v>
      </c>
      <c r="D171" s="2" t="s">
        <v>59</v>
      </c>
      <c r="E171" s="2" t="s">
        <v>0</v>
      </c>
      <c r="F171" s="14" t="s">
        <v>351</v>
      </c>
      <c r="G171" s="8" t="s">
        <v>936</v>
      </c>
      <c r="H171" s="8" t="s">
        <v>396</v>
      </c>
      <c r="I171" s="27" t="s">
        <v>693</v>
      </c>
      <c r="J171" s="8"/>
      <c r="K171" s="8" t="s">
        <v>396</v>
      </c>
      <c r="L171" s="8" t="s">
        <v>396</v>
      </c>
      <c r="M171" s="8" t="s">
        <v>396</v>
      </c>
      <c r="N171" s="2" t="s">
        <v>715</v>
      </c>
    </row>
    <row r="172" spans="2:14" x14ac:dyDescent="0.25">
      <c r="B172" s="2">
        <v>211</v>
      </c>
      <c r="C172" s="14" t="s">
        <v>61</v>
      </c>
      <c r="D172" s="2" t="s">
        <v>59</v>
      </c>
      <c r="E172" s="2" t="s">
        <v>738</v>
      </c>
      <c r="F172" s="28" t="s">
        <v>943</v>
      </c>
      <c r="G172" s="8" t="s">
        <v>936</v>
      </c>
      <c r="H172" s="8" t="s">
        <v>396</v>
      </c>
      <c r="I172" s="27" t="s">
        <v>693</v>
      </c>
      <c r="J172" s="8"/>
      <c r="K172" s="8"/>
      <c r="L172" s="8"/>
      <c r="M172" s="8"/>
      <c r="N172" s="36" t="s">
        <v>947</v>
      </c>
    </row>
    <row r="173" spans="2:14" x14ac:dyDescent="0.25">
      <c r="B173" s="2">
        <v>211</v>
      </c>
      <c r="C173" s="14" t="s">
        <v>61</v>
      </c>
      <c r="D173" s="2" t="s">
        <v>59</v>
      </c>
      <c r="E173" s="2" t="s">
        <v>909</v>
      </c>
      <c r="F173" s="28" t="s">
        <v>908</v>
      </c>
      <c r="G173" s="8" t="s">
        <v>936</v>
      </c>
      <c r="H173" s="8" t="s">
        <v>396</v>
      </c>
      <c r="I173" s="27" t="s">
        <v>693</v>
      </c>
      <c r="J173" s="8"/>
      <c r="K173" s="8"/>
      <c r="L173" s="8"/>
      <c r="M173" s="8"/>
      <c r="N173" s="2"/>
    </row>
    <row r="174" spans="2:14" x14ac:dyDescent="0.25">
      <c r="B174" s="2">
        <v>218</v>
      </c>
      <c r="C174" s="14" t="s">
        <v>61</v>
      </c>
      <c r="D174" s="14" t="s">
        <v>58</v>
      </c>
      <c r="E174" s="2" t="s">
        <v>5</v>
      </c>
      <c r="F174" s="14" t="s">
        <v>364</v>
      </c>
      <c r="G174" s="8" t="s">
        <v>936</v>
      </c>
      <c r="H174" s="8" t="s">
        <v>396</v>
      </c>
      <c r="I174" s="27" t="s">
        <v>693</v>
      </c>
      <c r="J174" s="8"/>
      <c r="K174" s="8" t="s">
        <v>396</v>
      </c>
      <c r="L174" s="8" t="s">
        <v>396</v>
      </c>
      <c r="M174" s="8" t="s">
        <v>396</v>
      </c>
      <c r="N174" s="30" t="s">
        <v>870</v>
      </c>
    </row>
    <row r="175" spans="2:14" x14ac:dyDescent="0.25">
      <c r="B175" s="2">
        <v>219</v>
      </c>
      <c r="C175" s="14" t="s">
        <v>61</v>
      </c>
      <c r="D175" s="2" t="s">
        <v>58</v>
      </c>
      <c r="E175" s="2" t="s">
        <v>4</v>
      </c>
      <c r="F175" s="14" t="s">
        <v>365</v>
      </c>
      <c r="G175" s="8" t="s">
        <v>936</v>
      </c>
      <c r="H175" s="8" t="s">
        <v>396</v>
      </c>
      <c r="I175" s="27" t="s">
        <v>693</v>
      </c>
      <c r="J175" s="8"/>
      <c r="K175" s="8" t="s">
        <v>396</v>
      </c>
      <c r="L175" s="8" t="s">
        <v>396</v>
      </c>
      <c r="M175" s="8" t="s">
        <v>396</v>
      </c>
      <c r="N175" s="30" t="s">
        <v>870</v>
      </c>
    </row>
    <row r="176" spans="2:14" x14ac:dyDescent="0.25">
      <c r="B176" s="2">
        <v>220</v>
      </c>
      <c r="C176" s="14" t="s">
        <v>61</v>
      </c>
      <c r="D176" s="2" t="s">
        <v>58</v>
      </c>
      <c r="E176" s="2" t="s">
        <v>3</v>
      </c>
      <c r="F176" s="14" t="s">
        <v>366</v>
      </c>
      <c r="G176" s="8" t="s">
        <v>936</v>
      </c>
      <c r="H176" s="8" t="s">
        <v>396</v>
      </c>
      <c r="I176" s="27" t="s">
        <v>693</v>
      </c>
      <c r="J176" s="11"/>
      <c r="K176" s="8" t="s">
        <v>396</v>
      </c>
      <c r="L176" s="8" t="s">
        <v>396</v>
      </c>
      <c r="M176" s="8" t="s">
        <v>396</v>
      </c>
      <c r="N176" s="11" t="s">
        <v>717</v>
      </c>
    </row>
    <row r="177" spans="2:14" x14ac:dyDescent="0.25">
      <c r="B177" s="2">
        <v>221</v>
      </c>
      <c r="C177" s="14" t="s">
        <v>61</v>
      </c>
      <c r="D177" s="2" t="s">
        <v>58</v>
      </c>
      <c r="E177" s="2" t="s">
        <v>2</v>
      </c>
      <c r="F177" s="14" t="s">
        <v>352</v>
      </c>
      <c r="G177" s="8" t="s">
        <v>936</v>
      </c>
      <c r="H177" s="8" t="s">
        <v>396</v>
      </c>
      <c r="I177" s="27" t="s">
        <v>693</v>
      </c>
      <c r="J177" s="11"/>
      <c r="K177" s="8" t="s">
        <v>396</v>
      </c>
      <c r="L177" s="8" t="s">
        <v>396</v>
      </c>
      <c r="M177" s="8" t="s">
        <v>396</v>
      </c>
      <c r="N177" s="11" t="s">
        <v>906</v>
      </c>
    </row>
    <row r="178" spans="2:14" x14ac:dyDescent="0.25">
      <c r="B178" s="2">
        <v>222</v>
      </c>
      <c r="C178" s="14" t="s">
        <v>61</v>
      </c>
      <c r="D178" s="2" t="s">
        <v>58</v>
      </c>
      <c r="E178" s="2" t="s">
        <v>1</v>
      </c>
      <c r="F178" s="14" t="s">
        <v>355</v>
      </c>
      <c r="G178" s="8" t="s">
        <v>936</v>
      </c>
      <c r="H178" s="8" t="s">
        <v>396</v>
      </c>
      <c r="I178" s="27" t="s">
        <v>693</v>
      </c>
      <c r="J178" s="11"/>
      <c r="K178" s="8" t="s">
        <v>396</v>
      </c>
      <c r="L178" s="8" t="s">
        <v>396</v>
      </c>
      <c r="M178" s="8" t="s">
        <v>396</v>
      </c>
      <c r="N178" s="11" t="s">
        <v>871</v>
      </c>
    </row>
    <row r="179" spans="2:14" x14ac:dyDescent="0.25">
      <c r="B179" s="2">
        <v>223</v>
      </c>
      <c r="C179" s="14" t="s">
        <v>61</v>
      </c>
      <c r="D179" s="2" t="s">
        <v>58</v>
      </c>
      <c r="E179" s="2" t="s">
        <v>0</v>
      </c>
      <c r="F179" s="14" t="s">
        <v>349</v>
      </c>
      <c r="G179" s="8" t="s">
        <v>936</v>
      </c>
      <c r="H179" s="8" t="s">
        <v>396</v>
      </c>
      <c r="I179" s="27" t="s">
        <v>693</v>
      </c>
      <c r="J179" s="11"/>
      <c r="K179" s="8" t="s">
        <v>396</v>
      </c>
      <c r="L179" s="8" t="s">
        <v>396</v>
      </c>
      <c r="M179" s="8" t="s">
        <v>396</v>
      </c>
      <c r="N179" s="11" t="s">
        <v>717</v>
      </c>
    </row>
    <row r="180" spans="2:14" x14ac:dyDescent="0.25">
      <c r="B180" s="2">
        <v>222</v>
      </c>
      <c r="C180" s="14" t="s">
        <v>61</v>
      </c>
      <c r="D180" s="2" t="s">
        <v>58</v>
      </c>
      <c r="E180" s="2" t="s">
        <v>685</v>
      </c>
      <c r="F180" s="28" t="s">
        <v>943</v>
      </c>
      <c r="G180" s="8" t="s">
        <v>936</v>
      </c>
      <c r="H180" s="8" t="s">
        <v>396</v>
      </c>
      <c r="I180" s="27" t="s">
        <v>693</v>
      </c>
      <c r="J180" s="8"/>
      <c r="K180" s="8"/>
      <c r="L180" s="8"/>
      <c r="M180" s="8"/>
      <c r="N180" s="36" t="s">
        <v>945</v>
      </c>
    </row>
    <row r="181" spans="2:14" x14ac:dyDescent="0.25">
      <c r="B181" s="2">
        <v>223</v>
      </c>
      <c r="C181" s="14" t="s">
        <v>61</v>
      </c>
      <c r="D181" s="2" t="s">
        <v>58</v>
      </c>
      <c r="E181" s="2" t="s">
        <v>686</v>
      </c>
      <c r="F181" s="28" t="s">
        <v>884</v>
      </c>
      <c r="G181" s="8" t="s">
        <v>936</v>
      </c>
      <c r="H181" s="8" t="s">
        <v>396</v>
      </c>
      <c r="I181" s="27" t="s">
        <v>693</v>
      </c>
      <c r="J181" s="8"/>
      <c r="K181" s="8"/>
      <c r="L181" s="8"/>
      <c r="M181" s="8"/>
      <c r="N181" s="2" t="s">
        <v>885</v>
      </c>
    </row>
    <row r="182" spans="2:14" x14ac:dyDescent="0.25">
      <c r="B182" s="2">
        <v>224</v>
      </c>
      <c r="C182" s="14" t="s">
        <v>57</v>
      </c>
      <c r="D182" s="14" t="s">
        <v>27</v>
      </c>
      <c r="E182" s="2" t="s">
        <v>5</v>
      </c>
      <c r="F182" s="14" t="s">
        <v>658</v>
      </c>
      <c r="G182" s="8" t="s">
        <v>936</v>
      </c>
      <c r="H182" s="8" t="s">
        <v>396</v>
      </c>
      <c r="I182" s="8" t="s">
        <v>693</v>
      </c>
      <c r="J182" s="8"/>
      <c r="K182" s="8" t="s">
        <v>396</v>
      </c>
      <c r="L182" s="8" t="s">
        <v>396</v>
      </c>
      <c r="M182" s="8" t="s">
        <v>396</v>
      </c>
      <c r="N182" s="2" t="s">
        <v>847</v>
      </c>
    </row>
    <row r="183" spans="2:14" x14ac:dyDescent="0.25">
      <c r="B183" s="2">
        <v>225</v>
      </c>
      <c r="C183" s="14" t="s">
        <v>57</v>
      </c>
      <c r="D183" s="2" t="s">
        <v>27</v>
      </c>
      <c r="E183" s="2" t="s">
        <v>4</v>
      </c>
      <c r="F183" s="14" t="s">
        <v>656</v>
      </c>
      <c r="G183" s="8" t="s">
        <v>936</v>
      </c>
      <c r="H183" s="8" t="s">
        <v>396</v>
      </c>
      <c r="I183" s="8" t="s">
        <v>693</v>
      </c>
      <c r="J183" s="8"/>
      <c r="K183" s="8" t="s">
        <v>396</v>
      </c>
      <c r="L183" s="8" t="s">
        <v>396</v>
      </c>
      <c r="M183" s="8" t="s">
        <v>396</v>
      </c>
      <c r="N183" s="2" t="s">
        <v>847</v>
      </c>
    </row>
    <row r="184" spans="2:14" x14ac:dyDescent="0.25">
      <c r="B184" s="2">
        <v>226</v>
      </c>
      <c r="C184" s="14" t="s">
        <v>57</v>
      </c>
      <c r="D184" s="2" t="s">
        <v>27</v>
      </c>
      <c r="E184" s="2" t="s">
        <v>3</v>
      </c>
      <c r="F184" s="14" t="s">
        <v>660</v>
      </c>
      <c r="G184" s="8" t="s">
        <v>936</v>
      </c>
      <c r="H184" s="8" t="s">
        <v>396</v>
      </c>
      <c r="I184" s="8" t="s">
        <v>693</v>
      </c>
      <c r="J184" s="8"/>
      <c r="K184" s="8" t="s">
        <v>396</v>
      </c>
      <c r="L184" s="8"/>
      <c r="M184" s="8" t="s">
        <v>396</v>
      </c>
      <c r="N184" s="8"/>
    </row>
    <row r="185" spans="2:14" x14ac:dyDescent="0.25">
      <c r="B185" s="2">
        <v>227</v>
      </c>
      <c r="C185" s="14" t="s">
        <v>57</v>
      </c>
      <c r="D185" s="2" t="s">
        <v>27</v>
      </c>
      <c r="E185" s="2" t="s">
        <v>2</v>
      </c>
      <c r="F185" s="14" t="s">
        <v>474</v>
      </c>
      <c r="G185" s="8" t="s">
        <v>936</v>
      </c>
      <c r="H185" s="8" t="s">
        <v>396</v>
      </c>
      <c r="I185" s="8" t="s">
        <v>693</v>
      </c>
      <c r="J185" s="8"/>
      <c r="K185" s="8" t="s">
        <v>396</v>
      </c>
      <c r="L185" s="8" t="s">
        <v>396</v>
      </c>
      <c r="M185" s="8" t="s">
        <v>396</v>
      </c>
      <c r="N185" s="11" t="s">
        <v>846</v>
      </c>
    </row>
    <row r="186" spans="2:14" x14ac:dyDescent="0.25">
      <c r="B186" s="2">
        <v>228</v>
      </c>
      <c r="C186" s="14" t="s">
        <v>57</v>
      </c>
      <c r="D186" s="2" t="s">
        <v>27</v>
      </c>
      <c r="E186" s="2" t="s">
        <v>1</v>
      </c>
      <c r="F186" s="14" t="s">
        <v>395</v>
      </c>
      <c r="G186" s="8" t="s">
        <v>936</v>
      </c>
      <c r="H186" s="8" t="s">
        <v>396</v>
      </c>
      <c r="I186" s="8" t="s">
        <v>693</v>
      </c>
      <c r="J186" s="8"/>
      <c r="K186" s="8" t="s">
        <v>396</v>
      </c>
      <c r="L186" s="8" t="s">
        <v>396</v>
      </c>
      <c r="M186" s="8" t="s">
        <v>396</v>
      </c>
      <c r="N186" s="2" t="s">
        <v>721</v>
      </c>
    </row>
    <row r="187" spans="2:14" x14ac:dyDescent="0.25">
      <c r="B187" s="2">
        <v>229</v>
      </c>
      <c r="C187" s="14" t="s">
        <v>57</v>
      </c>
      <c r="D187" s="2" t="s">
        <v>27</v>
      </c>
      <c r="E187" s="2" t="s">
        <v>0</v>
      </c>
      <c r="F187" s="14" t="s">
        <v>393</v>
      </c>
      <c r="G187" s="8" t="s">
        <v>936</v>
      </c>
      <c r="H187" s="8" t="s">
        <v>396</v>
      </c>
      <c r="I187" s="8" t="s">
        <v>693</v>
      </c>
      <c r="J187" s="8"/>
      <c r="K187" s="8" t="s">
        <v>396</v>
      </c>
      <c r="L187" s="8" t="s">
        <v>396</v>
      </c>
      <c r="M187" s="8" t="s">
        <v>396</v>
      </c>
      <c r="N187" s="2"/>
    </row>
    <row r="188" spans="2:14" x14ac:dyDescent="0.25">
      <c r="B188" s="2">
        <v>230</v>
      </c>
      <c r="C188" s="14" t="s">
        <v>57</v>
      </c>
      <c r="D188" s="2" t="s">
        <v>27</v>
      </c>
      <c r="E188" s="2" t="s">
        <v>45</v>
      </c>
      <c r="F188" s="28" t="s">
        <v>946</v>
      </c>
      <c r="G188" s="8" t="s">
        <v>936</v>
      </c>
      <c r="H188" s="8" t="s">
        <v>396</v>
      </c>
      <c r="I188" s="8" t="s">
        <v>693</v>
      </c>
      <c r="J188" s="8"/>
      <c r="K188" s="8"/>
      <c r="L188" s="8"/>
      <c r="M188" s="8"/>
      <c r="N188" s="2"/>
    </row>
    <row r="189" spans="2:14" x14ac:dyDescent="0.25">
      <c r="B189" s="2">
        <v>230</v>
      </c>
      <c r="C189" s="14" t="s">
        <v>57</v>
      </c>
      <c r="D189" s="2" t="s">
        <v>27</v>
      </c>
      <c r="E189" s="2" t="s">
        <v>664</v>
      </c>
      <c r="F189" s="28" t="s">
        <v>944</v>
      </c>
      <c r="G189" s="8" t="s">
        <v>936</v>
      </c>
      <c r="H189" s="8" t="s">
        <v>396</v>
      </c>
      <c r="I189" s="8" t="s">
        <v>693</v>
      </c>
      <c r="J189" s="8"/>
      <c r="K189" s="8"/>
      <c r="L189" s="8"/>
      <c r="M189" s="8"/>
      <c r="N189" s="36" t="s">
        <v>949</v>
      </c>
    </row>
    <row r="190" spans="2:14" x14ac:dyDescent="0.25">
      <c r="B190" s="2">
        <v>231</v>
      </c>
      <c r="C190" s="14" t="s">
        <v>57</v>
      </c>
      <c r="D190" s="14" t="s">
        <v>56</v>
      </c>
      <c r="E190" s="2" t="s">
        <v>5</v>
      </c>
      <c r="F190" s="17" t="s">
        <v>703</v>
      </c>
      <c r="G190" s="8" t="s">
        <v>936</v>
      </c>
      <c r="H190" s="8" t="s">
        <v>396</v>
      </c>
      <c r="I190" s="8" t="s">
        <v>693</v>
      </c>
      <c r="J190" s="2"/>
      <c r="K190" s="8" t="s">
        <v>396</v>
      </c>
      <c r="L190" s="8"/>
      <c r="M190" s="8" t="s">
        <v>396</v>
      </c>
      <c r="N190" s="2" t="s">
        <v>851</v>
      </c>
    </row>
    <row r="191" spans="2:14" x14ac:dyDescent="0.25">
      <c r="B191" s="2">
        <v>232</v>
      </c>
      <c r="C191" s="14" t="s">
        <v>57</v>
      </c>
      <c r="D191" s="2" t="s">
        <v>56</v>
      </c>
      <c r="E191" s="2" t="s">
        <v>4</v>
      </c>
      <c r="F191" s="17" t="s">
        <v>705</v>
      </c>
      <c r="G191" s="8" t="s">
        <v>936</v>
      </c>
      <c r="H191" s="8" t="s">
        <v>396</v>
      </c>
      <c r="I191" s="8" t="s">
        <v>693</v>
      </c>
      <c r="J191" s="2"/>
      <c r="K191" s="8" t="s">
        <v>396</v>
      </c>
      <c r="L191" s="8"/>
      <c r="M191" s="8" t="s">
        <v>396</v>
      </c>
      <c r="N191" s="2" t="s">
        <v>853</v>
      </c>
    </row>
    <row r="192" spans="2:14" x14ac:dyDescent="0.25">
      <c r="B192" s="2">
        <v>233</v>
      </c>
      <c r="C192" s="14" t="s">
        <v>57</v>
      </c>
      <c r="D192" s="2" t="s">
        <v>56</v>
      </c>
      <c r="E192" s="2" t="s">
        <v>3</v>
      </c>
      <c r="F192" s="17" t="s">
        <v>704</v>
      </c>
      <c r="G192" s="8" t="s">
        <v>936</v>
      </c>
      <c r="H192" s="8" t="s">
        <v>396</v>
      </c>
      <c r="I192" s="8" t="s">
        <v>693</v>
      </c>
      <c r="J192" s="2"/>
      <c r="K192" s="8" t="s">
        <v>396</v>
      </c>
      <c r="L192" s="8"/>
      <c r="M192" s="8" t="s">
        <v>396</v>
      </c>
      <c r="N192" s="2" t="s">
        <v>723</v>
      </c>
    </row>
    <row r="193" spans="2:14" x14ac:dyDescent="0.25">
      <c r="B193" s="2">
        <v>234</v>
      </c>
      <c r="C193" s="14" t="s">
        <v>57</v>
      </c>
      <c r="D193" s="2" t="s">
        <v>56</v>
      </c>
      <c r="E193" s="2" t="s">
        <v>1</v>
      </c>
      <c r="F193" s="14" t="s">
        <v>394</v>
      </c>
      <c r="G193" s="8" t="s">
        <v>936</v>
      </c>
      <c r="H193" s="8" t="s">
        <v>396</v>
      </c>
      <c r="I193" s="8" t="s">
        <v>693</v>
      </c>
      <c r="J193" s="8"/>
      <c r="K193" s="8" t="s">
        <v>396</v>
      </c>
      <c r="L193" s="8" t="s">
        <v>396</v>
      </c>
      <c r="M193" s="8" t="s">
        <v>396</v>
      </c>
      <c r="N193" s="2" t="s">
        <v>722</v>
      </c>
    </row>
    <row r="194" spans="2:14" x14ac:dyDescent="0.25">
      <c r="B194" s="2">
        <v>235</v>
      </c>
      <c r="C194" s="14" t="s">
        <v>57</v>
      </c>
      <c r="D194" s="2" t="s">
        <v>56</v>
      </c>
      <c r="E194" s="2" t="s">
        <v>0</v>
      </c>
      <c r="F194" s="14" t="s">
        <v>392</v>
      </c>
      <c r="G194" s="8" t="s">
        <v>936</v>
      </c>
      <c r="H194" s="8" t="s">
        <v>396</v>
      </c>
      <c r="I194" s="8" t="s">
        <v>693</v>
      </c>
      <c r="J194" s="2"/>
      <c r="K194" s="8" t="s">
        <v>396</v>
      </c>
      <c r="L194" s="8" t="s">
        <v>396</v>
      </c>
      <c r="M194" s="8" t="s">
        <v>396</v>
      </c>
      <c r="N194" s="2"/>
    </row>
    <row r="195" spans="2:14" x14ac:dyDescent="0.25">
      <c r="B195" s="2">
        <v>236</v>
      </c>
      <c r="C195" s="14" t="s">
        <v>57</v>
      </c>
      <c r="D195" s="2" t="s">
        <v>56</v>
      </c>
      <c r="E195" s="2" t="s">
        <v>956</v>
      </c>
      <c r="F195" s="28" t="s">
        <v>955</v>
      </c>
      <c r="G195" s="8" t="s">
        <v>936</v>
      </c>
      <c r="H195" s="8" t="s">
        <v>396</v>
      </c>
      <c r="I195" s="8" t="s">
        <v>693</v>
      </c>
      <c r="J195" s="8"/>
      <c r="K195" s="8"/>
      <c r="L195" s="8"/>
      <c r="M195" s="8"/>
      <c r="N195" s="2"/>
    </row>
    <row r="196" spans="2:14" x14ac:dyDescent="0.25">
      <c r="B196" s="2">
        <v>237</v>
      </c>
      <c r="C196" s="14" t="s">
        <v>57</v>
      </c>
      <c r="D196" s="2" t="s">
        <v>56</v>
      </c>
      <c r="E196" s="2" t="s">
        <v>36</v>
      </c>
      <c r="F196" s="28" t="s">
        <v>822</v>
      </c>
      <c r="G196" s="8" t="s">
        <v>936</v>
      </c>
      <c r="H196" s="8" t="s">
        <v>396</v>
      </c>
      <c r="I196" s="27" t="s">
        <v>693</v>
      </c>
      <c r="J196" s="8"/>
      <c r="K196" s="8"/>
      <c r="L196" s="8"/>
      <c r="M196" s="8"/>
      <c r="N196" s="2"/>
    </row>
    <row r="197" spans="2:14" x14ac:dyDescent="0.25">
      <c r="B197" s="2">
        <v>238</v>
      </c>
      <c r="C197" s="14" t="s">
        <v>57</v>
      </c>
      <c r="D197" s="2" t="s">
        <v>56</v>
      </c>
      <c r="E197" s="2" t="s">
        <v>50</v>
      </c>
      <c r="F197" s="28" t="s">
        <v>951</v>
      </c>
      <c r="G197" s="8" t="s">
        <v>936</v>
      </c>
      <c r="H197" s="8" t="s">
        <v>396</v>
      </c>
      <c r="I197" s="27" t="s">
        <v>693</v>
      </c>
      <c r="J197" s="8"/>
      <c r="K197" s="8"/>
      <c r="L197" s="8"/>
      <c r="M197" s="8"/>
      <c r="N197" s="2"/>
    </row>
    <row r="198" spans="2:14" x14ac:dyDescent="0.25">
      <c r="B198" s="2">
        <v>242</v>
      </c>
      <c r="C198" s="14" t="s">
        <v>57</v>
      </c>
      <c r="D198" s="14" t="s">
        <v>55</v>
      </c>
      <c r="E198" s="2" t="s">
        <v>5</v>
      </c>
      <c r="F198" s="22" t="s">
        <v>659</v>
      </c>
      <c r="G198" s="8" t="s">
        <v>936</v>
      </c>
      <c r="H198" s="8" t="s">
        <v>396</v>
      </c>
      <c r="I198" s="8" t="s">
        <v>693</v>
      </c>
      <c r="J198" s="8"/>
      <c r="K198" s="8" t="s">
        <v>396</v>
      </c>
      <c r="L198" s="8" t="s">
        <v>396</v>
      </c>
      <c r="M198" s="8" t="s">
        <v>396</v>
      </c>
      <c r="N198" s="2"/>
    </row>
    <row r="199" spans="2:14" x14ac:dyDescent="0.25">
      <c r="B199" s="2">
        <v>243</v>
      </c>
      <c r="C199" s="14" t="s">
        <v>57</v>
      </c>
      <c r="D199" s="2" t="s">
        <v>55</v>
      </c>
      <c r="E199" s="2" t="s">
        <v>4</v>
      </c>
      <c r="F199" s="22" t="s">
        <v>657</v>
      </c>
      <c r="G199" s="8" t="s">
        <v>936</v>
      </c>
      <c r="H199" s="8" t="s">
        <v>396</v>
      </c>
      <c r="I199" s="8" t="s">
        <v>693</v>
      </c>
      <c r="J199" s="11"/>
      <c r="K199" s="8" t="s">
        <v>396</v>
      </c>
      <c r="L199" s="8" t="s">
        <v>396</v>
      </c>
      <c r="M199" s="8" t="s">
        <v>396</v>
      </c>
      <c r="N199" s="2" t="s">
        <v>786</v>
      </c>
    </row>
    <row r="200" spans="2:14" x14ac:dyDescent="0.25">
      <c r="B200" s="2">
        <v>244</v>
      </c>
      <c r="C200" s="14" t="s">
        <v>57</v>
      </c>
      <c r="D200" s="2" t="s">
        <v>55</v>
      </c>
      <c r="E200" s="2" t="s">
        <v>3</v>
      </c>
      <c r="F200" s="22" t="s">
        <v>661</v>
      </c>
      <c r="G200" s="8" t="s">
        <v>936</v>
      </c>
      <c r="H200" s="8" t="s">
        <v>396</v>
      </c>
      <c r="I200" s="8" t="s">
        <v>693</v>
      </c>
      <c r="J200" s="8"/>
      <c r="K200" s="8" t="s">
        <v>396</v>
      </c>
      <c r="L200" s="8"/>
      <c r="M200" s="8" t="s">
        <v>396</v>
      </c>
      <c r="N200" s="2"/>
    </row>
    <row r="201" spans="2:14" x14ac:dyDescent="0.25">
      <c r="B201" s="2">
        <v>245</v>
      </c>
      <c r="C201" s="14" t="s">
        <v>57</v>
      </c>
      <c r="D201" s="2" t="s">
        <v>55</v>
      </c>
      <c r="E201" s="2" t="s">
        <v>0</v>
      </c>
      <c r="F201" s="22" t="s">
        <v>473</v>
      </c>
      <c r="G201" s="8" t="s">
        <v>936</v>
      </c>
      <c r="H201" s="8" t="s">
        <v>396</v>
      </c>
      <c r="I201" s="8" t="s">
        <v>693</v>
      </c>
      <c r="J201" s="8"/>
      <c r="K201" s="8" t="s">
        <v>396</v>
      </c>
      <c r="L201" s="8" t="s">
        <v>396</v>
      </c>
      <c r="M201" s="8" t="s">
        <v>396</v>
      </c>
      <c r="N201" s="2"/>
    </row>
    <row r="202" spans="2:14" x14ac:dyDescent="0.25">
      <c r="B202" s="2">
        <v>249</v>
      </c>
      <c r="C202" s="14" t="s">
        <v>57</v>
      </c>
      <c r="D202" s="14" t="s">
        <v>54</v>
      </c>
      <c r="E202" s="2" t="s">
        <v>5</v>
      </c>
      <c r="F202" s="28" t="s">
        <v>755</v>
      </c>
      <c r="G202" s="8" t="s">
        <v>936</v>
      </c>
      <c r="H202" s="8" t="s">
        <v>396</v>
      </c>
      <c r="I202" s="8" t="s">
        <v>693</v>
      </c>
      <c r="J202" s="2"/>
      <c r="K202" s="8"/>
      <c r="L202" s="8"/>
      <c r="M202" s="8" t="s">
        <v>396</v>
      </c>
      <c r="N202" s="2" t="s">
        <v>852</v>
      </c>
    </row>
    <row r="203" spans="2:14" x14ac:dyDescent="0.25">
      <c r="B203" s="2">
        <v>250</v>
      </c>
      <c r="C203" s="14" t="s">
        <v>57</v>
      </c>
      <c r="D203" s="2" t="s">
        <v>54</v>
      </c>
      <c r="E203" s="2" t="s">
        <v>4</v>
      </c>
      <c r="F203" s="28" t="s">
        <v>754</v>
      </c>
      <c r="G203" s="8" t="s">
        <v>936</v>
      </c>
      <c r="H203" s="8" t="s">
        <v>396</v>
      </c>
      <c r="I203" s="8" t="s">
        <v>693</v>
      </c>
      <c r="J203" s="8"/>
      <c r="K203" s="8"/>
      <c r="L203" s="8"/>
      <c r="M203" s="8" t="s">
        <v>396</v>
      </c>
      <c r="N203" s="8" t="s">
        <v>691</v>
      </c>
    </row>
    <row r="204" spans="2:14" x14ac:dyDescent="0.25">
      <c r="B204" s="2">
        <v>251</v>
      </c>
      <c r="C204" s="14" t="s">
        <v>57</v>
      </c>
      <c r="D204" s="2" t="s">
        <v>54</v>
      </c>
      <c r="E204" s="2" t="s">
        <v>849</v>
      </c>
      <c r="F204" s="28" t="s">
        <v>850</v>
      </c>
      <c r="G204" s="8" t="s">
        <v>936</v>
      </c>
      <c r="H204" s="8" t="s">
        <v>396</v>
      </c>
      <c r="I204" s="8" t="s">
        <v>693</v>
      </c>
      <c r="J204" s="2"/>
      <c r="K204" s="8"/>
      <c r="L204" s="8"/>
      <c r="M204" s="8" t="s">
        <v>396</v>
      </c>
      <c r="N204" s="2" t="s">
        <v>848</v>
      </c>
    </row>
    <row r="205" spans="2:14" x14ac:dyDescent="0.25">
      <c r="B205" s="2">
        <v>251</v>
      </c>
      <c r="C205" s="14" t="s">
        <v>57</v>
      </c>
      <c r="D205" s="2" t="s">
        <v>54</v>
      </c>
      <c r="E205" s="2" t="s">
        <v>3</v>
      </c>
      <c r="F205" s="28" t="s">
        <v>751</v>
      </c>
      <c r="G205" s="8" t="s">
        <v>936</v>
      </c>
      <c r="H205" s="8" t="s">
        <v>396</v>
      </c>
      <c r="I205" s="8" t="s">
        <v>693</v>
      </c>
      <c r="J205" s="2"/>
      <c r="K205" s="8"/>
      <c r="L205" s="8"/>
      <c r="M205" s="8" t="s">
        <v>396</v>
      </c>
      <c r="N205" s="2"/>
    </row>
    <row r="206" spans="2:14" x14ac:dyDescent="0.25">
      <c r="B206" s="2">
        <v>253</v>
      </c>
      <c r="C206" s="14" t="s">
        <v>57</v>
      </c>
      <c r="D206" s="2" t="s">
        <v>54</v>
      </c>
      <c r="E206" s="2" t="s">
        <v>839</v>
      </c>
      <c r="F206" s="28" t="s">
        <v>750</v>
      </c>
      <c r="G206" s="8" t="s">
        <v>936</v>
      </c>
      <c r="H206" s="8" t="s">
        <v>396</v>
      </c>
      <c r="I206" s="8" t="s">
        <v>693</v>
      </c>
      <c r="J206" s="8"/>
      <c r="K206" s="8"/>
      <c r="L206" s="8"/>
      <c r="M206" s="8" t="s">
        <v>396</v>
      </c>
      <c r="N206" s="2"/>
    </row>
    <row r="207" spans="2:14" x14ac:dyDescent="0.25">
      <c r="B207" s="2">
        <v>254</v>
      </c>
      <c r="C207" s="14" t="s">
        <v>57</v>
      </c>
      <c r="D207" s="2" t="s">
        <v>54</v>
      </c>
      <c r="E207" s="2" t="s">
        <v>12</v>
      </c>
      <c r="F207" s="28" t="s">
        <v>752</v>
      </c>
      <c r="G207" s="8" t="s">
        <v>936</v>
      </c>
      <c r="H207" s="8" t="s">
        <v>396</v>
      </c>
      <c r="I207" s="8" t="s">
        <v>693</v>
      </c>
      <c r="J207" s="8"/>
      <c r="K207" s="8"/>
      <c r="L207" s="8"/>
      <c r="M207" s="8" t="s">
        <v>396</v>
      </c>
      <c r="N207" s="2"/>
    </row>
    <row r="208" spans="2:14" x14ac:dyDescent="0.25">
      <c r="B208" s="2">
        <v>255</v>
      </c>
      <c r="C208" s="14" t="s">
        <v>57</v>
      </c>
      <c r="D208" s="2" t="s">
        <v>54</v>
      </c>
      <c r="E208" s="2" t="s">
        <v>11</v>
      </c>
      <c r="F208" s="28" t="s">
        <v>753</v>
      </c>
      <c r="G208" s="8" t="s">
        <v>936</v>
      </c>
      <c r="H208" s="8" t="s">
        <v>396</v>
      </c>
      <c r="I208" s="8" t="s">
        <v>693</v>
      </c>
      <c r="J208" s="8"/>
      <c r="K208" s="8"/>
      <c r="L208" s="8"/>
      <c r="M208" s="8" t="s">
        <v>396</v>
      </c>
      <c r="N208" s="2"/>
    </row>
    <row r="209" spans="2:14" x14ac:dyDescent="0.25">
      <c r="B209" s="2"/>
      <c r="C209" s="14" t="s">
        <v>57</v>
      </c>
      <c r="D209" s="2" t="s">
        <v>54</v>
      </c>
      <c r="E209" s="2" t="s">
        <v>36</v>
      </c>
      <c r="F209" s="2"/>
      <c r="G209" s="35" t="s">
        <v>262</v>
      </c>
      <c r="H209" s="8"/>
      <c r="I209" s="8"/>
      <c r="J209" s="8"/>
      <c r="K209" s="8"/>
      <c r="L209" s="8"/>
      <c r="M209" s="8"/>
      <c r="N209" s="2"/>
    </row>
    <row r="210" spans="2:14" x14ac:dyDescent="0.2">
      <c r="B210" s="2">
        <v>256</v>
      </c>
      <c r="C210" s="14" t="s">
        <v>52</v>
      </c>
      <c r="D210" s="14" t="s">
        <v>27</v>
      </c>
      <c r="E210" s="2" t="s">
        <v>5</v>
      </c>
      <c r="F210" s="24" t="s">
        <v>463</v>
      </c>
      <c r="G210" s="8" t="s">
        <v>936</v>
      </c>
      <c r="H210" s="8" t="s">
        <v>396</v>
      </c>
      <c r="I210" s="8" t="s">
        <v>693</v>
      </c>
      <c r="J210" s="8"/>
      <c r="K210" s="8" t="s">
        <v>396</v>
      </c>
      <c r="L210" s="8" t="s">
        <v>396</v>
      </c>
      <c r="M210" s="8" t="s">
        <v>396</v>
      </c>
      <c r="N210" s="2"/>
    </row>
    <row r="211" spans="2:14" x14ac:dyDescent="0.2">
      <c r="B211" s="2">
        <v>257</v>
      </c>
      <c r="C211" s="14" t="s">
        <v>52</v>
      </c>
      <c r="D211" s="2" t="s">
        <v>27</v>
      </c>
      <c r="E211" s="2" t="s">
        <v>4</v>
      </c>
      <c r="F211" s="24" t="s">
        <v>461</v>
      </c>
      <c r="G211" s="8" t="s">
        <v>936</v>
      </c>
      <c r="H211" s="8" t="s">
        <v>396</v>
      </c>
      <c r="I211" s="8" t="s">
        <v>693</v>
      </c>
      <c r="J211" s="8"/>
      <c r="K211" s="8" t="s">
        <v>396</v>
      </c>
      <c r="L211" s="8" t="s">
        <v>396</v>
      </c>
      <c r="M211" s="8" t="s">
        <v>396</v>
      </c>
      <c r="N211" s="2"/>
    </row>
    <row r="212" spans="2:14" x14ac:dyDescent="0.2">
      <c r="B212" s="2">
        <v>258</v>
      </c>
      <c r="C212" s="14" t="s">
        <v>52</v>
      </c>
      <c r="D212" s="2" t="s">
        <v>27</v>
      </c>
      <c r="E212" s="2" t="s">
        <v>3</v>
      </c>
      <c r="F212" s="24" t="s">
        <v>470</v>
      </c>
      <c r="G212" s="8" t="s">
        <v>936</v>
      </c>
      <c r="H212" s="8" t="s">
        <v>396</v>
      </c>
      <c r="I212" s="8" t="s">
        <v>693</v>
      </c>
      <c r="J212" s="8"/>
      <c r="K212" s="8" t="s">
        <v>396</v>
      </c>
      <c r="L212" s="8" t="s">
        <v>396</v>
      </c>
      <c r="M212" s="8" t="s">
        <v>396</v>
      </c>
      <c r="N212" s="2"/>
    </row>
    <row r="213" spans="2:14" x14ac:dyDescent="0.2">
      <c r="B213" s="2">
        <v>259</v>
      </c>
      <c r="C213" s="14" t="s">
        <v>52</v>
      </c>
      <c r="D213" s="2" t="s">
        <v>27</v>
      </c>
      <c r="E213" s="2" t="s">
        <v>2</v>
      </c>
      <c r="F213" s="24" t="s">
        <v>459</v>
      </c>
      <c r="G213" s="8" t="s">
        <v>936</v>
      </c>
      <c r="H213" s="8" t="s">
        <v>396</v>
      </c>
      <c r="I213" s="8" t="s">
        <v>693</v>
      </c>
      <c r="J213" s="11"/>
      <c r="K213" s="8" t="s">
        <v>396</v>
      </c>
      <c r="L213" s="8" t="s">
        <v>396</v>
      </c>
      <c r="M213" s="8" t="s">
        <v>396</v>
      </c>
      <c r="N213" s="2" t="s">
        <v>731</v>
      </c>
    </row>
    <row r="214" spans="2:14" x14ac:dyDescent="0.2">
      <c r="B214" s="2">
        <v>260</v>
      </c>
      <c r="C214" s="14" t="s">
        <v>52</v>
      </c>
      <c r="D214" s="2" t="s">
        <v>27</v>
      </c>
      <c r="E214" s="2" t="s">
        <v>1</v>
      </c>
      <c r="F214" s="24" t="s">
        <v>465</v>
      </c>
      <c r="G214" s="8" t="s">
        <v>936</v>
      </c>
      <c r="H214" s="8" t="s">
        <v>396</v>
      </c>
      <c r="I214" s="8" t="s">
        <v>693</v>
      </c>
      <c r="J214" s="8"/>
      <c r="K214" s="8" t="s">
        <v>396</v>
      </c>
      <c r="L214" s="8" t="s">
        <v>396</v>
      </c>
      <c r="M214" s="8" t="s">
        <v>396</v>
      </c>
      <c r="N214" s="2"/>
    </row>
    <row r="215" spans="2:14" x14ac:dyDescent="0.2">
      <c r="B215" s="2">
        <v>261</v>
      </c>
      <c r="C215" s="14" t="s">
        <v>52</v>
      </c>
      <c r="D215" s="2" t="s">
        <v>27</v>
      </c>
      <c r="E215" s="2" t="s">
        <v>0</v>
      </c>
      <c r="F215" s="24" t="s">
        <v>452</v>
      </c>
      <c r="G215" s="8" t="s">
        <v>936</v>
      </c>
      <c r="H215" s="8" t="s">
        <v>396</v>
      </c>
      <c r="I215" s="8" t="s">
        <v>693</v>
      </c>
      <c r="J215" s="11"/>
      <c r="K215" s="8" t="s">
        <v>396</v>
      </c>
      <c r="L215" s="8" t="s">
        <v>396</v>
      </c>
      <c r="M215" s="8" t="s">
        <v>396</v>
      </c>
      <c r="N215" s="2" t="s">
        <v>731</v>
      </c>
    </row>
    <row r="216" spans="2:14" x14ac:dyDescent="0.25">
      <c r="B216" s="2">
        <v>262</v>
      </c>
      <c r="C216" s="14" t="s">
        <v>52</v>
      </c>
      <c r="D216" s="2" t="s">
        <v>27</v>
      </c>
      <c r="E216" s="2" t="s">
        <v>45</v>
      </c>
      <c r="F216" s="28" t="s">
        <v>946</v>
      </c>
      <c r="G216" s="8" t="s">
        <v>936</v>
      </c>
      <c r="H216" s="8" t="s">
        <v>396</v>
      </c>
      <c r="I216" s="8" t="s">
        <v>693</v>
      </c>
      <c r="J216" s="8"/>
      <c r="K216" s="8"/>
      <c r="L216" s="8"/>
      <c r="M216" s="8"/>
      <c r="N216" s="2"/>
    </row>
    <row r="217" spans="2:14" x14ac:dyDescent="0.2">
      <c r="B217" s="2">
        <v>263</v>
      </c>
      <c r="C217" s="14" t="s">
        <v>52</v>
      </c>
      <c r="D217" s="14" t="s">
        <v>51</v>
      </c>
      <c r="E217" s="2" t="s">
        <v>5</v>
      </c>
      <c r="F217" s="26" t="s">
        <v>695</v>
      </c>
      <c r="G217" s="8" t="s">
        <v>936</v>
      </c>
      <c r="H217" s="8" t="s">
        <v>396</v>
      </c>
      <c r="I217" s="8" t="s">
        <v>693</v>
      </c>
      <c r="J217" s="2"/>
      <c r="K217" s="8" t="s">
        <v>396</v>
      </c>
      <c r="L217" s="8"/>
      <c r="M217" s="8" t="s">
        <v>396</v>
      </c>
      <c r="N217" s="2" t="s">
        <v>709</v>
      </c>
    </row>
    <row r="218" spans="2:14" x14ac:dyDescent="0.2">
      <c r="B218" s="2">
        <v>264</v>
      </c>
      <c r="C218" s="14" t="s">
        <v>52</v>
      </c>
      <c r="D218" s="2" t="s">
        <v>51</v>
      </c>
      <c r="E218" s="2" t="s">
        <v>4</v>
      </c>
      <c r="F218" s="26" t="s">
        <v>696</v>
      </c>
      <c r="G218" s="8" t="s">
        <v>936</v>
      </c>
      <c r="H218" s="8" t="s">
        <v>396</v>
      </c>
      <c r="I218" s="8" t="s">
        <v>693</v>
      </c>
      <c r="J218" s="8"/>
      <c r="K218" s="8" t="s">
        <v>396</v>
      </c>
      <c r="L218" s="8"/>
      <c r="M218" s="8" t="s">
        <v>396</v>
      </c>
      <c r="N218" s="2"/>
    </row>
    <row r="219" spans="2:14" x14ac:dyDescent="0.2">
      <c r="B219" s="2">
        <v>265</v>
      </c>
      <c r="C219" s="14" t="s">
        <v>52</v>
      </c>
      <c r="D219" s="2" t="s">
        <v>51</v>
      </c>
      <c r="E219" s="2" t="s">
        <v>3</v>
      </c>
      <c r="F219" s="26" t="s">
        <v>697</v>
      </c>
      <c r="G219" s="8" t="s">
        <v>936</v>
      </c>
      <c r="H219" s="8" t="s">
        <v>396</v>
      </c>
      <c r="I219" s="8" t="s">
        <v>693</v>
      </c>
      <c r="J219" s="2"/>
      <c r="K219" s="8" t="s">
        <v>396</v>
      </c>
      <c r="L219" s="8"/>
      <c r="M219" s="8" t="s">
        <v>396</v>
      </c>
      <c r="N219" s="2"/>
    </row>
    <row r="220" spans="2:14" x14ac:dyDescent="0.2">
      <c r="B220" s="2">
        <v>266</v>
      </c>
      <c r="C220" s="14" t="s">
        <v>52</v>
      </c>
      <c r="D220" s="2" t="s">
        <v>51</v>
      </c>
      <c r="E220" s="2" t="s">
        <v>1</v>
      </c>
      <c r="F220" s="24" t="s">
        <v>468</v>
      </c>
      <c r="G220" s="8" t="s">
        <v>936</v>
      </c>
      <c r="H220" s="8" t="s">
        <v>396</v>
      </c>
      <c r="I220" s="8" t="s">
        <v>693</v>
      </c>
      <c r="J220" s="2"/>
      <c r="K220" s="8" t="s">
        <v>396</v>
      </c>
      <c r="L220" s="8" t="s">
        <v>396</v>
      </c>
      <c r="M220" s="8" t="s">
        <v>396</v>
      </c>
      <c r="N220" s="2" t="s">
        <v>835</v>
      </c>
    </row>
    <row r="221" spans="2:14" x14ac:dyDescent="0.2">
      <c r="B221" s="2">
        <v>267</v>
      </c>
      <c r="C221" s="14" t="s">
        <v>52</v>
      </c>
      <c r="D221" s="2" t="s">
        <v>51</v>
      </c>
      <c r="E221" s="2" t="s">
        <v>0</v>
      </c>
      <c r="F221" s="24" t="s">
        <v>453</v>
      </c>
      <c r="G221" s="8" t="s">
        <v>936</v>
      </c>
      <c r="H221" s="8" t="s">
        <v>396</v>
      </c>
      <c r="I221" s="8" t="s">
        <v>693</v>
      </c>
      <c r="J221" s="8"/>
      <c r="K221" s="8" t="s">
        <v>396</v>
      </c>
      <c r="L221" s="8" t="s">
        <v>396</v>
      </c>
      <c r="M221" s="8" t="s">
        <v>396</v>
      </c>
      <c r="N221" s="2"/>
    </row>
    <row r="222" spans="2:14" x14ac:dyDescent="0.25">
      <c r="B222" s="2">
        <v>268</v>
      </c>
      <c r="C222" s="14" t="s">
        <v>52</v>
      </c>
      <c r="D222" s="2" t="s">
        <v>51</v>
      </c>
      <c r="E222" s="2" t="s">
        <v>956</v>
      </c>
      <c r="F222" s="28" t="s">
        <v>955</v>
      </c>
      <c r="G222" s="8" t="s">
        <v>936</v>
      </c>
      <c r="H222" s="8" t="s">
        <v>396</v>
      </c>
      <c r="I222" s="8" t="s">
        <v>693</v>
      </c>
      <c r="J222" s="8"/>
      <c r="K222" s="8"/>
      <c r="L222" s="8"/>
      <c r="M222" s="8"/>
      <c r="N222" s="2"/>
    </row>
    <row r="223" spans="2:14" x14ac:dyDescent="0.25">
      <c r="B223" s="2">
        <v>269</v>
      </c>
      <c r="C223" s="14" t="s">
        <v>52</v>
      </c>
      <c r="D223" s="2" t="s">
        <v>51</v>
      </c>
      <c r="E223" s="2" t="s">
        <v>36</v>
      </c>
      <c r="F223" s="28" t="s">
        <v>822</v>
      </c>
      <c r="G223" s="8" t="s">
        <v>936</v>
      </c>
      <c r="H223" s="8" t="s">
        <v>396</v>
      </c>
      <c r="I223" s="8" t="s">
        <v>693</v>
      </c>
      <c r="J223" s="8"/>
      <c r="K223" s="8"/>
      <c r="L223" s="8"/>
      <c r="M223" s="8"/>
      <c r="N223" s="2"/>
    </row>
    <row r="224" spans="2:14" x14ac:dyDescent="0.25">
      <c r="B224" s="2">
        <v>270</v>
      </c>
      <c r="C224" s="14" t="s">
        <v>52</v>
      </c>
      <c r="D224" s="2" t="s">
        <v>51</v>
      </c>
      <c r="E224" s="2" t="s">
        <v>444</v>
      </c>
      <c r="F224" s="28" t="s">
        <v>913</v>
      </c>
      <c r="G224" s="8" t="s">
        <v>936</v>
      </c>
      <c r="H224" s="8" t="s">
        <v>396</v>
      </c>
      <c r="I224" s="8" t="s">
        <v>693</v>
      </c>
      <c r="J224" s="8"/>
      <c r="K224" s="8"/>
      <c r="L224" s="8"/>
      <c r="M224" s="8"/>
      <c r="N224" s="2"/>
    </row>
    <row r="225" spans="2:14" x14ac:dyDescent="0.25">
      <c r="B225" s="2">
        <v>271</v>
      </c>
      <c r="C225" s="14" t="s">
        <v>52</v>
      </c>
      <c r="D225" s="2" t="s">
        <v>51</v>
      </c>
      <c r="E225" s="2" t="s">
        <v>445</v>
      </c>
      <c r="F225" s="28" t="s">
        <v>910</v>
      </c>
      <c r="G225" s="8" t="s">
        <v>936</v>
      </c>
      <c r="H225" s="8" t="s">
        <v>396</v>
      </c>
      <c r="I225" s="8" t="s">
        <v>693</v>
      </c>
      <c r="J225" s="8"/>
      <c r="K225" s="8"/>
      <c r="L225" s="8"/>
      <c r="M225" s="8"/>
      <c r="N225" s="2" t="s">
        <v>916</v>
      </c>
    </row>
    <row r="226" spans="2:14" x14ac:dyDescent="0.25">
      <c r="B226" s="2">
        <v>272</v>
      </c>
      <c r="C226" s="14" t="s">
        <v>52</v>
      </c>
      <c r="D226" s="2" t="s">
        <v>51</v>
      </c>
      <c r="E226" s="2" t="s">
        <v>446</v>
      </c>
      <c r="F226" s="28" t="s">
        <v>911</v>
      </c>
      <c r="G226" s="8" t="s">
        <v>936</v>
      </c>
      <c r="H226" s="8" t="s">
        <v>396</v>
      </c>
      <c r="I226" s="8" t="s">
        <v>693</v>
      </c>
      <c r="J226" s="8"/>
      <c r="K226" s="8"/>
      <c r="L226" s="8"/>
      <c r="M226" s="8"/>
      <c r="N226" s="2"/>
    </row>
    <row r="227" spans="2:14" x14ac:dyDescent="0.25">
      <c r="B227" s="2">
        <v>273</v>
      </c>
      <c r="C227" s="14" t="s">
        <v>52</v>
      </c>
      <c r="D227" s="2" t="s">
        <v>51</v>
      </c>
      <c r="E227" s="2" t="s">
        <v>447</v>
      </c>
      <c r="F227" s="28" t="s">
        <v>912</v>
      </c>
      <c r="G227" s="8" t="s">
        <v>936</v>
      </c>
      <c r="H227" s="8" t="s">
        <v>396</v>
      </c>
      <c r="I227" s="8" t="s">
        <v>693</v>
      </c>
      <c r="J227" s="8"/>
      <c r="K227" s="8"/>
      <c r="L227" s="8"/>
      <c r="M227" s="8"/>
      <c r="N227" s="2"/>
    </row>
    <row r="228" spans="2:14" x14ac:dyDescent="0.25">
      <c r="B228" s="2">
        <v>274</v>
      </c>
      <c r="C228" s="14" t="s">
        <v>52</v>
      </c>
      <c r="D228" s="2" t="s">
        <v>51</v>
      </c>
      <c r="E228" s="2" t="s">
        <v>448</v>
      </c>
      <c r="F228" s="2"/>
      <c r="G228" s="35" t="s">
        <v>262</v>
      </c>
      <c r="H228" s="8"/>
      <c r="I228" s="8"/>
      <c r="J228" s="8"/>
      <c r="K228" s="8"/>
      <c r="L228" s="8"/>
      <c r="M228" s="8"/>
      <c r="N228" s="2"/>
    </row>
    <row r="229" spans="2:14" x14ac:dyDescent="0.25">
      <c r="B229" s="2">
        <v>275</v>
      </c>
      <c r="C229" s="14" t="s">
        <v>52</v>
      </c>
      <c r="D229" s="2" t="s">
        <v>51</v>
      </c>
      <c r="E229" s="6" t="s">
        <v>449</v>
      </c>
      <c r="F229" s="2"/>
      <c r="G229" s="35" t="s">
        <v>262</v>
      </c>
      <c r="H229" s="8"/>
      <c r="I229" s="8"/>
      <c r="J229" s="8"/>
      <c r="K229" s="8"/>
      <c r="L229" s="8"/>
      <c r="M229" s="8"/>
      <c r="N229" s="2"/>
    </row>
    <row r="230" spans="2:14" x14ac:dyDescent="0.2">
      <c r="B230" s="2">
        <v>276</v>
      </c>
      <c r="C230" s="14" t="s">
        <v>52</v>
      </c>
      <c r="D230" s="2" t="s">
        <v>51</v>
      </c>
      <c r="E230" s="6" t="s">
        <v>457</v>
      </c>
      <c r="F230" s="24" t="s">
        <v>458</v>
      </c>
      <c r="G230" s="35" t="s">
        <v>262</v>
      </c>
      <c r="H230" s="8"/>
      <c r="I230" s="8"/>
      <c r="J230" s="8"/>
      <c r="K230" s="8" t="s">
        <v>396</v>
      </c>
      <c r="L230" s="8" t="s">
        <v>396</v>
      </c>
      <c r="M230" s="8"/>
      <c r="N230" s="2"/>
    </row>
    <row r="231" spans="2:14" x14ac:dyDescent="0.2">
      <c r="B231" s="2">
        <v>277</v>
      </c>
      <c r="C231" s="14" t="s">
        <v>52</v>
      </c>
      <c r="D231" s="2" t="s">
        <v>51</v>
      </c>
      <c r="E231" s="2" t="s">
        <v>450</v>
      </c>
      <c r="F231" s="24" t="s">
        <v>456</v>
      </c>
      <c r="G231" s="35" t="s">
        <v>262</v>
      </c>
      <c r="H231" s="8"/>
      <c r="I231" s="8"/>
      <c r="J231" s="8"/>
      <c r="K231" s="8" t="s">
        <v>396</v>
      </c>
      <c r="L231" s="8" t="s">
        <v>396</v>
      </c>
      <c r="M231" s="8"/>
      <c r="N231" s="2"/>
    </row>
    <row r="232" spans="2:14" x14ac:dyDescent="0.2">
      <c r="B232" s="2">
        <v>278</v>
      </c>
      <c r="C232" s="14" t="s">
        <v>52</v>
      </c>
      <c r="D232" s="2" t="s">
        <v>51</v>
      </c>
      <c r="E232" s="6" t="s">
        <v>451</v>
      </c>
      <c r="F232" s="24" t="s">
        <v>455</v>
      </c>
      <c r="G232" s="35" t="s">
        <v>262</v>
      </c>
      <c r="H232" s="8"/>
      <c r="I232" s="8"/>
      <c r="J232" s="8"/>
      <c r="K232" s="8" t="s">
        <v>396</v>
      </c>
      <c r="L232" s="8" t="s">
        <v>396</v>
      </c>
      <c r="M232" s="8"/>
      <c r="N232" s="2"/>
    </row>
    <row r="233" spans="2:14" x14ac:dyDescent="0.2">
      <c r="B233" s="2">
        <v>279</v>
      </c>
      <c r="C233" s="14" t="s">
        <v>52</v>
      </c>
      <c r="D233" s="14" t="s">
        <v>49</v>
      </c>
      <c r="E233" s="2" t="s">
        <v>5</v>
      </c>
      <c r="F233" s="24" t="s">
        <v>464</v>
      </c>
      <c r="G233" s="8" t="s">
        <v>936</v>
      </c>
      <c r="H233" s="8" t="s">
        <v>396</v>
      </c>
      <c r="I233" s="8" t="s">
        <v>693</v>
      </c>
      <c r="J233" s="8"/>
      <c r="K233" s="8" t="s">
        <v>396</v>
      </c>
      <c r="L233" s="8" t="s">
        <v>396</v>
      </c>
      <c r="M233" s="8" t="s">
        <v>396</v>
      </c>
      <c r="N233" s="2" t="s">
        <v>714</v>
      </c>
    </row>
    <row r="234" spans="2:14" x14ac:dyDescent="0.2">
      <c r="B234" s="2">
        <v>280</v>
      </c>
      <c r="C234" s="14" t="s">
        <v>52</v>
      </c>
      <c r="D234" s="2" t="s">
        <v>49</v>
      </c>
      <c r="E234" s="2" t="s">
        <v>4</v>
      </c>
      <c r="F234" s="24" t="s">
        <v>462</v>
      </c>
      <c r="G234" s="8" t="s">
        <v>936</v>
      </c>
      <c r="H234" s="8" t="s">
        <v>396</v>
      </c>
      <c r="I234" s="8" t="s">
        <v>693</v>
      </c>
      <c r="J234" s="8"/>
      <c r="K234" s="8" t="s">
        <v>396</v>
      </c>
      <c r="L234" s="8" t="s">
        <v>396</v>
      </c>
      <c r="M234" s="8" t="s">
        <v>396</v>
      </c>
      <c r="N234" s="2" t="s">
        <v>714</v>
      </c>
    </row>
    <row r="235" spans="2:14" x14ac:dyDescent="0.2">
      <c r="B235" s="2">
        <v>281</v>
      </c>
      <c r="C235" s="14" t="s">
        <v>52</v>
      </c>
      <c r="D235" s="2" t="s">
        <v>49</v>
      </c>
      <c r="E235" s="2" t="s">
        <v>3</v>
      </c>
      <c r="F235" s="24" t="s">
        <v>471</v>
      </c>
      <c r="G235" s="8" t="s">
        <v>936</v>
      </c>
      <c r="H235" s="8" t="s">
        <v>396</v>
      </c>
      <c r="I235" s="8" t="s">
        <v>693</v>
      </c>
      <c r="J235" s="8"/>
      <c r="K235" s="8" t="s">
        <v>396</v>
      </c>
      <c r="L235" s="8" t="s">
        <v>396</v>
      </c>
      <c r="M235" s="8" t="s">
        <v>396</v>
      </c>
      <c r="N235" s="11" t="s">
        <v>833</v>
      </c>
    </row>
    <row r="236" spans="2:14" x14ac:dyDescent="0.2">
      <c r="B236" s="2">
        <v>282</v>
      </c>
      <c r="C236" s="14" t="s">
        <v>52</v>
      </c>
      <c r="D236" s="2" t="s">
        <v>49</v>
      </c>
      <c r="E236" s="2" t="s">
        <v>2</v>
      </c>
      <c r="F236" s="24" t="s">
        <v>460</v>
      </c>
      <c r="G236" s="8" t="s">
        <v>936</v>
      </c>
      <c r="H236" s="8" t="s">
        <v>396</v>
      </c>
      <c r="I236" s="8" t="s">
        <v>693</v>
      </c>
      <c r="J236" s="11"/>
      <c r="K236" s="8" t="s">
        <v>396</v>
      </c>
      <c r="L236" s="8" t="s">
        <v>396</v>
      </c>
      <c r="M236" s="8" t="s">
        <v>396</v>
      </c>
      <c r="N236" s="2" t="s">
        <v>732</v>
      </c>
    </row>
    <row r="237" spans="2:14" x14ac:dyDescent="0.2">
      <c r="B237" s="2">
        <v>283</v>
      </c>
      <c r="C237" s="14" t="s">
        <v>52</v>
      </c>
      <c r="D237" s="2" t="s">
        <v>49</v>
      </c>
      <c r="E237" s="2" t="s">
        <v>1</v>
      </c>
      <c r="F237" s="24" t="s">
        <v>469</v>
      </c>
      <c r="G237" s="8" t="s">
        <v>936</v>
      </c>
      <c r="H237" s="8" t="s">
        <v>396</v>
      </c>
      <c r="I237" s="8" t="s">
        <v>693</v>
      </c>
      <c r="J237" s="8"/>
      <c r="K237" s="8" t="s">
        <v>396</v>
      </c>
      <c r="L237" s="8" t="s">
        <v>396</v>
      </c>
      <c r="M237" s="8" t="s">
        <v>396</v>
      </c>
      <c r="N237" s="2" t="s">
        <v>733</v>
      </c>
    </row>
    <row r="238" spans="2:14" x14ac:dyDescent="0.2">
      <c r="B238" s="2">
        <v>284</v>
      </c>
      <c r="C238" s="14" t="s">
        <v>52</v>
      </c>
      <c r="D238" s="2" t="s">
        <v>49</v>
      </c>
      <c r="E238" s="2" t="s">
        <v>0</v>
      </c>
      <c r="F238" s="24" t="s">
        <v>454</v>
      </c>
      <c r="G238" s="8" t="s">
        <v>936</v>
      </c>
      <c r="H238" s="8" t="s">
        <v>396</v>
      </c>
      <c r="I238" s="8" t="s">
        <v>693</v>
      </c>
      <c r="J238" s="8"/>
      <c r="K238" s="8" t="s">
        <v>396</v>
      </c>
      <c r="L238" s="8" t="s">
        <v>396</v>
      </c>
      <c r="M238" s="8" t="s">
        <v>396</v>
      </c>
      <c r="N238" s="2" t="s">
        <v>834</v>
      </c>
    </row>
    <row r="239" spans="2:14" x14ac:dyDescent="0.25">
      <c r="B239" s="2">
        <v>274</v>
      </c>
      <c r="C239" s="14" t="s">
        <v>52</v>
      </c>
      <c r="D239" s="2" t="s">
        <v>49</v>
      </c>
      <c r="E239" s="2" t="s">
        <v>929</v>
      </c>
      <c r="F239" s="28" t="s">
        <v>952</v>
      </c>
      <c r="G239" s="8" t="s">
        <v>936</v>
      </c>
      <c r="H239" s="8" t="s">
        <v>396</v>
      </c>
      <c r="I239" s="8" t="s">
        <v>693</v>
      </c>
      <c r="J239" s="8"/>
      <c r="K239" s="8"/>
      <c r="L239" s="8"/>
      <c r="M239" s="8"/>
      <c r="N239" s="2"/>
    </row>
    <row r="240" spans="2:14" x14ac:dyDescent="0.2">
      <c r="B240" s="2">
        <v>285</v>
      </c>
      <c r="C240" s="14" t="s">
        <v>52</v>
      </c>
      <c r="D240" s="14" t="s">
        <v>48</v>
      </c>
      <c r="E240" s="2" t="s">
        <v>5</v>
      </c>
      <c r="F240" s="26" t="s">
        <v>666</v>
      </c>
      <c r="G240" s="8" t="s">
        <v>936</v>
      </c>
      <c r="H240" s="8" t="s">
        <v>396</v>
      </c>
      <c r="I240" s="8" t="s">
        <v>693</v>
      </c>
      <c r="J240" s="8"/>
      <c r="K240" s="8" t="s">
        <v>396</v>
      </c>
      <c r="L240" s="8" t="s">
        <v>396</v>
      </c>
      <c r="M240" s="8" t="s">
        <v>396</v>
      </c>
      <c r="N240" s="2"/>
    </row>
    <row r="241" spans="2:14" x14ac:dyDescent="0.2">
      <c r="B241" s="2">
        <v>286</v>
      </c>
      <c r="C241" s="14" t="s">
        <v>52</v>
      </c>
      <c r="D241" s="2" t="s">
        <v>48</v>
      </c>
      <c r="E241" s="2" t="s">
        <v>4</v>
      </c>
      <c r="F241" s="26" t="s">
        <v>667</v>
      </c>
      <c r="G241" s="8" t="s">
        <v>936</v>
      </c>
      <c r="H241" s="8" t="s">
        <v>396</v>
      </c>
      <c r="I241" s="8" t="s">
        <v>693</v>
      </c>
      <c r="J241" s="8"/>
      <c r="K241" s="8" t="s">
        <v>396</v>
      </c>
      <c r="L241" s="8" t="s">
        <v>396</v>
      </c>
      <c r="M241" s="8" t="s">
        <v>396</v>
      </c>
      <c r="N241" s="2"/>
    </row>
    <row r="242" spans="2:14" x14ac:dyDescent="0.2">
      <c r="B242" s="2">
        <v>287</v>
      </c>
      <c r="C242" s="14" t="s">
        <v>52</v>
      </c>
      <c r="D242" s="2" t="s">
        <v>48</v>
      </c>
      <c r="E242" s="2" t="s">
        <v>3</v>
      </c>
      <c r="F242" s="26" t="s">
        <v>668</v>
      </c>
      <c r="G242" s="8" t="s">
        <v>936</v>
      </c>
      <c r="H242" s="8" t="s">
        <v>396</v>
      </c>
      <c r="I242" s="8" t="s">
        <v>693</v>
      </c>
      <c r="J242" s="8"/>
      <c r="K242" s="8" t="s">
        <v>396</v>
      </c>
      <c r="L242" s="8"/>
      <c r="M242" s="8" t="s">
        <v>396</v>
      </c>
      <c r="N242" s="2"/>
    </row>
    <row r="243" spans="2:14" x14ac:dyDescent="0.2">
      <c r="B243" s="2">
        <v>288</v>
      </c>
      <c r="C243" s="14" t="s">
        <v>52</v>
      </c>
      <c r="D243" s="2" t="s">
        <v>48</v>
      </c>
      <c r="E243" s="2" t="s">
        <v>1</v>
      </c>
      <c r="F243" s="24" t="s">
        <v>466</v>
      </c>
      <c r="G243" s="8" t="s">
        <v>936</v>
      </c>
      <c r="H243" s="8" t="s">
        <v>396</v>
      </c>
      <c r="I243" s="8" t="s">
        <v>693</v>
      </c>
      <c r="J243" s="2"/>
      <c r="K243" s="8" t="s">
        <v>396</v>
      </c>
      <c r="L243" s="8" t="s">
        <v>396</v>
      </c>
      <c r="M243" s="8" t="s">
        <v>396</v>
      </c>
      <c r="N243" s="2" t="s">
        <v>734</v>
      </c>
    </row>
    <row r="244" spans="2:14" x14ac:dyDescent="0.2">
      <c r="B244" s="2">
        <v>289</v>
      </c>
      <c r="C244" s="14" t="s">
        <v>52</v>
      </c>
      <c r="D244" s="14" t="s">
        <v>47</v>
      </c>
      <c r="E244" s="2" t="s">
        <v>5</v>
      </c>
      <c r="F244" s="26" t="s">
        <v>700</v>
      </c>
      <c r="G244" s="8" t="s">
        <v>936</v>
      </c>
      <c r="H244" s="8" t="s">
        <v>396</v>
      </c>
      <c r="I244" s="8" t="s">
        <v>693</v>
      </c>
      <c r="J244" s="8"/>
      <c r="K244" s="8" t="s">
        <v>396</v>
      </c>
      <c r="L244" s="8"/>
      <c r="M244" s="8" t="s">
        <v>396</v>
      </c>
      <c r="N244" s="2"/>
    </row>
    <row r="245" spans="2:14" x14ac:dyDescent="0.2">
      <c r="B245" s="2">
        <v>290</v>
      </c>
      <c r="C245" s="14" t="s">
        <v>52</v>
      </c>
      <c r="D245" s="2" t="s">
        <v>47</v>
      </c>
      <c r="E245" s="2" t="s">
        <v>4</v>
      </c>
      <c r="F245" s="26" t="s">
        <v>701</v>
      </c>
      <c r="G245" s="8" t="s">
        <v>936</v>
      </c>
      <c r="H245" s="8" t="s">
        <v>396</v>
      </c>
      <c r="I245" s="8" t="s">
        <v>693</v>
      </c>
      <c r="J245" s="8"/>
      <c r="K245" s="8" t="s">
        <v>396</v>
      </c>
      <c r="L245" s="8"/>
      <c r="M245" s="8" t="s">
        <v>396</v>
      </c>
      <c r="N245" s="2"/>
    </row>
    <row r="246" spans="2:14" x14ac:dyDescent="0.2">
      <c r="B246" s="2">
        <v>291</v>
      </c>
      <c r="C246" s="14" t="s">
        <v>52</v>
      </c>
      <c r="D246" s="2" t="s">
        <v>47</v>
      </c>
      <c r="E246" s="2" t="s">
        <v>3</v>
      </c>
      <c r="F246" s="26" t="s">
        <v>702</v>
      </c>
      <c r="G246" s="8" t="s">
        <v>936</v>
      </c>
      <c r="H246" s="8" t="s">
        <v>396</v>
      </c>
      <c r="I246" s="8" t="s">
        <v>693</v>
      </c>
      <c r="J246" s="2"/>
      <c r="K246" s="8" t="s">
        <v>396</v>
      </c>
      <c r="L246" s="8"/>
      <c r="M246" s="8" t="s">
        <v>396</v>
      </c>
      <c r="N246" s="2" t="s">
        <v>828</v>
      </c>
    </row>
    <row r="247" spans="2:14" x14ac:dyDescent="0.2">
      <c r="B247" s="2">
        <v>292</v>
      </c>
      <c r="C247" s="14" t="s">
        <v>52</v>
      </c>
      <c r="D247" s="2" t="s">
        <v>47</v>
      </c>
      <c r="E247" s="2" t="s">
        <v>1</v>
      </c>
      <c r="F247" s="24" t="s">
        <v>467</v>
      </c>
      <c r="G247" s="8" t="s">
        <v>936</v>
      </c>
      <c r="H247" s="8" t="s">
        <v>396</v>
      </c>
      <c r="I247" s="8" t="s">
        <v>693</v>
      </c>
      <c r="J247" s="2"/>
      <c r="K247" s="8" t="s">
        <v>396</v>
      </c>
      <c r="L247" s="8" t="s">
        <v>396</v>
      </c>
      <c r="M247" s="8" t="s">
        <v>396</v>
      </c>
      <c r="N247" s="2" t="s">
        <v>828</v>
      </c>
    </row>
    <row r="248" spans="2:14" x14ac:dyDescent="0.25">
      <c r="B248" s="2">
        <v>293</v>
      </c>
      <c r="C248" s="14" t="s">
        <v>52</v>
      </c>
      <c r="D248" s="14" t="s">
        <v>443</v>
      </c>
      <c r="E248" s="2" t="s">
        <v>5</v>
      </c>
      <c r="F248" s="28" t="s">
        <v>827</v>
      </c>
      <c r="G248" s="8" t="s">
        <v>936</v>
      </c>
      <c r="H248" s="8" t="s">
        <v>396</v>
      </c>
      <c r="I248" s="8" t="s">
        <v>693</v>
      </c>
      <c r="J248" s="2"/>
      <c r="K248" s="8"/>
      <c r="L248" s="8"/>
      <c r="M248" s="8" t="s">
        <v>396</v>
      </c>
      <c r="N248" s="2" t="s">
        <v>928</v>
      </c>
    </row>
    <row r="249" spans="2:14" x14ac:dyDescent="0.25">
      <c r="B249" s="2">
        <v>294</v>
      </c>
      <c r="C249" s="14" t="s">
        <v>52</v>
      </c>
      <c r="D249" s="2" t="s">
        <v>443</v>
      </c>
      <c r="E249" s="2" t="s">
        <v>4</v>
      </c>
      <c r="F249" s="28" t="s">
        <v>826</v>
      </c>
      <c r="G249" s="8" t="s">
        <v>936</v>
      </c>
      <c r="H249" s="8" t="s">
        <v>396</v>
      </c>
      <c r="I249" s="8" t="s">
        <v>693</v>
      </c>
      <c r="J249" s="2"/>
      <c r="K249" s="8"/>
      <c r="L249" s="8"/>
      <c r="M249" s="8" t="s">
        <v>396</v>
      </c>
      <c r="N249" s="2" t="s">
        <v>928</v>
      </c>
    </row>
    <row r="250" spans="2:14" x14ac:dyDescent="0.25">
      <c r="B250" s="2">
        <v>295</v>
      </c>
      <c r="C250" s="14" t="s">
        <v>52</v>
      </c>
      <c r="D250" s="2" t="s">
        <v>443</v>
      </c>
      <c r="E250" s="2" t="s">
        <v>3</v>
      </c>
      <c r="F250" s="28" t="s">
        <v>842</v>
      </c>
      <c r="G250" s="8" t="s">
        <v>936</v>
      </c>
      <c r="H250" s="8" t="s">
        <v>396</v>
      </c>
      <c r="I250" s="8" t="s">
        <v>693</v>
      </c>
      <c r="J250" s="2"/>
      <c r="K250" s="8"/>
      <c r="L250" s="8"/>
      <c r="M250" s="8" t="s">
        <v>396</v>
      </c>
      <c r="N250" s="2"/>
    </row>
    <row r="251" spans="2:14" x14ac:dyDescent="0.25">
      <c r="B251" s="2"/>
      <c r="C251" s="14" t="s">
        <v>52</v>
      </c>
      <c r="D251" s="2" t="s">
        <v>443</v>
      </c>
      <c r="E251" s="2" t="s">
        <v>839</v>
      </c>
      <c r="F251" s="28" t="s">
        <v>838</v>
      </c>
      <c r="G251" s="8" t="s">
        <v>936</v>
      </c>
      <c r="H251" s="8" t="s">
        <v>396</v>
      </c>
      <c r="I251" s="8" t="s">
        <v>693</v>
      </c>
      <c r="J251" s="2"/>
      <c r="K251" s="8"/>
      <c r="L251" s="8"/>
      <c r="M251" s="8" t="s">
        <v>396</v>
      </c>
      <c r="N251" s="11" t="s">
        <v>834</v>
      </c>
    </row>
    <row r="252" spans="2:14" x14ac:dyDescent="0.25">
      <c r="B252" s="2"/>
      <c r="C252" s="14" t="s">
        <v>52</v>
      </c>
      <c r="D252" s="2" t="s">
        <v>443</v>
      </c>
      <c r="E252" s="2" t="s">
        <v>837</v>
      </c>
      <c r="F252" s="28" t="s">
        <v>840</v>
      </c>
      <c r="G252" s="8" t="s">
        <v>936</v>
      </c>
      <c r="H252" s="8" t="s">
        <v>396</v>
      </c>
      <c r="I252" s="8" t="s">
        <v>693</v>
      </c>
      <c r="J252" s="8"/>
      <c r="K252" s="8"/>
      <c r="L252" s="8"/>
      <c r="M252" s="8"/>
      <c r="N252" s="2"/>
    </row>
    <row r="253" spans="2:14" x14ac:dyDescent="0.25">
      <c r="B253" s="2"/>
      <c r="C253" s="14" t="s">
        <v>52</v>
      </c>
      <c r="D253" s="2" t="s">
        <v>443</v>
      </c>
      <c r="E253" s="2" t="s">
        <v>673</v>
      </c>
      <c r="F253" s="28" t="s">
        <v>953</v>
      </c>
      <c r="G253" s="8" t="s">
        <v>936</v>
      </c>
      <c r="H253" s="8" t="s">
        <v>396</v>
      </c>
      <c r="I253" s="8" t="s">
        <v>693</v>
      </c>
      <c r="J253" s="8"/>
      <c r="K253" s="8"/>
      <c r="L253" s="8"/>
      <c r="M253" s="8"/>
      <c r="N253" s="2"/>
    </row>
    <row r="254" spans="2:14" x14ac:dyDescent="0.25">
      <c r="B254" s="2"/>
      <c r="C254" s="14" t="s">
        <v>52</v>
      </c>
      <c r="D254" s="2" t="s">
        <v>443</v>
      </c>
      <c r="E254" s="2" t="s">
        <v>42</v>
      </c>
      <c r="F254" s="28" t="s">
        <v>908</v>
      </c>
      <c r="G254" s="8" t="s">
        <v>936</v>
      </c>
      <c r="H254" s="8" t="s">
        <v>396</v>
      </c>
      <c r="I254" s="8" t="s">
        <v>693</v>
      </c>
      <c r="J254" s="8"/>
      <c r="K254" s="8"/>
      <c r="L254" s="8"/>
      <c r="M254" s="8"/>
      <c r="N254" s="2"/>
    </row>
    <row r="255" spans="2:14" x14ac:dyDescent="0.25">
      <c r="B255" s="2"/>
      <c r="C255" s="14" t="s">
        <v>52</v>
      </c>
      <c r="D255" s="2" t="s">
        <v>443</v>
      </c>
      <c r="E255" s="2" t="s">
        <v>36</v>
      </c>
      <c r="F255" s="2"/>
      <c r="G255" s="35" t="s">
        <v>262</v>
      </c>
      <c r="H255" s="8"/>
      <c r="I255" s="8"/>
      <c r="J255" s="8"/>
      <c r="K255" s="8"/>
      <c r="L255" s="8"/>
      <c r="M255" s="8"/>
      <c r="N255" s="2"/>
    </row>
    <row r="256" spans="2:14" x14ac:dyDescent="0.25">
      <c r="B256" s="2"/>
      <c r="C256" s="14" t="s">
        <v>52</v>
      </c>
      <c r="D256" s="2" t="s">
        <v>443</v>
      </c>
      <c r="E256" s="2" t="s">
        <v>444</v>
      </c>
      <c r="F256" s="28" t="s">
        <v>913</v>
      </c>
      <c r="G256" s="8" t="s">
        <v>936</v>
      </c>
      <c r="H256" s="8" t="s">
        <v>396</v>
      </c>
      <c r="I256" s="8" t="s">
        <v>693</v>
      </c>
      <c r="J256" s="8"/>
      <c r="K256" s="8"/>
      <c r="L256" s="8"/>
      <c r="M256" s="8"/>
      <c r="N256" s="2"/>
    </row>
    <row r="257" spans="2:14" x14ac:dyDescent="0.25">
      <c r="B257" s="2"/>
      <c r="C257" s="14" t="s">
        <v>52</v>
      </c>
      <c r="D257" s="2" t="s">
        <v>443</v>
      </c>
      <c r="E257" s="2" t="s">
        <v>445</v>
      </c>
      <c r="F257" s="28" t="s">
        <v>910</v>
      </c>
      <c r="G257" s="8" t="s">
        <v>936</v>
      </c>
      <c r="H257" s="8" t="s">
        <v>396</v>
      </c>
      <c r="I257" s="8" t="s">
        <v>693</v>
      </c>
      <c r="J257" s="8"/>
      <c r="K257" s="8"/>
      <c r="L257" s="8"/>
      <c r="M257" s="8"/>
      <c r="N257" s="2"/>
    </row>
    <row r="258" spans="2:14" x14ac:dyDescent="0.25">
      <c r="B258" s="2"/>
      <c r="C258" s="14" t="s">
        <v>52</v>
      </c>
      <c r="D258" s="2" t="s">
        <v>443</v>
      </c>
      <c r="E258" s="2" t="s">
        <v>446</v>
      </c>
      <c r="F258" s="28" t="s">
        <v>911</v>
      </c>
      <c r="G258" s="8" t="s">
        <v>936</v>
      </c>
      <c r="H258" s="8" t="s">
        <v>396</v>
      </c>
      <c r="I258" s="8" t="s">
        <v>693</v>
      </c>
      <c r="J258" s="8"/>
      <c r="K258" s="8"/>
      <c r="L258" s="8"/>
      <c r="M258" s="8"/>
      <c r="N258" s="2"/>
    </row>
    <row r="259" spans="2:14" x14ac:dyDescent="0.25">
      <c r="B259" s="2"/>
      <c r="C259" s="14" t="s">
        <v>52</v>
      </c>
      <c r="D259" s="2" t="s">
        <v>443</v>
      </c>
      <c r="E259" s="2" t="s">
        <v>447</v>
      </c>
      <c r="F259" s="28" t="s">
        <v>912</v>
      </c>
      <c r="G259" s="8" t="s">
        <v>936</v>
      </c>
      <c r="H259" s="8" t="s">
        <v>396</v>
      </c>
      <c r="I259" s="8" t="s">
        <v>693</v>
      </c>
      <c r="J259" s="8"/>
      <c r="K259" s="8"/>
      <c r="L259" s="8"/>
      <c r="M259" s="8"/>
      <c r="N259" s="2"/>
    </row>
    <row r="260" spans="2:14" x14ac:dyDescent="0.25">
      <c r="B260" s="2">
        <v>296</v>
      </c>
      <c r="C260" s="14" t="s">
        <v>52</v>
      </c>
      <c r="D260" s="2" t="s">
        <v>443</v>
      </c>
      <c r="E260" s="2" t="s">
        <v>674</v>
      </c>
      <c r="F260" s="28" t="s">
        <v>914</v>
      </c>
      <c r="G260" s="8" t="s">
        <v>936</v>
      </c>
      <c r="H260" s="8" t="s">
        <v>396</v>
      </c>
      <c r="I260" s="8" t="s">
        <v>693</v>
      </c>
      <c r="J260" s="8"/>
      <c r="K260" s="8"/>
      <c r="L260" s="8"/>
      <c r="M260" s="8"/>
      <c r="N260" s="2"/>
    </row>
    <row r="261" spans="2:14" x14ac:dyDescent="0.25">
      <c r="B261" s="2">
        <v>297</v>
      </c>
      <c r="C261" s="14" t="s">
        <v>52</v>
      </c>
      <c r="D261" s="2" t="s">
        <v>443</v>
      </c>
      <c r="E261" s="2" t="s">
        <v>675</v>
      </c>
      <c r="F261" s="28" t="s">
        <v>915</v>
      </c>
      <c r="G261" s="8" t="s">
        <v>936</v>
      </c>
      <c r="H261" s="8" t="s">
        <v>396</v>
      </c>
      <c r="I261" s="8" t="s">
        <v>693</v>
      </c>
      <c r="J261" s="8"/>
      <c r="K261" s="8"/>
      <c r="L261" s="8"/>
      <c r="M261" s="8"/>
      <c r="N261" s="2"/>
    </row>
    <row r="262" spans="2:14" x14ac:dyDescent="0.25">
      <c r="B262" s="2">
        <v>298</v>
      </c>
      <c r="C262" s="14" t="s">
        <v>52</v>
      </c>
      <c r="D262" s="2" t="s">
        <v>443</v>
      </c>
      <c r="E262" s="2" t="s">
        <v>12</v>
      </c>
      <c r="F262" s="28" t="s">
        <v>841</v>
      </c>
      <c r="G262" s="8" t="s">
        <v>936</v>
      </c>
      <c r="H262" s="8" t="s">
        <v>396</v>
      </c>
      <c r="I262" s="8" t="s">
        <v>693</v>
      </c>
      <c r="J262" s="11"/>
      <c r="K262" s="8"/>
      <c r="L262" s="8"/>
      <c r="M262" s="8" t="s">
        <v>396</v>
      </c>
      <c r="N262" s="2"/>
    </row>
    <row r="263" spans="2:14" x14ac:dyDescent="0.25">
      <c r="B263" s="2">
        <v>299</v>
      </c>
      <c r="C263" s="14" t="s">
        <v>52</v>
      </c>
      <c r="D263" s="2" t="s">
        <v>443</v>
      </c>
      <c r="E263" s="2" t="s">
        <v>11</v>
      </c>
      <c r="F263" s="28" t="s">
        <v>836</v>
      </c>
      <c r="G263" s="8" t="s">
        <v>936</v>
      </c>
      <c r="H263" s="8" t="s">
        <v>396</v>
      </c>
      <c r="I263" s="8" t="s">
        <v>693</v>
      </c>
      <c r="J263" s="11"/>
      <c r="K263" s="8"/>
      <c r="L263" s="8"/>
      <c r="M263" s="8" t="s">
        <v>396</v>
      </c>
      <c r="N263" s="2"/>
    </row>
    <row r="264" spans="2:14" x14ac:dyDescent="0.2">
      <c r="B264" s="2">
        <v>300</v>
      </c>
      <c r="C264" s="14" t="s">
        <v>46</v>
      </c>
      <c r="D264" s="14" t="s">
        <v>27</v>
      </c>
      <c r="E264" s="2" t="s">
        <v>5</v>
      </c>
      <c r="F264" s="12" t="s">
        <v>371</v>
      </c>
      <c r="G264" s="8" t="s">
        <v>936</v>
      </c>
      <c r="H264" s="8" t="s">
        <v>396</v>
      </c>
      <c r="I264" s="27" t="s">
        <v>693</v>
      </c>
      <c r="J264" s="2"/>
      <c r="K264" s="8" t="s">
        <v>396</v>
      </c>
      <c r="L264" s="8" t="s">
        <v>396</v>
      </c>
      <c r="M264" s="8" t="s">
        <v>396</v>
      </c>
      <c r="N264" s="2" t="s">
        <v>714</v>
      </c>
    </row>
    <row r="265" spans="2:14" x14ac:dyDescent="0.2">
      <c r="B265" s="2">
        <v>301</v>
      </c>
      <c r="C265" s="14" t="s">
        <v>46</v>
      </c>
      <c r="D265" s="2" t="s">
        <v>27</v>
      </c>
      <c r="E265" s="2" t="s">
        <v>4</v>
      </c>
      <c r="F265" s="12" t="s">
        <v>372</v>
      </c>
      <c r="G265" s="8" t="s">
        <v>936</v>
      </c>
      <c r="H265" s="8" t="s">
        <v>396</v>
      </c>
      <c r="I265" s="27" t="s">
        <v>693</v>
      </c>
      <c r="J265" s="2"/>
      <c r="K265" s="8" t="s">
        <v>396</v>
      </c>
      <c r="L265" s="8" t="s">
        <v>396</v>
      </c>
      <c r="M265" s="8" t="s">
        <v>396</v>
      </c>
      <c r="N265" s="2" t="s">
        <v>714</v>
      </c>
    </row>
    <row r="266" spans="2:14" x14ac:dyDescent="0.2">
      <c r="B266" s="2">
        <v>302</v>
      </c>
      <c r="C266" s="14" t="s">
        <v>46</v>
      </c>
      <c r="D266" s="2" t="s">
        <v>27</v>
      </c>
      <c r="E266" s="2" t="s">
        <v>3</v>
      </c>
      <c r="F266" s="12" t="s">
        <v>370</v>
      </c>
      <c r="G266" s="8" t="s">
        <v>936</v>
      </c>
      <c r="H266" s="8" t="s">
        <v>396</v>
      </c>
      <c r="I266" s="27" t="s">
        <v>693</v>
      </c>
      <c r="J266" s="8"/>
      <c r="K266" s="8" t="s">
        <v>396</v>
      </c>
      <c r="L266" s="8" t="s">
        <v>396</v>
      </c>
      <c r="M266" s="8" t="s">
        <v>396</v>
      </c>
      <c r="N266" s="2"/>
    </row>
    <row r="267" spans="2:14" x14ac:dyDescent="0.2">
      <c r="B267" s="2">
        <v>303</v>
      </c>
      <c r="C267" s="14" t="s">
        <v>46</v>
      </c>
      <c r="D267" s="2" t="s">
        <v>27</v>
      </c>
      <c r="E267" s="2" t="s">
        <v>2</v>
      </c>
      <c r="F267" s="12" t="s">
        <v>368</v>
      </c>
      <c r="G267" s="8" t="s">
        <v>936</v>
      </c>
      <c r="H267" s="8" t="s">
        <v>396</v>
      </c>
      <c r="I267" s="27" t="s">
        <v>693</v>
      </c>
      <c r="J267" s="8"/>
      <c r="K267" s="8" t="s">
        <v>396</v>
      </c>
      <c r="L267" s="8" t="s">
        <v>396</v>
      </c>
      <c r="M267" s="8" t="s">
        <v>396</v>
      </c>
      <c r="N267" s="2" t="s">
        <v>731</v>
      </c>
    </row>
    <row r="268" spans="2:14" x14ac:dyDescent="0.2">
      <c r="B268" s="2">
        <v>304</v>
      </c>
      <c r="C268" s="14" t="s">
        <v>46</v>
      </c>
      <c r="D268" s="2" t="s">
        <v>27</v>
      </c>
      <c r="E268" s="2" t="s">
        <v>1</v>
      </c>
      <c r="F268" s="12" t="s">
        <v>369</v>
      </c>
      <c r="G268" s="8" t="s">
        <v>936</v>
      </c>
      <c r="H268" s="8" t="s">
        <v>396</v>
      </c>
      <c r="I268" s="27" t="s">
        <v>693</v>
      </c>
      <c r="J268" s="8"/>
      <c r="K268" s="8" t="s">
        <v>396</v>
      </c>
      <c r="L268" s="8" t="s">
        <v>396</v>
      </c>
      <c r="M268" s="8" t="s">
        <v>396</v>
      </c>
      <c r="N268" s="2"/>
    </row>
    <row r="269" spans="2:14" x14ac:dyDescent="0.2">
      <c r="B269" s="2">
        <v>305</v>
      </c>
      <c r="C269" s="14" t="s">
        <v>46</v>
      </c>
      <c r="D269" s="2" t="s">
        <v>27</v>
      </c>
      <c r="E269" s="2" t="s">
        <v>0</v>
      </c>
      <c r="F269" s="12" t="s">
        <v>367</v>
      </c>
      <c r="G269" s="8" t="s">
        <v>936</v>
      </c>
      <c r="H269" s="8" t="s">
        <v>396</v>
      </c>
      <c r="I269" s="27" t="s">
        <v>693</v>
      </c>
      <c r="J269" s="8"/>
      <c r="K269" s="8" t="s">
        <v>396</v>
      </c>
      <c r="L269" s="8" t="s">
        <v>396</v>
      </c>
      <c r="M269" s="8" t="s">
        <v>396</v>
      </c>
      <c r="N269" s="2" t="s">
        <v>731</v>
      </c>
    </row>
    <row r="270" spans="2:14" x14ac:dyDescent="0.25">
      <c r="B270" s="2">
        <v>306</v>
      </c>
      <c r="C270" s="14" t="s">
        <v>46</v>
      </c>
      <c r="D270" s="2" t="s">
        <v>27</v>
      </c>
      <c r="E270" s="6" t="s">
        <v>45</v>
      </c>
      <c r="F270" s="28" t="s">
        <v>946</v>
      </c>
      <c r="G270" s="8" t="s">
        <v>936</v>
      </c>
      <c r="H270" s="8" t="s">
        <v>396</v>
      </c>
      <c r="I270" s="27" t="s">
        <v>693</v>
      </c>
      <c r="J270" s="8"/>
      <c r="K270" s="8"/>
      <c r="L270" s="8"/>
      <c r="M270" s="8"/>
      <c r="N270" s="2"/>
    </row>
    <row r="271" spans="2:14" x14ac:dyDescent="0.25">
      <c r="B271" s="2">
        <v>307</v>
      </c>
      <c r="C271" s="14" t="s">
        <v>46</v>
      </c>
      <c r="D271" s="2" t="s">
        <v>27</v>
      </c>
      <c r="E271" s="2" t="s">
        <v>44</v>
      </c>
      <c r="F271" s="28" t="s">
        <v>938</v>
      </c>
      <c r="G271" s="8" t="s">
        <v>936</v>
      </c>
      <c r="H271" s="8" t="s">
        <v>396</v>
      </c>
      <c r="I271" s="8" t="s">
        <v>693</v>
      </c>
      <c r="J271" s="8"/>
      <c r="K271" s="8"/>
      <c r="L271" s="8"/>
      <c r="M271" s="8"/>
      <c r="N271" s="2" t="s">
        <v>939</v>
      </c>
    </row>
    <row r="272" spans="2:14" x14ac:dyDescent="0.25">
      <c r="B272" s="2">
        <v>308</v>
      </c>
      <c r="C272" s="14" t="s">
        <v>46</v>
      </c>
      <c r="D272" s="14" t="s">
        <v>43</v>
      </c>
      <c r="E272" s="2" t="s">
        <v>5</v>
      </c>
      <c r="F272" s="28" t="s">
        <v>806</v>
      </c>
      <c r="G272" s="8" t="s">
        <v>936</v>
      </c>
      <c r="H272" s="8" t="s">
        <v>396</v>
      </c>
      <c r="I272" s="27" t="s">
        <v>693</v>
      </c>
      <c r="J272" s="8"/>
      <c r="K272" s="8"/>
      <c r="L272" s="8"/>
      <c r="M272" s="8" t="s">
        <v>396</v>
      </c>
      <c r="N272" s="2" t="s">
        <v>688</v>
      </c>
    </row>
    <row r="273" spans="2:14" x14ac:dyDescent="0.25">
      <c r="B273" s="2">
        <v>309</v>
      </c>
      <c r="C273" s="14" t="s">
        <v>46</v>
      </c>
      <c r="D273" s="2" t="s">
        <v>43</v>
      </c>
      <c r="E273" s="2" t="s">
        <v>4</v>
      </c>
      <c r="F273" s="28" t="s">
        <v>807</v>
      </c>
      <c r="G273" s="8" t="s">
        <v>936</v>
      </c>
      <c r="H273" s="8" t="s">
        <v>396</v>
      </c>
      <c r="I273" s="27" t="s">
        <v>693</v>
      </c>
      <c r="J273" s="8"/>
      <c r="K273" s="8"/>
      <c r="L273" s="8"/>
      <c r="M273" s="8" t="s">
        <v>396</v>
      </c>
      <c r="N273" s="2"/>
    </row>
    <row r="274" spans="2:14" x14ac:dyDescent="0.25">
      <c r="B274" s="2">
        <v>310</v>
      </c>
      <c r="C274" s="14" t="s">
        <v>46</v>
      </c>
      <c r="D274" s="2" t="s">
        <v>43</v>
      </c>
      <c r="E274" s="2" t="s">
        <v>3</v>
      </c>
      <c r="F274" s="28" t="s">
        <v>808</v>
      </c>
      <c r="G274" s="8" t="s">
        <v>936</v>
      </c>
      <c r="H274" s="8" t="s">
        <v>396</v>
      </c>
      <c r="I274" s="27" t="s">
        <v>693</v>
      </c>
      <c r="J274" s="8"/>
      <c r="K274" s="8"/>
      <c r="L274" s="8"/>
      <c r="M274" s="8" t="s">
        <v>396</v>
      </c>
      <c r="N274" s="2"/>
    </row>
    <row r="275" spans="2:14" x14ac:dyDescent="0.25">
      <c r="B275" s="2">
        <v>311</v>
      </c>
      <c r="C275" s="14" t="s">
        <v>46</v>
      </c>
      <c r="D275" s="2" t="s">
        <v>43</v>
      </c>
      <c r="E275" s="2" t="s">
        <v>12</v>
      </c>
      <c r="F275" s="2"/>
      <c r="G275" s="35" t="s">
        <v>262</v>
      </c>
      <c r="H275" s="8"/>
      <c r="I275" s="8"/>
      <c r="J275" s="8"/>
      <c r="K275" s="8"/>
      <c r="L275" s="8"/>
      <c r="M275" s="8"/>
      <c r="N275" s="2"/>
    </row>
    <row r="276" spans="2:14" x14ac:dyDescent="0.25">
      <c r="B276" s="2">
        <v>312</v>
      </c>
      <c r="C276" s="14" t="s">
        <v>46</v>
      </c>
      <c r="D276" s="2" t="s">
        <v>43</v>
      </c>
      <c r="E276" s="2" t="s">
        <v>11</v>
      </c>
      <c r="F276" s="2"/>
      <c r="G276" s="35" t="s">
        <v>262</v>
      </c>
      <c r="H276" s="8"/>
      <c r="I276" s="8"/>
      <c r="J276" s="8"/>
      <c r="K276" s="8"/>
      <c r="L276" s="8"/>
      <c r="M276" s="8"/>
      <c r="N276" s="2"/>
    </row>
    <row r="277" spans="2:14" x14ac:dyDescent="0.2">
      <c r="B277" s="2">
        <v>313</v>
      </c>
      <c r="C277" s="14" t="s">
        <v>57</v>
      </c>
      <c r="D277" s="14" t="s">
        <v>16</v>
      </c>
      <c r="E277" s="2" t="s">
        <v>5</v>
      </c>
      <c r="F277" s="28" t="s">
        <v>759</v>
      </c>
      <c r="G277" s="8" t="s">
        <v>936</v>
      </c>
      <c r="H277" s="8" t="s">
        <v>396</v>
      </c>
      <c r="I277" s="8" t="s">
        <v>693</v>
      </c>
      <c r="J277" s="8"/>
      <c r="K277" s="8" t="s">
        <v>396</v>
      </c>
      <c r="L277" s="8" t="s">
        <v>396</v>
      </c>
      <c r="M277" s="8" t="s">
        <v>396</v>
      </c>
      <c r="N277" s="12"/>
    </row>
    <row r="278" spans="2:14" x14ac:dyDescent="0.2">
      <c r="B278" s="2">
        <v>314</v>
      </c>
      <c r="C278" s="14" t="s">
        <v>57</v>
      </c>
      <c r="D278" s="2" t="s">
        <v>16</v>
      </c>
      <c r="E278" s="2" t="s">
        <v>4</v>
      </c>
      <c r="F278" s="29" t="s">
        <v>756</v>
      </c>
      <c r="G278" s="8" t="s">
        <v>936</v>
      </c>
      <c r="H278" s="8" t="s">
        <v>396</v>
      </c>
      <c r="I278" s="8" t="s">
        <v>693</v>
      </c>
      <c r="J278" s="8"/>
      <c r="K278" s="8" t="s">
        <v>396</v>
      </c>
      <c r="L278" s="8" t="s">
        <v>396</v>
      </c>
      <c r="M278" s="8" t="s">
        <v>396</v>
      </c>
      <c r="N278" s="12"/>
    </row>
    <row r="279" spans="2:14" x14ac:dyDescent="0.2">
      <c r="B279" s="2">
        <v>315</v>
      </c>
      <c r="C279" s="14" t="s">
        <v>57</v>
      </c>
      <c r="D279" s="2" t="s">
        <v>16</v>
      </c>
      <c r="E279" s="2" t="s">
        <v>3</v>
      </c>
      <c r="F279" s="29" t="s">
        <v>761</v>
      </c>
      <c r="G279" s="8" t="s">
        <v>936</v>
      </c>
      <c r="H279" s="8" t="s">
        <v>396</v>
      </c>
      <c r="I279" s="8" t="s">
        <v>693</v>
      </c>
      <c r="J279" s="8"/>
      <c r="K279" s="8" t="s">
        <v>396</v>
      </c>
      <c r="L279" s="8" t="s">
        <v>396</v>
      </c>
      <c r="M279" s="8" t="s">
        <v>396</v>
      </c>
      <c r="N279" s="12"/>
    </row>
    <row r="280" spans="2:14" x14ac:dyDescent="0.2">
      <c r="B280" s="2">
        <v>316</v>
      </c>
      <c r="C280" s="14" t="s">
        <v>57</v>
      </c>
      <c r="D280" s="2" t="s">
        <v>16</v>
      </c>
      <c r="E280" s="2" t="s">
        <v>2</v>
      </c>
      <c r="F280" s="29" t="s">
        <v>758</v>
      </c>
      <c r="G280" s="8" t="s">
        <v>936</v>
      </c>
      <c r="H280" s="8" t="s">
        <v>396</v>
      </c>
      <c r="I280" s="8" t="s">
        <v>693</v>
      </c>
      <c r="J280" s="8"/>
      <c r="K280" s="8" t="s">
        <v>396</v>
      </c>
      <c r="L280" s="8" t="s">
        <v>396</v>
      </c>
      <c r="M280" s="8" t="s">
        <v>396</v>
      </c>
      <c r="N280" s="12"/>
    </row>
    <row r="281" spans="2:14" x14ac:dyDescent="0.2">
      <c r="B281" s="2">
        <v>317</v>
      </c>
      <c r="C281" s="14" t="s">
        <v>57</v>
      </c>
      <c r="D281" s="2" t="s">
        <v>16</v>
      </c>
      <c r="E281" s="2" t="s">
        <v>1</v>
      </c>
      <c r="F281" s="28" t="s">
        <v>760</v>
      </c>
      <c r="G281" s="8" t="s">
        <v>936</v>
      </c>
      <c r="H281" s="8" t="s">
        <v>396</v>
      </c>
      <c r="I281" s="8" t="s">
        <v>693</v>
      </c>
      <c r="J281" s="8"/>
      <c r="K281" s="8" t="s">
        <v>396</v>
      </c>
      <c r="L281" s="8" t="s">
        <v>396</v>
      </c>
      <c r="M281" s="8" t="s">
        <v>396</v>
      </c>
      <c r="N281" s="12"/>
    </row>
    <row r="282" spans="2:14" x14ac:dyDescent="0.2">
      <c r="B282" s="2">
        <v>318</v>
      </c>
      <c r="C282" s="14" t="s">
        <v>57</v>
      </c>
      <c r="D282" s="2" t="s">
        <v>16</v>
      </c>
      <c r="E282" s="2" t="s">
        <v>0</v>
      </c>
      <c r="F282" s="29" t="s">
        <v>757</v>
      </c>
      <c r="G282" s="8" t="s">
        <v>936</v>
      </c>
      <c r="H282" s="8" t="s">
        <v>396</v>
      </c>
      <c r="I282" s="8" t="s">
        <v>693</v>
      </c>
      <c r="J282" s="8"/>
      <c r="K282" s="8" t="s">
        <v>396</v>
      </c>
      <c r="L282" s="8" t="s">
        <v>396</v>
      </c>
      <c r="M282" s="8" t="s">
        <v>396</v>
      </c>
      <c r="N282" s="12"/>
    </row>
    <row r="283" spans="2:14" x14ac:dyDescent="0.25">
      <c r="B283" s="2">
        <v>320</v>
      </c>
      <c r="C283" s="14" t="s">
        <v>46</v>
      </c>
      <c r="D283" s="14" t="s">
        <v>41</v>
      </c>
      <c r="E283" s="2" t="s">
        <v>5</v>
      </c>
      <c r="F283" s="28" t="s">
        <v>809</v>
      </c>
      <c r="G283" s="8" t="s">
        <v>936</v>
      </c>
      <c r="H283" s="8" t="s">
        <v>396</v>
      </c>
      <c r="I283" s="27" t="s">
        <v>693</v>
      </c>
      <c r="J283" s="8"/>
      <c r="K283" s="8"/>
      <c r="L283" s="8"/>
      <c r="M283" s="8" t="s">
        <v>396</v>
      </c>
      <c r="N283" s="2" t="s">
        <v>687</v>
      </c>
    </row>
    <row r="284" spans="2:14" x14ac:dyDescent="0.25">
      <c r="B284" s="2">
        <v>321</v>
      </c>
      <c r="C284" s="14" t="s">
        <v>46</v>
      </c>
      <c r="D284" s="2" t="s">
        <v>41</v>
      </c>
      <c r="E284" s="2" t="s">
        <v>4</v>
      </c>
      <c r="F284" s="28" t="s">
        <v>810</v>
      </c>
      <c r="G284" s="8" t="s">
        <v>936</v>
      </c>
      <c r="H284" s="8" t="s">
        <v>396</v>
      </c>
      <c r="I284" s="27" t="s">
        <v>693</v>
      </c>
      <c r="J284" s="8"/>
      <c r="K284" s="8"/>
      <c r="L284" s="8"/>
      <c r="M284" s="8" t="s">
        <v>396</v>
      </c>
      <c r="N284" s="2"/>
    </row>
    <row r="285" spans="2:14" x14ac:dyDescent="0.25">
      <c r="B285" s="2">
        <v>322</v>
      </c>
      <c r="C285" s="14" t="s">
        <v>46</v>
      </c>
      <c r="D285" s="2" t="s">
        <v>41</v>
      </c>
      <c r="E285" s="2" t="s">
        <v>3</v>
      </c>
      <c r="F285" s="28" t="s">
        <v>811</v>
      </c>
      <c r="G285" s="8" t="s">
        <v>936</v>
      </c>
      <c r="H285" s="8" t="s">
        <v>396</v>
      </c>
      <c r="I285" s="27" t="s">
        <v>693</v>
      </c>
      <c r="J285" s="8"/>
      <c r="K285" s="8"/>
      <c r="L285" s="8"/>
      <c r="M285" s="8" t="s">
        <v>396</v>
      </c>
      <c r="N285" s="2"/>
    </row>
    <row r="286" spans="2:14" x14ac:dyDescent="0.25">
      <c r="B286" s="2">
        <v>323</v>
      </c>
      <c r="C286" s="14" t="s">
        <v>46</v>
      </c>
      <c r="D286" s="2" t="s">
        <v>41</v>
      </c>
      <c r="E286" s="2" t="s">
        <v>12</v>
      </c>
      <c r="F286" s="2"/>
      <c r="G286" s="35" t="s">
        <v>262</v>
      </c>
      <c r="H286" s="8"/>
      <c r="I286" s="8"/>
      <c r="J286" s="8"/>
      <c r="K286" s="8"/>
      <c r="L286" s="8"/>
      <c r="M286" s="8"/>
      <c r="N286" s="2"/>
    </row>
    <row r="287" spans="2:14" x14ac:dyDescent="0.25">
      <c r="B287" s="2">
        <v>324</v>
      </c>
      <c r="C287" s="14" t="s">
        <v>46</v>
      </c>
      <c r="D287" s="2" t="s">
        <v>41</v>
      </c>
      <c r="E287" s="2" t="s">
        <v>11</v>
      </c>
      <c r="F287" s="2"/>
      <c r="G287" s="35" t="s">
        <v>262</v>
      </c>
      <c r="H287" s="8"/>
      <c r="I287" s="8"/>
      <c r="J287" s="8"/>
      <c r="K287" s="8"/>
      <c r="L287" s="8"/>
      <c r="M287" s="8"/>
      <c r="N287" s="2"/>
    </row>
    <row r="288" spans="2:14" x14ac:dyDescent="0.25">
      <c r="B288" s="2">
        <v>325</v>
      </c>
      <c r="C288" s="14" t="s">
        <v>46</v>
      </c>
      <c r="D288" s="14" t="s">
        <v>40</v>
      </c>
      <c r="E288" s="2" t="s">
        <v>5</v>
      </c>
      <c r="F288" s="28" t="s">
        <v>812</v>
      </c>
      <c r="G288" s="8" t="s">
        <v>936</v>
      </c>
      <c r="H288" s="8" t="s">
        <v>396</v>
      </c>
      <c r="I288" s="27" t="s">
        <v>693</v>
      </c>
      <c r="J288" s="8"/>
      <c r="K288" s="8"/>
      <c r="L288" s="8"/>
      <c r="M288" s="8" t="s">
        <v>396</v>
      </c>
      <c r="N288" s="2"/>
    </row>
    <row r="289" spans="2:14" x14ac:dyDescent="0.25">
      <c r="B289" s="2">
        <v>326</v>
      </c>
      <c r="C289" s="14" t="s">
        <v>46</v>
      </c>
      <c r="D289" s="2" t="s">
        <v>40</v>
      </c>
      <c r="E289" s="2" t="s">
        <v>4</v>
      </c>
      <c r="F289" s="28" t="s">
        <v>813</v>
      </c>
      <c r="G289" s="8" t="s">
        <v>936</v>
      </c>
      <c r="H289" s="8" t="s">
        <v>396</v>
      </c>
      <c r="I289" s="27" t="s">
        <v>693</v>
      </c>
      <c r="J289" s="8"/>
      <c r="K289" s="8"/>
      <c r="L289" s="8"/>
      <c r="M289" s="8" t="s">
        <v>396</v>
      </c>
      <c r="N289" s="2"/>
    </row>
    <row r="290" spans="2:14" x14ac:dyDescent="0.25">
      <c r="B290" s="2">
        <v>327</v>
      </c>
      <c r="C290" s="14" t="s">
        <v>46</v>
      </c>
      <c r="D290" s="2" t="s">
        <v>40</v>
      </c>
      <c r="E290" s="2" t="s">
        <v>3</v>
      </c>
      <c r="F290" s="28" t="s">
        <v>814</v>
      </c>
      <c r="G290" s="8" t="s">
        <v>936</v>
      </c>
      <c r="H290" s="8" t="s">
        <v>396</v>
      </c>
      <c r="I290" s="27" t="s">
        <v>693</v>
      </c>
      <c r="J290" s="8"/>
      <c r="K290" s="8"/>
      <c r="L290" s="8"/>
      <c r="M290" s="8" t="s">
        <v>396</v>
      </c>
      <c r="N290" s="2"/>
    </row>
    <row r="291" spans="2:14" x14ac:dyDescent="0.25">
      <c r="B291" s="2">
        <v>328</v>
      </c>
      <c r="C291" s="14" t="s">
        <v>46</v>
      </c>
      <c r="D291" s="2" t="s">
        <v>40</v>
      </c>
      <c r="E291" s="2" t="s">
        <v>12</v>
      </c>
      <c r="F291" s="2"/>
      <c r="G291" s="35" t="s">
        <v>262</v>
      </c>
      <c r="H291" s="8"/>
      <c r="I291" s="8"/>
      <c r="J291" s="8"/>
      <c r="K291" s="8"/>
      <c r="L291" s="8"/>
      <c r="M291" s="8"/>
      <c r="N291" s="2"/>
    </row>
    <row r="292" spans="2:14" x14ac:dyDescent="0.25">
      <c r="B292" s="2">
        <v>329</v>
      </c>
      <c r="C292" s="14" t="s">
        <v>46</v>
      </c>
      <c r="D292" s="2" t="s">
        <v>40</v>
      </c>
      <c r="E292" s="2" t="s">
        <v>11</v>
      </c>
      <c r="F292" s="2"/>
      <c r="G292" s="35" t="s">
        <v>262</v>
      </c>
      <c r="H292" s="8"/>
      <c r="I292" s="8"/>
      <c r="J292" s="8"/>
      <c r="K292" s="8"/>
      <c r="L292" s="8"/>
      <c r="M292" s="8"/>
      <c r="N292" s="2"/>
    </row>
    <row r="293" spans="2:14" x14ac:dyDescent="0.25">
      <c r="B293" s="2">
        <v>330</v>
      </c>
      <c r="C293" s="14" t="s">
        <v>46</v>
      </c>
      <c r="D293" s="2" t="s">
        <v>40</v>
      </c>
      <c r="E293" s="2" t="s">
        <v>39</v>
      </c>
      <c r="F293" s="2"/>
      <c r="G293" s="35" t="s">
        <v>262</v>
      </c>
      <c r="H293" s="8"/>
      <c r="I293" s="8"/>
      <c r="J293" s="8"/>
      <c r="K293" s="8"/>
      <c r="L293" s="8"/>
      <c r="M293" s="8"/>
      <c r="N293" s="2"/>
    </row>
    <row r="294" spans="2:14" x14ac:dyDescent="0.2">
      <c r="B294" s="2">
        <v>331</v>
      </c>
      <c r="C294" s="14" t="s">
        <v>46</v>
      </c>
      <c r="D294" s="14" t="s">
        <v>89</v>
      </c>
      <c r="E294" s="2" t="s">
        <v>5</v>
      </c>
      <c r="F294" s="12" t="s">
        <v>346</v>
      </c>
      <c r="G294" s="8" t="s">
        <v>936</v>
      </c>
      <c r="H294" s="8" t="s">
        <v>396</v>
      </c>
      <c r="I294" s="27" t="s">
        <v>693</v>
      </c>
      <c r="J294" s="8"/>
      <c r="K294" s="8" t="s">
        <v>396</v>
      </c>
      <c r="L294" s="8" t="s">
        <v>396</v>
      </c>
      <c r="M294" s="8" t="s">
        <v>396</v>
      </c>
      <c r="N294" s="2" t="s">
        <v>714</v>
      </c>
    </row>
    <row r="295" spans="2:14" x14ac:dyDescent="0.2">
      <c r="B295" s="2">
        <v>332</v>
      </c>
      <c r="C295" s="14" t="s">
        <v>46</v>
      </c>
      <c r="D295" s="2" t="s">
        <v>89</v>
      </c>
      <c r="E295" s="2" t="s">
        <v>4</v>
      </c>
      <c r="F295" s="12" t="s">
        <v>347</v>
      </c>
      <c r="G295" s="8" t="s">
        <v>936</v>
      </c>
      <c r="H295" s="8" t="s">
        <v>396</v>
      </c>
      <c r="I295" s="27" t="s">
        <v>693</v>
      </c>
      <c r="J295" s="8"/>
      <c r="K295" s="8" t="s">
        <v>396</v>
      </c>
      <c r="L295" s="8" t="s">
        <v>396</v>
      </c>
      <c r="M295" s="8" t="s">
        <v>396</v>
      </c>
      <c r="N295" s="2" t="s">
        <v>714</v>
      </c>
    </row>
    <row r="296" spans="2:14" x14ac:dyDescent="0.2">
      <c r="B296" s="2">
        <v>333</v>
      </c>
      <c r="C296" s="14" t="s">
        <v>46</v>
      </c>
      <c r="D296" s="2" t="s">
        <v>89</v>
      </c>
      <c r="E296" s="2" t="s">
        <v>3</v>
      </c>
      <c r="F296" s="12" t="s">
        <v>345</v>
      </c>
      <c r="G296" s="8" t="s">
        <v>936</v>
      </c>
      <c r="H296" s="8" t="s">
        <v>396</v>
      </c>
      <c r="I296" s="27" t="s">
        <v>693</v>
      </c>
      <c r="J296" s="8"/>
      <c r="K296" s="8" t="s">
        <v>396</v>
      </c>
      <c r="L296" s="8" t="s">
        <v>396</v>
      </c>
      <c r="M296" s="8" t="s">
        <v>396</v>
      </c>
      <c r="N296" s="2"/>
    </row>
    <row r="297" spans="2:14" x14ac:dyDescent="0.2">
      <c r="B297" s="2">
        <v>334</v>
      </c>
      <c r="C297" s="14" t="s">
        <v>46</v>
      </c>
      <c r="D297" s="2" t="s">
        <v>89</v>
      </c>
      <c r="E297" s="2" t="s">
        <v>2</v>
      </c>
      <c r="F297" s="12" t="s">
        <v>328</v>
      </c>
      <c r="G297" s="8" t="s">
        <v>936</v>
      </c>
      <c r="H297" s="8" t="s">
        <v>396</v>
      </c>
      <c r="I297" s="27" t="s">
        <v>693</v>
      </c>
      <c r="J297" s="8"/>
      <c r="K297" s="8" t="s">
        <v>396</v>
      </c>
      <c r="L297" s="8" t="s">
        <v>396</v>
      </c>
      <c r="M297" s="8" t="s">
        <v>396</v>
      </c>
      <c r="N297" s="2"/>
    </row>
    <row r="298" spans="2:14" x14ac:dyDescent="0.2">
      <c r="B298" s="2">
        <v>335</v>
      </c>
      <c r="C298" s="14" t="s">
        <v>46</v>
      </c>
      <c r="D298" s="2" t="s">
        <v>89</v>
      </c>
      <c r="E298" s="2" t="s">
        <v>1</v>
      </c>
      <c r="F298" s="12" t="s">
        <v>348</v>
      </c>
      <c r="G298" s="8" t="s">
        <v>936</v>
      </c>
      <c r="H298" s="8" t="s">
        <v>396</v>
      </c>
      <c r="I298" s="27" t="s">
        <v>693</v>
      </c>
      <c r="J298" s="8"/>
      <c r="K298" s="8" t="s">
        <v>396</v>
      </c>
      <c r="L298" s="8" t="s">
        <v>396</v>
      </c>
      <c r="M298" s="8" t="s">
        <v>396</v>
      </c>
      <c r="N298" s="2"/>
    </row>
    <row r="299" spans="2:14" x14ac:dyDescent="0.2">
      <c r="B299" s="2">
        <v>336</v>
      </c>
      <c r="C299" s="14" t="s">
        <v>46</v>
      </c>
      <c r="D299" s="2" t="s">
        <v>89</v>
      </c>
      <c r="E299" s="2" t="s">
        <v>0</v>
      </c>
      <c r="F299" s="12" t="s">
        <v>322</v>
      </c>
      <c r="G299" s="8" t="s">
        <v>936</v>
      </c>
      <c r="H299" s="8" t="s">
        <v>396</v>
      </c>
      <c r="I299" s="27" t="s">
        <v>693</v>
      </c>
      <c r="J299" s="8"/>
      <c r="K299" s="8" t="s">
        <v>396</v>
      </c>
      <c r="L299" s="8" t="s">
        <v>396</v>
      </c>
      <c r="M299" s="8" t="s">
        <v>396</v>
      </c>
      <c r="N299" s="2" t="s">
        <v>731</v>
      </c>
    </row>
    <row r="300" spans="2:14" x14ac:dyDescent="0.2">
      <c r="B300" s="2">
        <v>349</v>
      </c>
      <c r="C300" s="14" t="s">
        <v>38</v>
      </c>
      <c r="D300" s="14" t="s">
        <v>27</v>
      </c>
      <c r="E300" s="2" t="s">
        <v>5</v>
      </c>
      <c r="F300" s="24" t="s">
        <v>489</v>
      </c>
      <c r="G300" s="8" t="s">
        <v>936</v>
      </c>
      <c r="H300" s="8" t="s">
        <v>396</v>
      </c>
      <c r="I300" s="27" t="s">
        <v>693</v>
      </c>
      <c r="J300" s="8"/>
      <c r="K300" s="8" t="s">
        <v>396</v>
      </c>
      <c r="L300" s="8" t="s">
        <v>396</v>
      </c>
      <c r="M300" s="8" t="s">
        <v>396</v>
      </c>
      <c r="N300" s="2"/>
    </row>
    <row r="301" spans="2:14" x14ac:dyDescent="0.2">
      <c r="B301" s="2">
        <v>350</v>
      </c>
      <c r="C301" s="14" t="s">
        <v>38</v>
      </c>
      <c r="D301" s="2" t="s">
        <v>27</v>
      </c>
      <c r="E301" s="2" t="s">
        <v>4</v>
      </c>
      <c r="F301" s="24" t="s">
        <v>484</v>
      </c>
      <c r="G301" s="8" t="s">
        <v>936</v>
      </c>
      <c r="H301" s="8" t="s">
        <v>396</v>
      </c>
      <c r="I301" s="27" t="s">
        <v>693</v>
      </c>
      <c r="J301" s="8"/>
      <c r="K301" s="8" t="s">
        <v>396</v>
      </c>
      <c r="L301" s="8" t="s">
        <v>396</v>
      </c>
      <c r="M301" s="8" t="s">
        <v>396</v>
      </c>
      <c r="N301" s="2"/>
    </row>
    <row r="302" spans="2:14" x14ac:dyDescent="0.2">
      <c r="B302" s="2">
        <v>351</v>
      </c>
      <c r="C302" s="14" t="s">
        <v>38</v>
      </c>
      <c r="D302" s="2" t="s">
        <v>27</v>
      </c>
      <c r="E302" s="2" t="s">
        <v>3</v>
      </c>
      <c r="F302" s="24" t="s">
        <v>492</v>
      </c>
      <c r="G302" s="8" t="s">
        <v>936</v>
      </c>
      <c r="H302" s="8" t="s">
        <v>396</v>
      </c>
      <c r="I302" s="27" t="s">
        <v>693</v>
      </c>
      <c r="J302" s="8"/>
      <c r="K302" s="8" t="s">
        <v>396</v>
      </c>
      <c r="L302" s="8" t="s">
        <v>396</v>
      </c>
      <c r="M302" s="8" t="s">
        <v>396</v>
      </c>
      <c r="N302" s="2" t="s">
        <v>735</v>
      </c>
    </row>
    <row r="303" spans="2:14" x14ac:dyDescent="0.2">
      <c r="B303" s="2">
        <v>352</v>
      </c>
      <c r="C303" s="14" t="s">
        <v>38</v>
      </c>
      <c r="D303" s="2" t="s">
        <v>27</v>
      </c>
      <c r="E303" s="2" t="s">
        <v>2</v>
      </c>
      <c r="F303" s="24" t="s">
        <v>487</v>
      </c>
      <c r="G303" s="8" t="s">
        <v>936</v>
      </c>
      <c r="H303" s="8" t="s">
        <v>396</v>
      </c>
      <c r="I303" s="27" t="s">
        <v>693</v>
      </c>
      <c r="J303" s="8"/>
      <c r="K303" s="8" t="s">
        <v>396</v>
      </c>
      <c r="L303" s="8" t="s">
        <v>396</v>
      </c>
      <c r="M303" s="8" t="s">
        <v>396</v>
      </c>
      <c r="N303" s="2" t="s">
        <v>888</v>
      </c>
    </row>
    <row r="304" spans="2:14" x14ac:dyDescent="0.2">
      <c r="B304" s="2">
        <v>353</v>
      </c>
      <c r="C304" s="14" t="s">
        <v>38</v>
      </c>
      <c r="D304" s="2" t="s">
        <v>27</v>
      </c>
      <c r="E304" s="2" t="s">
        <v>1</v>
      </c>
      <c r="F304" s="24" t="s">
        <v>491</v>
      </c>
      <c r="G304" s="8" t="s">
        <v>936</v>
      </c>
      <c r="H304" s="8" t="s">
        <v>396</v>
      </c>
      <c r="I304" s="27" t="s">
        <v>693</v>
      </c>
      <c r="J304" s="8"/>
      <c r="K304" s="8" t="s">
        <v>396</v>
      </c>
      <c r="L304" s="8" t="s">
        <v>396</v>
      </c>
      <c r="M304" s="8" t="s">
        <v>396</v>
      </c>
      <c r="N304" s="2" t="s">
        <v>736</v>
      </c>
    </row>
    <row r="305" spans="2:14" x14ac:dyDescent="0.2">
      <c r="B305" s="2">
        <v>354</v>
      </c>
      <c r="C305" s="14" t="s">
        <v>38</v>
      </c>
      <c r="D305" s="2" t="s">
        <v>27</v>
      </c>
      <c r="E305" s="2" t="s">
        <v>0</v>
      </c>
      <c r="F305" s="24" t="s">
        <v>486</v>
      </c>
      <c r="G305" s="8" t="s">
        <v>936</v>
      </c>
      <c r="H305" s="8" t="s">
        <v>396</v>
      </c>
      <c r="I305" s="27" t="s">
        <v>693</v>
      </c>
      <c r="J305" s="11"/>
      <c r="K305" s="8" t="s">
        <v>396</v>
      </c>
      <c r="L305" s="8" t="s">
        <v>396</v>
      </c>
      <c r="M305" s="8" t="s">
        <v>396</v>
      </c>
      <c r="N305" s="2"/>
    </row>
    <row r="306" spans="2:14" x14ac:dyDescent="0.2">
      <c r="B306" s="2">
        <v>355</v>
      </c>
      <c r="C306" s="14" t="s">
        <v>38</v>
      </c>
      <c r="D306" s="14" t="s">
        <v>37</v>
      </c>
      <c r="E306" s="2" t="s">
        <v>5</v>
      </c>
      <c r="F306" s="24" t="s">
        <v>488</v>
      </c>
      <c r="G306" s="8" t="s">
        <v>936</v>
      </c>
      <c r="H306" s="8" t="s">
        <v>396</v>
      </c>
      <c r="I306" s="27" t="s">
        <v>693</v>
      </c>
      <c r="J306" s="11"/>
      <c r="K306" s="8" t="s">
        <v>396</v>
      </c>
      <c r="L306" s="8" t="s">
        <v>396</v>
      </c>
      <c r="M306" s="8" t="s">
        <v>396</v>
      </c>
      <c r="N306" s="2" t="s">
        <v>823</v>
      </c>
    </row>
    <row r="307" spans="2:14" x14ac:dyDescent="0.2">
      <c r="B307" s="2">
        <v>356</v>
      </c>
      <c r="C307" s="14" t="s">
        <v>38</v>
      </c>
      <c r="D307" s="2" t="s">
        <v>37</v>
      </c>
      <c r="E307" s="2" t="s">
        <v>4</v>
      </c>
      <c r="F307" s="24" t="s">
        <v>483</v>
      </c>
      <c r="G307" s="8" t="s">
        <v>936</v>
      </c>
      <c r="H307" s="8" t="s">
        <v>396</v>
      </c>
      <c r="I307" s="27" t="s">
        <v>693</v>
      </c>
      <c r="J307" s="11"/>
      <c r="K307" s="8" t="s">
        <v>396</v>
      </c>
      <c r="L307" s="8" t="s">
        <v>396</v>
      </c>
      <c r="M307" s="8" t="s">
        <v>396</v>
      </c>
      <c r="N307" s="2"/>
    </row>
    <row r="308" spans="2:14" x14ac:dyDescent="0.2">
      <c r="B308" s="2">
        <v>357</v>
      </c>
      <c r="C308" s="14" t="s">
        <v>38</v>
      </c>
      <c r="D308" s="2" t="s">
        <v>37</v>
      </c>
      <c r="E308" s="2" t="s">
        <v>3</v>
      </c>
      <c r="F308" s="26" t="s">
        <v>706</v>
      </c>
      <c r="G308" s="8" t="s">
        <v>936</v>
      </c>
      <c r="H308" s="8" t="s">
        <v>396</v>
      </c>
      <c r="I308" s="27" t="s">
        <v>693</v>
      </c>
      <c r="J308" s="31"/>
      <c r="K308" s="8" t="s">
        <v>396</v>
      </c>
      <c r="L308" s="8"/>
      <c r="M308" s="8" t="s">
        <v>396</v>
      </c>
      <c r="N308" s="2" t="s">
        <v>737</v>
      </c>
    </row>
    <row r="309" spans="2:14" x14ac:dyDescent="0.2">
      <c r="B309" s="2">
        <v>358</v>
      </c>
      <c r="C309" s="14" t="s">
        <v>38</v>
      </c>
      <c r="D309" s="2" t="s">
        <v>37</v>
      </c>
      <c r="E309" s="2" t="s">
        <v>1</v>
      </c>
      <c r="F309" s="24" t="s">
        <v>490</v>
      </c>
      <c r="G309" s="8" t="s">
        <v>936</v>
      </c>
      <c r="H309" s="8" t="s">
        <v>396</v>
      </c>
      <c r="I309" s="27" t="s">
        <v>693</v>
      </c>
      <c r="J309" s="11"/>
      <c r="K309" s="8" t="s">
        <v>396</v>
      </c>
      <c r="L309" s="8" t="s">
        <v>396</v>
      </c>
      <c r="M309" s="8" t="s">
        <v>396</v>
      </c>
      <c r="N309" s="2" t="s">
        <v>736</v>
      </c>
    </row>
    <row r="310" spans="2:14" x14ac:dyDescent="0.2">
      <c r="B310" s="2">
        <v>359</v>
      </c>
      <c r="C310" s="14" t="s">
        <v>38</v>
      </c>
      <c r="D310" s="2" t="s">
        <v>37</v>
      </c>
      <c r="E310" s="2" t="s">
        <v>0</v>
      </c>
      <c r="F310" s="24" t="s">
        <v>485</v>
      </c>
      <c r="G310" s="8" t="s">
        <v>936</v>
      </c>
      <c r="H310" s="8" t="s">
        <v>396</v>
      </c>
      <c r="I310" s="27" t="s">
        <v>693</v>
      </c>
      <c r="J310" s="11"/>
      <c r="K310" s="8" t="s">
        <v>396</v>
      </c>
      <c r="L310" s="8" t="s">
        <v>396</v>
      </c>
      <c r="M310" s="8" t="s">
        <v>396</v>
      </c>
      <c r="N310" s="2"/>
    </row>
    <row r="311" spans="2:14" x14ac:dyDescent="0.25">
      <c r="B311" s="2">
        <v>360</v>
      </c>
      <c r="C311" s="14" t="s">
        <v>38</v>
      </c>
      <c r="D311" s="2" t="s">
        <v>37</v>
      </c>
      <c r="E311" s="2" t="s">
        <v>36</v>
      </c>
      <c r="F311" s="28" t="s">
        <v>822</v>
      </c>
      <c r="G311" s="8" t="s">
        <v>936</v>
      </c>
      <c r="H311" s="8" t="s">
        <v>396</v>
      </c>
      <c r="I311" s="8" t="s">
        <v>693</v>
      </c>
      <c r="J311" s="8"/>
      <c r="K311" s="8"/>
      <c r="L311" s="8"/>
      <c r="M311" s="8"/>
      <c r="N311" s="2"/>
    </row>
    <row r="312" spans="2:14" x14ac:dyDescent="0.25">
      <c r="B312" s="2">
        <v>362</v>
      </c>
      <c r="C312" s="2" t="s">
        <v>35</v>
      </c>
      <c r="D312" s="14" t="s">
        <v>93</v>
      </c>
      <c r="E312" s="2" t="s">
        <v>3</v>
      </c>
      <c r="F312" s="28" t="s">
        <v>1168</v>
      </c>
      <c r="G312" s="8" t="s">
        <v>936</v>
      </c>
      <c r="H312" s="8" t="s">
        <v>396</v>
      </c>
      <c r="I312" s="27" t="s">
        <v>693</v>
      </c>
      <c r="J312" s="8"/>
      <c r="K312" s="8"/>
      <c r="L312" s="8"/>
      <c r="M312" s="8"/>
      <c r="N312" s="2"/>
    </row>
    <row r="313" spans="2:14" x14ac:dyDescent="0.25">
      <c r="B313" s="2">
        <v>363</v>
      </c>
      <c r="C313" s="2" t="s">
        <v>35</v>
      </c>
      <c r="D313" s="2" t="s">
        <v>93</v>
      </c>
      <c r="E313" s="2" t="s">
        <v>1</v>
      </c>
      <c r="F313" s="28" t="s">
        <v>1169</v>
      </c>
      <c r="G313" s="8" t="s">
        <v>936</v>
      </c>
      <c r="H313" s="8" t="s">
        <v>396</v>
      </c>
      <c r="I313" s="27" t="s">
        <v>693</v>
      </c>
      <c r="K313" s="8"/>
      <c r="L313" s="8"/>
      <c r="M313" s="8"/>
      <c r="N313" s="2" t="s">
        <v>907</v>
      </c>
    </row>
    <row r="314" spans="2:14" x14ac:dyDescent="0.2">
      <c r="B314" s="2">
        <v>364</v>
      </c>
      <c r="C314" s="2" t="s">
        <v>35</v>
      </c>
      <c r="D314" s="14" t="s">
        <v>88</v>
      </c>
      <c r="E314" s="2" t="s">
        <v>5</v>
      </c>
      <c r="F314" s="23" t="s">
        <v>654</v>
      </c>
      <c r="G314" s="8" t="s">
        <v>936</v>
      </c>
      <c r="H314" s="8" t="s">
        <v>396</v>
      </c>
      <c r="I314" s="27" t="s">
        <v>693</v>
      </c>
      <c r="J314" s="8"/>
      <c r="K314" s="8" t="s">
        <v>396</v>
      </c>
      <c r="L314" s="8" t="s">
        <v>396</v>
      </c>
      <c r="M314" s="8" t="s">
        <v>396</v>
      </c>
      <c r="N314" s="2" t="s">
        <v>719</v>
      </c>
    </row>
    <row r="315" spans="2:14" x14ac:dyDescent="0.2">
      <c r="B315" s="2">
        <v>365</v>
      </c>
      <c r="C315" s="2" t="s">
        <v>35</v>
      </c>
      <c r="D315" s="2" t="s">
        <v>88</v>
      </c>
      <c r="E315" s="2" t="s">
        <v>4</v>
      </c>
      <c r="F315" s="23" t="s">
        <v>653</v>
      </c>
      <c r="G315" s="8" t="s">
        <v>936</v>
      </c>
      <c r="H315" s="8" t="s">
        <v>396</v>
      </c>
      <c r="I315" s="27" t="s">
        <v>693</v>
      </c>
      <c r="J315" s="8"/>
      <c r="K315" s="8" t="s">
        <v>396</v>
      </c>
      <c r="L315" s="8" t="s">
        <v>396</v>
      </c>
      <c r="M315" s="8" t="s">
        <v>396</v>
      </c>
      <c r="N315" s="2" t="s">
        <v>719</v>
      </c>
    </row>
    <row r="316" spans="2:14" x14ac:dyDescent="0.2">
      <c r="B316" s="2">
        <v>366</v>
      </c>
      <c r="C316" s="2" t="s">
        <v>35</v>
      </c>
      <c r="D316" s="2" t="s">
        <v>88</v>
      </c>
      <c r="E316" s="2" t="s">
        <v>3</v>
      </c>
      <c r="F316" s="23" t="s">
        <v>655</v>
      </c>
      <c r="G316" s="8" t="s">
        <v>936</v>
      </c>
      <c r="H316" s="8" t="s">
        <v>396</v>
      </c>
      <c r="I316" s="27" t="s">
        <v>693</v>
      </c>
      <c r="J316" s="8"/>
      <c r="K316" s="8" t="s">
        <v>396</v>
      </c>
      <c r="L316" s="8" t="s">
        <v>396</v>
      </c>
      <c r="M316" s="8" t="s">
        <v>396</v>
      </c>
      <c r="N316" s="2"/>
    </row>
    <row r="317" spans="2:14" x14ac:dyDescent="0.2">
      <c r="B317" s="2">
        <v>367</v>
      </c>
      <c r="C317" s="2" t="s">
        <v>35</v>
      </c>
      <c r="D317" s="2" t="s">
        <v>88</v>
      </c>
      <c r="E317" s="2" t="s">
        <v>2</v>
      </c>
      <c r="F317" s="23" t="s">
        <v>374</v>
      </c>
      <c r="G317" s="8" t="s">
        <v>936</v>
      </c>
      <c r="H317" s="8" t="s">
        <v>396</v>
      </c>
      <c r="I317" s="27" t="s">
        <v>693</v>
      </c>
      <c r="J317" s="8"/>
      <c r="K317" s="8" t="s">
        <v>396</v>
      </c>
      <c r="L317" s="8" t="s">
        <v>396</v>
      </c>
      <c r="M317" s="8" t="s">
        <v>396</v>
      </c>
      <c r="N317" s="11"/>
    </row>
    <row r="318" spans="2:14" x14ac:dyDescent="0.2">
      <c r="B318" s="2">
        <v>368</v>
      </c>
      <c r="C318" s="2" t="s">
        <v>35</v>
      </c>
      <c r="D318" s="2" t="s">
        <v>88</v>
      </c>
      <c r="E318" s="2" t="s">
        <v>1</v>
      </c>
      <c r="F318" s="23" t="s">
        <v>375</v>
      </c>
      <c r="G318" s="8" t="s">
        <v>936</v>
      </c>
      <c r="H318" s="8" t="s">
        <v>396</v>
      </c>
      <c r="I318" s="27" t="s">
        <v>693</v>
      </c>
      <c r="J318" s="8"/>
      <c r="K318" s="8" t="s">
        <v>396</v>
      </c>
      <c r="L318" s="8" t="s">
        <v>396</v>
      </c>
      <c r="M318" s="8" t="s">
        <v>396</v>
      </c>
      <c r="N318" s="11"/>
    </row>
    <row r="319" spans="2:14" x14ac:dyDescent="0.2">
      <c r="B319" s="2">
        <v>369</v>
      </c>
      <c r="C319" s="2" t="s">
        <v>35</v>
      </c>
      <c r="D319" s="2" t="s">
        <v>88</v>
      </c>
      <c r="E319" s="2" t="s">
        <v>0</v>
      </c>
      <c r="F319" s="23" t="s">
        <v>373</v>
      </c>
      <c r="G319" s="8" t="s">
        <v>936</v>
      </c>
      <c r="H319" s="8" t="s">
        <v>396</v>
      </c>
      <c r="I319" s="27" t="s">
        <v>693</v>
      </c>
      <c r="J319" s="8"/>
      <c r="K319" s="8" t="s">
        <v>396</v>
      </c>
      <c r="L319" s="8" t="s">
        <v>396</v>
      </c>
      <c r="M319" s="8" t="s">
        <v>396</v>
      </c>
      <c r="N319" s="11" t="s">
        <v>711</v>
      </c>
    </row>
    <row r="320" spans="2:14" x14ac:dyDescent="0.25">
      <c r="B320" s="2">
        <v>406</v>
      </c>
      <c r="C320" s="2" t="s">
        <v>35</v>
      </c>
      <c r="D320" s="14" t="s">
        <v>34</v>
      </c>
      <c r="E320" s="2" t="s">
        <v>62</v>
      </c>
      <c r="F320" s="28" t="s">
        <v>799</v>
      </c>
      <c r="G320" s="8" t="s">
        <v>936</v>
      </c>
      <c r="H320" s="8" t="s">
        <v>396</v>
      </c>
      <c r="I320" s="27" t="s">
        <v>693</v>
      </c>
      <c r="J320" s="8"/>
      <c r="K320" s="8"/>
      <c r="L320" s="8"/>
      <c r="M320" s="8"/>
      <c r="N320" s="2"/>
    </row>
    <row r="321" spans="2:14" x14ac:dyDescent="0.25">
      <c r="B321" s="2">
        <v>409</v>
      </c>
      <c r="C321" s="2" t="s">
        <v>35</v>
      </c>
      <c r="D321" s="2" t="s">
        <v>34</v>
      </c>
      <c r="E321" s="2" t="s">
        <v>803</v>
      </c>
      <c r="F321" s="28" t="s">
        <v>800</v>
      </c>
      <c r="G321" s="8" t="s">
        <v>936</v>
      </c>
      <c r="H321" s="8" t="s">
        <v>396</v>
      </c>
      <c r="I321" s="27" t="s">
        <v>693</v>
      </c>
      <c r="J321" s="2"/>
      <c r="K321" s="8"/>
      <c r="L321" s="8"/>
      <c r="M321" s="8"/>
      <c r="N321" s="2" t="s">
        <v>805</v>
      </c>
    </row>
    <row r="322" spans="2:14" x14ac:dyDescent="0.25">
      <c r="B322" s="2">
        <v>410</v>
      </c>
      <c r="C322" s="2" t="s">
        <v>35</v>
      </c>
      <c r="D322" s="2" t="s">
        <v>34</v>
      </c>
      <c r="E322" s="2" t="s">
        <v>804</v>
      </c>
      <c r="F322" s="28" t="s">
        <v>801</v>
      </c>
      <c r="G322" s="8" t="s">
        <v>936</v>
      </c>
      <c r="H322" s="8" t="s">
        <v>396</v>
      </c>
      <c r="I322" s="27" t="s">
        <v>693</v>
      </c>
      <c r="J322" s="2"/>
      <c r="K322" s="8"/>
      <c r="L322" s="8"/>
      <c r="M322" s="8"/>
      <c r="N322" s="2"/>
    </row>
    <row r="323" spans="2:14" x14ac:dyDescent="0.25">
      <c r="B323" s="2">
        <v>411</v>
      </c>
      <c r="C323" s="2" t="s">
        <v>35</v>
      </c>
      <c r="D323" s="2" t="s">
        <v>34</v>
      </c>
      <c r="E323" s="2" t="s">
        <v>867</v>
      </c>
      <c r="F323" s="28" t="s">
        <v>802</v>
      </c>
      <c r="G323" s="8" t="s">
        <v>936</v>
      </c>
      <c r="H323" s="8" t="s">
        <v>396</v>
      </c>
      <c r="I323" s="27" t="s">
        <v>693</v>
      </c>
      <c r="J323" s="2"/>
      <c r="K323" s="8"/>
      <c r="L323" s="8"/>
      <c r="M323" s="8"/>
      <c r="N323" s="2"/>
    </row>
    <row r="324" spans="2:14" x14ac:dyDescent="0.25">
      <c r="B324" s="2">
        <v>412</v>
      </c>
      <c r="C324" s="2" t="s">
        <v>35</v>
      </c>
      <c r="D324" s="2" t="s">
        <v>33</v>
      </c>
      <c r="E324" s="6" t="s">
        <v>32</v>
      </c>
      <c r="F324" s="2"/>
      <c r="G324" s="35" t="s">
        <v>262</v>
      </c>
      <c r="H324" s="8"/>
      <c r="I324" s="8"/>
      <c r="J324" s="8"/>
      <c r="K324" s="8"/>
      <c r="L324" s="8"/>
      <c r="M324" s="8"/>
      <c r="N324" s="2" t="s">
        <v>954</v>
      </c>
    </row>
    <row r="325" spans="2:14" x14ac:dyDescent="0.25">
      <c r="B325" s="2">
        <v>413</v>
      </c>
      <c r="C325" s="2" t="s">
        <v>35</v>
      </c>
      <c r="D325" s="2" t="s">
        <v>33</v>
      </c>
      <c r="E325" s="6" t="s">
        <v>31</v>
      </c>
      <c r="F325" s="2"/>
      <c r="G325" s="35" t="s">
        <v>262</v>
      </c>
      <c r="H325" s="8"/>
      <c r="I325" s="8"/>
      <c r="J325" s="8"/>
      <c r="K325" s="8"/>
      <c r="L325" s="8"/>
      <c r="M325" s="8"/>
      <c r="N325" s="2" t="s">
        <v>954</v>
      </c>
    </row>
    <row r="326" spans="2:14" x14ac:dyDescent="0.25">
      <c r="B326" s="2">
        <v>414</v>
      </c>
      <c r="C326" s="2" t="s">
        <v>35</v>
      </c>
      <c r="D326" s="2" t="s">
        <v>33</v>
      </c>
      <c r="E326" s="6" t="s">
        <v>30</v>
      </c>
      <c r="F326" s="2"/>
      <c r="G326" s="35" t="s">
        <v>262</v>
      </c>
      <c r="H326" s="8"/>
      <c r="I326" s="8"/>
      <c r="J326" s="8"/>
      <c r="K326" s="8"/>
      <c r="L326" s="8"/>
      <c r="M326" s="8"/>
      <c r="N326" s="2" t="s">
        <v>954</v>
      </c>
    </row>
    <row r="327" spans="2:14" x14ac:dyDescent="0.25">
      <c r="B327" s="2">
        <v>415</v>
      </c>
      <c r="C327" s="2" t="s">
        <v>35</v>
      </c>
      <c r="D327" s="2" t="s">
        <v>33</v>
      </c>
      <c r="E327" s="6" t="s">
        <v>29</v>
      </c>
      <c r="F327" s="2"/>
      <c r="G327" s="35" t="s">
        <v>262</v>
      </c>
      <c r="H327" s="8"/>
      <c r="I327" s="8"/>
      <c r="J327" s="8"/>
      <c r="K327" s="8"/>
      <c r="L327" s="8"/>
      <c r="M327" s="8"/>
      <c r="N327" s="2" t="s">
        <v>954</v>
      </c>
    </row>
    <row r="328" spans="2:14" x14ac:dyDescent="0.2">
      <c r="B328" s="2">
        <v>416</v>
      </c>
      <c r="C328" s="14" t="s">
        <v>28</v>
      </c>
      <c r="D328" s="14" t="s">
        <v>27</v>
      </c>
      <c r="E328" s="2" t="s">
        <v>5</v>
      </c>
      <c r="F328" s="24" t="s">
        <v>481</v>
      </c>
      <c r="G328" s="8" t="s">
        <v>936</v>
      </c>
      <c r="H328" s="8" t="s">
        <v>396</v>
      </c>
      <c r="I328" s="27" t="s">
        <v>693</v>
      </c>
      <c r="J328" s="2"/>
      <c r="K328" s="8" t="s">
        <v>396</v>
      </c>
      <c r="L328" s="8" t="s">
        <v>396</v>
      </c>
      <c r="M328" s="8" t="s">
        <v>396</v>
      </c>
      <c r="N328" s="2" t="s">
        <v>714</v>
      </c>
    </row>
    <row r="329" spans="2:14" x14ac:dyDescent="0.2">
      <c r="B329" s="2">
        <v>417</v>
      </c>
      <c r="C329" s="14" t="s">
        <v>28</v>
      </c>
      <c r="D329" s="14" t="s">
        <v>27</v>
      </c>
      <c r="E329" s="2" t="s">
        <v>4</v>
      </c>
      <c r="F329" s="24" t="s">
        <v>480</v>
      </c>
      <c r="G329" s="8" t="s">
        <v>936</v>
      </c>
      <c r="H329" s="8" t="s">
        <v>396</v>
      </c>
      <c r="I329" s="27" t="s">
        <v>693</v>
      </c>
      <c r="J329" s="2"/>
      <c r="K329" s="8" t="s">
        <v>396</v>
      </c>
      <c r="L329" s="8" t="s">
        <v>396</v>
      </c>
      <c r="M329" s="8" t="s">
        <v>396</v>
      </c>
      <c r="N329" s="2" t="s">
        <v>748</v>
      </c>
    </row>
    <row r="330" spans="2:14" x14ac:dyDescent="0.2">
      <c r="B330" s="2">
        <v>418</v>
      </c>
      <c r="C330" s="14" t="s">
        <v>28</v>
      </c>
      <c r="D330" s="14" t="s">
        <v>27</v>
      </c>
      <c r="E330" s="2" t="s">
        <v>3</v>
      </c>
      <c r="F330" s="24" t="s">
        <v>482</v>
      </c>
      <c r="G330" s="8" t="s">
        <v>936</v>
      </c>
      <c r="H330" s="8" t="s">
        <v>396</v>
      </c>
      <c r="I330" s="27" t="s">
        <v>693</v>
      </c>
      <c r="J330" s="8"/>
      <c r="K330" s="8" t="s">
        <v>396</v>
      </c>
      <c r="L330" s="8" t="s">
        <v>396</v>
      </c>
      <c r="M330" s="8" t="s">
        <v>396</v>
      </c>
      <c r="N330" s="2"/>
    </row>
    <row r="331" spans="2:14" x14ac:dyDescent="0.2">
      <c r="B331" s="2">
        <v>419</v>
      </c>
      <c r="C331" s="14" t="s">
        <v>28</v>
      </c>
      <c r="D331" s="14" t="s">
        <v>27</v>
      </c>
      <c r="E331" s="2" t="s">
        <v>2</v>
      </c>
      <c r="F331" s="24" t="s">
        <v>477</v>
      </c>
      <c r="G331" s="8" t="s">
        <v>936</v>
      </c>
      <c r="H331" s="8" t="s">
        <v>396</v>
      </c>
      <c r="I331" s="27" t="s">
        <v>693</v>
      </c>
      <c r="J331" s="8"/>
      <c r="K331" s="8" t="s">
        <v>396</v>
      </c>
      <c r="L331" s="8" t="s">
        <v>396</v>
      </c>
      <c r="M331" s="8" t="s">
        <v>396</v>
      </c>
      <c r="N331" s="2"/>
    </row>
    <row r="332" spans="2:14" x14ac:dyDescent="0.2">
      <c r="B332" s="2">
        <v>420</v>
      </c>
      <c r="C332" s="14" t="s">
        <v>28</v>
      </c>
      <c r="D332" s="14" t="s">
        <v>27</v>
      </c>
      <c r="E332" s="2" t="s">
        <v>1</v>
      </c>
      <c r="F332" s="24" t="s">
        <v>478</v>
      </c>
      <c r="G332" s="8" t="s">
        <v>936</v>
      </c>
      <c r="H332" s="8" t="s">
        <v>396</v>
      </c>
      <c r="I332" s="27" t="s">
        <v>693</v>
      </c>
      <c r="J332" s="8"/>
      <c r="K332" s="8" t="s">
        <v>396</v>
      </c>
      <c r="L332" s="8" t="s">
        <v>396</v>
      </c>
      <c r="M332" s="8" t="s">
        <v>396</v>
      </c>
      <c r="N332" s="2" t="s">
        <v>863</v>
      </c>
    </row>
    <row r="333" spans="2:14" x14ac:dyDescent="0.2">
      <c r="B333" s="2">
        <v>421</v>
      </c>
      <c r="C333" s="14" t="s">
        <v>28</v>
      </c>
      <c r="D333" s="14" t="s">
        <v>27</v>
      </c>
      <c r="E333" s="2" t="s">
        <v>0</v>
      </c>
      <c r="F333" s="24" t="s">
        <v>475</v>
      </c>
      <c r="G333" s="8" t="s">
        <v>936</v>
      </c>
      <c r="H333" s="8" t="s">
        <v>396</v>
      </c>
      <c r="I333" s="27" t="s">
        <v>693</v>
      </c>
      <c r="J333" s="8"/>
      <c r="K333" s="8" t="s">
        <v>396</v>
      </c>
      <c r="L333" s="8" t="s">
        <v>396</v>
      </c>
      <c r="M333" s="8" t="s">
        <v>396</v>
      </c>
      <c r="N333" s="2"/>
    </row>
    <row r="334" spans="2:14" x14ac:dyDescent="0.25">
      <c r="B334" s="2">
        <v>422</v>
      </c>
      <c r="C334" s="14" t="s">
        <v>28</v>
      </c>
      <c r="D334" s="14" t="s">
        <v>866</v>
      </c>
      <c r="E334" s="2" t="s">
        <v>5</v>
      </c>
      <c r="F334" s="17" t="s">
        <v>694</v>
      </c>
      <c r="G334" s="8" t="s">
        <v>936</v>
      </c>
      <c r="H334" s="8" t="s">
        <v>396</v>
      </c>
      <c r="I334" s="27" t="s">
        <v>693</v>
      </c>
      <c r="J334" s="2"/>
      <c r="K334" s="8" t="s">
        <v>396</v>
      </c>
      <c r="L334" s="8"/>
      <c r="M334" s="8" t="s">
        <v>396</v>
      </c>
      <c r="N334" s="2"/>
    </row>
    <row r="335" spans="2:14" x14ac:dyDescent="0.25">
      <c r="B335" s="2">
        <v>423</v>
      </c>
      <c r="C335" s="14" t="s">
        <v>28</v>
      </c>
      <c r="D335" s="14" t="s">
        <v>866</v>
      </c>
      <c r="E335" s="2" t="s">
        <v>4</v>
      </c>
      <c r="F335" s="17" t="s">
        <v>692</v>
      </c>
      <c r="G335" s="8" t="s">
        <v>936</v>
      </c>
      <c r="H335" s="8" t="s">
        <v>396</v>
      </c>
      <c r="I335" s="27" t="s">
        <v>693</v>
      </c>
      <c r="J335" s="8"/>
      <c r="K335" s="8" t="s">
        <v>396</v>
      </c>
      <c r="L335" s="8"/>
      <c r="M335" s="8" t="s">
        <v>396</v>
      </c>
      <c r="N335" s="2"/>
    </row>
    <row r="336" spans="2:14" x14ac:dyDescent="0.25">
      <c r="B336" s="2">
        <v>424</v>
      </c>
      <c r="C336" s="14" t="s">
        <v>28</v>
      </c>
      <c r="D336" s="14" t="s">
        <v>866</v>
      </c>
      <c r="E336" s="2" t="s">
        <v>3</v>
      </c>
      <c r="F336" s="17" t="s">
        <v>707</v>
      </c>
      <c r="G336" s="8" t="s">
        <v>936</v>
      </c>
      <c r="H336" s="8" t="s">
        <v>396</v>
      </c>
      <c r="I336" s="27" t="s">
        <v>693</v>
      </c>
      <c r="J336" s="8"/>
      <c r="K336" s="8" t="s">
        <v>396</v>
      </c>
      <c r="L336" s="8"/>
      <c r="M336" s="8" t="s">
        <v>396</v>
      </c>
      <c r="N336" s="2" t="s">
        <v>917</v>
      </c>
    </row>
    <row r="337" spans="2:15" x14ac:dyDescent="0.2">
      <c r="B337" s="2">
        <v>425</v>
      </c>
      <c r="C337" s="14" t="s">
        <v>28</v>
      </c>
      <c r="D337" s="14" t="s">
        <v>866</v>
      </c>
      <c r="E337" s="2" t="s">
        <v>1</v>
      </c>
      <c r="F337" s="24" t="s">
        <v>479</v>
      </c>
      <c r="G337" s="8" t="s">
        <v>936</v>
      </c>
      <c r="H337" s="8" t="s">
        <v>396</v>
      </c>
      <c r="I337" s="27" t="s">
        <v>693</v>
      </c>
      <c r="J337" s="8"/>
      <c r="K337" s="8" t="s">
        <v>396</v>
      </c>
      <c r="L337" s="8" t="s">
        <v>396</v>
      </c>
      <c r="M337" s="8" t="s">
        <v>396</v>
      </c>
      <c r="N337" s="2" t="s">
        <v>918</v>
      </c>
    </row>
    <row r="338" spans="2:15" x14ac:dyDescent="0.2">
      <c r="B338" s="2">
        <v>426</v>
      </c>
      <c r="C338" s="14" t="s">
        <v>28</v>
      </c>
      <c r="D338" s="14" t="s">
        <v>866</v>
      </c>
      <c r="E338" s="2" t="s">
        <v>0</v>
      </c>
      <c r="F338" s="24" t="s">
        <v>476</v>
      </c>
      <c r="G338" s="8" t="s">
        <v>936</v>
      </c>
      <c r="H338" s="8" t="s">
        <v>396</v>
      </c>
      <c r="I338" s="27" t="s">
        <v>693</v>
      </c>
      <c r="J338" s="8"/>
      <c r="K338" s="8" t="s">
        <v>396</v>
      </c>
      <c r="L338" s="8" t="s">
        <v>396</v>
      </c>
      <c r="M338" s="8" t="s">
        <v>396</v>
      </c>
      <c r="N338" s="2"/>
    </row>
    <row r="339" spans="2:15" x14ac:dyDescent="0.2">
      <c r="B339" s="2">
        <v>434</v>
      </c>
      <c r="C339" s="14" t="s">
        <v>26</v>
      </c>
      <c r="D339" s="14" t="s">
        <v>25</v>
      </c>
      <c r="E339" s="2" t="s">
        <v>5</v>
      </c>
      <c r="F339" s="12" t="s">
        <v>295</v>
      </c>
      <c r="G339" s="8" t="s">
        <v>936</v>
      </c>
      <c r="H339" s="8" t="s">
        <v>396</v>
      </c>
      <c r="I339" s="27" t="s">
        <v>693</v>
      </c>
      <c r="J339" s="8"/>
      <c r="K339" s="8" t="s">
        <v>396</v>
      </c>
      <c r="L339" s="8" t="s">
        <v>396</v>
      </c>
      <c r="M339" s="8" t="s">
        <v>396</v>
      </c>
      <c r="N339" s="2" t="s">
        <v>414</v>
      </c>
    </row>
    <row r="340" spans="2:15" x14ac:dyDescent="0.2">
      <c r="B340" s="2">
        <v>435</v>
      </c>
      <c r="C340" s="14" t="s">
        <v>26</v>
      </c>
      <c r="D340" s="2" t="s">
        <v>25</v>
      </c>
      <c r="E340" s="2" t="s">
        <v>4</v>
      </c>
      <c r="F340" s="12" t="s">
        <v>297</v>
      </c>
      <c r="G340" s="8" t="s">
        <v>936</v>
      </c>
      <c r="H340" s="8" t="s">
        <v>396</v>
      </c>
      <c r="I340" s="27" t="s">
        <v>693</v>
      </c>
      <c r="J340" s="8"/>
      <c r="K340" s="8" t="s">
        <v>396</v>
      </c>
      <c r="L340" s="8" t="s">
        <v>396</v>
      </c>
      <c r="M340" s="8" t="s">
        <v>396</v>
      </c>
      <c r="N340" s="2" t="s">
        <v>414</v>
      </c>
    </row>
    <row r="341" spans="2:15" x14ac:dyDescent="0.2">
      <c r="B341" s="2">
        <v>436</v>
      </c>
      <c r="C341" s="14" t="s">
        <v>26</v>
      </c>
      <c r="D341" s="2" t="s">
        <v>25</v>
      </c>
      <c r="E341" s="2" t="s">
        <v>3</v>
      </c>
      <c r="F341" s="12" t="s">
        <v>294</v>
      </c>
      <c r="G341" s="8" t="s">
        <v>936</v>
      </c>
      <c r="H341" s="8" t="s">
        <v>396</v>
      </c>
      <c r="I341" s="27" t="s">
        <v>693</v>
      </c>
      <c r="J341" s="8"/>
      <c r="K341" s="8" t="s">
        <v>396</v>
      </c>
      <c r="L341" s="8" t="s">
        <v>396</v>
      </c>
      <c r="M341" s="8" t="s">
        <v>396</v>
      </c>
      <c r="N341" s="2" t="s">
        <v>414</v>
      </c>
    </row>
    <row r="342" spans="2:15" x14ac:dyDescent="0.2">
      <c r="B342" s="2">
        <v>437</v>
      </c>
      <c r="C342" s="14" t="s">
        <v>26</v>
      </c>
      <c r="D342" s="2" t="s">
        <v>25</v>
      </c>
      <c r="E342" s="2" t="s">
        <v>2</v>
      </c>
      <c r="F342" s="12" t="s">
        <v>276</v>
      </c>
      <c r="G342" s="8" t="s">
        <v>936</v>
      </c>
      <c r="H342" s="8" t="s">
        <v>396</v>
      </c>
      <c r="I342" s="27" t="s">
        <v>693</v>
      </c>
      <c r="J342" s="8"/>
      <c r="K342" s="8" t="s">
        <v>396</v>
      </c>
      <c r="L342" s="8" t="s">
        <v>396</v>
      </c>
      <c r="M342" s="8" t="s">
        <v>396</v>
      </c>
      <c r="N342" s="2" t="s">
        <v>414</v>
      </c>
    </row>
    <row r="343" spans="2:15" x14ac:dyDescent="0.2">
      <c r="B343" s="2">
        <v>438</v>
      </c>
      <c r="C343" s="14" t="s">
        <v>26</v>
      </c>
      <c r="D343" s="2" t="s">
        <v>25</v>
      </c>
      <c r="E343" s="2" t="s">
        <v>1</v>
      </c>
      <c r="F343" s="12" t="s">
        <v>285</v>
      </c>
      <c r="G343" s="8" t="s">
        <v>936</v>
      </c>
      <c r="H343" s="8" t="s">
        <v>396</v>
      </c>
      <c r="I343" s="27" t="s">
        <v>693</v>
      </c>
      <c r="J343" s="8"/>
      <c r="K343" s="8" t="s">
        <v>396</v>
      </c>
      <c r="L343" s="8" t="s">
        <v>396</v>
      </c>
      <c r="M343" s="8" t="s">
        <v>396</v>
      </c>
      <c r="N343" s="2" t="s">
        <v>712</v>
      </c>
    </row>
    <row r="344" spans="2:15" x14ac:dyDescent="0.25">
      <c r="B344" s="2">
        <v>439</v>
      </c>
      <c r="C344" s="14" t="s">
        <v>26</v>
      </c>
      <c r="D344" s="2" t="s">
        <v>25</v>
      </c>
      <c r="E344" s="2" t="s">
        <v>0</v>
      </c>
      <c r="F344" s="2" t="s">
        <v>267</v>
      </c>
      <c r="G344" s="8" t="s">
        <v>936</v>
      </c>
      <c r="H344" s="8" t="s">
        <v>396</v>
      </c>
      <c r="I344" s="27" t="s">
        <v>693</v>
      </c>
      <c r="J344" s="8"/>
      <c r="K344" s="8" t="s">
        <v>396</v>
      </c>
      <c r="L344" s="8" t="s">
        <v>396</v>
      </c>
      <c r="M344" s="8" t="s">
        <v>396</v>
      </c>
      <c r="N344" s="2" t="s">
        <v>739</v>
      </c>
    </row>
    <row r="345" spans="2:15" x14ac:dyDescent="0.25">
      <c r="B345" s="2"/>
      <c r="C345" s="14" t="s">
        <v>26</v>
      </c>
      <c r="D345" s="2" t="s">
        <v>25</v>
      </c>
      <c r="E345" s="2" t="s">
        <v>670</v>
      </c>
      <c r="F345" s="28" t="s">
        <v>937</v>
      </c>
      <c r="G345" s="8" t="s">
        <v>936</v>
      </c>
      <c r="H345" s="8" t="s">
        <v>396</v>
      </c>
      <c r="I345" s="8" t="s">
        <v>693</v>
      </c>
      <c r="J345" s="8"/>
      <c r="K345" s="8"/>
      <c r="L345" s="8"/>
      <c r="M345" s="8"/>
      <c r="N345" s="2"/>
    </row>
    <row r="346" spans="2:15" x14ac:dyDescent="0.2">
      <c r="B346" s="2">
        <v>441</v>
      </c>
      <c r="C346" s="14" t="s">
        <v>26</v>
      </c>
      <c r="D346" s="14" t="s">
        <v>24</v>
      </c>
      <c r="E346" s="2" t="s">
        <v>5</v>
      </c>
      <c r="F346" s="12" t="s">
        <v>308</v>
      </c>
      <c r="G346" s="8" t="s">
        <v>936</v>
      </c>
      <c r="H346" s="8" t="s">
        <v>396</v>
      </c>
      <c r="I346" s="27" t="s">
        <v>693</v>
      </c>
      <c r="J346" s="8"/>
      <c r="K346" s="8" t="s">
        <v>396</v>
      </c>
      <c r="L346" s="8" t="s">
        <v>396</v>
      </c>
      <c r="M346" s="8" t="s">
        <v>396</v>
      </c>
      <c r="N346" s="2" t="s">
        <v>415</v>
      </c>
    </row>
    <row r="347" spans="2:15" x14ac:dyDescent="0.2">
      <c r="B347" s="2">
        <v>442</v>
      </c>
      <c r="C347" s="14" t="s">
        <v>26</v>
      </c>
      <c r="D347" s="2" t="s">
        <v>24</v>
      </c>
      <c r="E347" s="2" t="s">
        <v>4</v>
      </c>
      <c r="F347" s="12" t="s">
        <v>309</v>
      </c>
      <c r="G347" s="8" t="s">
        <v>936</v>
      </c>
      <c r="H347" s="8" t="s">
        <v>396</v>
      </c>
      <c r="I347" s="27" t="s">
        <v>693</v>
      </c>
      <c r="J347" s="8"/>
      <c r="K347" s="8" t="s">
        <v>396</v>
      </c>
      <c r="L347" s="8" t="s">
        <v>396</v>
      </c>
      <c r="M347" s="8" t="s">
        <v>396</v>
      </c>
      <c r="N347" s="2" t="s">
        <v>415</v>
      </c>
      <c r="O347" s="1">
        <v>3</v>
      </c>
    </row>
    <row r="348" spans="2:15" x14ac:dyDescent="0.2">
      <c r="B348" s="2">
        <v>443</v>
      </c>
      <c r="C348" s="14" t="s">
        <v>26</v>
      </c>
      <c r="D348" s="2" t="s">
        <v>24</v>
      </c>
      <c r="E348" s="2" t="s">
        <v>3</v>
      </c>
      <c r="F348" s="12" t="s">
        <v>307</v>
      </c>
      <c r="G348" s="8" t="s">
        <v>936</v>
      </c>
      <c r="H348" s="8" t="s">
        <v>396</v>
      </c>
      <c r="I348" s="27" t="s">
        <v>693</v>
      </c>
      <c r="J348" s="8"/>
      <c r="K348" s="8" t="s">
        <v>396</v>
      </c>
      <c r="L348" s="8" t="s">
        <v>396</v>
      </c>
      <c r="M348" s="8" t="s">
        <v>396</v>
      </c>
      <c r="N348" s="2" t="s">
        <v>415</v>
      </c>
    </row>
    <row r="349" spans="2:15" x14ac:dyDescent="0.2">
      <c r="B349" s="2">
        <v>444</v>
      </c>
      <c r="C349" s="14" t="s">
        <v>26</v>
      </c>
      <c r="D349" s="2" t="s">
        <v>24</v>
      </c>
      <c r="E349" s="2" t="s">
        <v>2</v>
      </c>
      <c r="F349" s="12" t="s">
        <v>282</v>
      </c>
      <c r="G349" s="8" t="s">
        <v>936</v>
      </c>
      <c r="H349" s="8" t="s">
        <v>396</v>
      </c>
      <c r="I349" s="27" t="s">
        <v>693</v>
      </c>
      <c r="J349" s="8"/>
      <c r="K349" s="8" t="s">
        <v>396</v>
      </c>
      <c r="L349" s="8" t="s">
        <v>396</v>
      </c>
      <c r="M349" s="8" t="s">
        <v>396</v>
      </c>
      <c r="N349" s="2" t="s">
        <v>415</v>
      </c>
    </row>
    <row r="350" spans="2:15" x14ac:dyDescent="0.2">
      <c r="B350" s="2">
        <v>445</v>
      </c>
      <c r="C350" s="14" t="s">
        <v>26</v>
      </c>
      <c r="D350" s="2" t="s">
        <v>24</v>
      </c>
      <c r="E350" s="2" t="s">
        <v>1</v>
      </c>
      <c r="F350" s="12" t="s">
        <v>291</v>
      </c>
      <c r="G350" s="8" t="s">
        <v>936</v>
      </c>
      <c r="H350" s="8" t="s">
        <v>396</v>
      </c>
      <c r="I350" s="27" t="s">
        <v>693</v>
      </c>
      <c r="J350" s="8"/>
      <c r="K350" s="8" t="s">
        <v>396</v>
      </c>
      <c r="L350" s="8" t="s">
        <v>396</v>
      </c>
      <c r="M350" s="8" t="s">
        <v>396</v>
      </c>
      <c r="N350" s="2" t="s">
        <v>415</v>
      </c>
    </row>
    <row r="351" spans="2:15" x14ac:dyDescent="0.2">
      <c r="B351" s="2">
        <v>446</v>
      </c>
      <c r="C351" s="14" t="s">
        <v>26</v>
      </c>
      <c r="D351" s="2" t="s">
        <v>24</v>
      </c>
      <c r="E351" s="2" t="s">
        <v>0</v>
      </c>
      <c r="F351" s="12" t="s">
        <v>273</v>
      </c>
      <c r="G351" s="8" t="s">
        <v>936</v>
      </c>
      <c r="H351" s="8" t="s">
        <v>396</v>
      </c>
      <c r="I351" s="27" t="s">
        <v>693</v>
      </c>
      <c r="J351" s="8"/>
      <c r="K351" s="8" t="s">
        <v>396</v>
      </c>
      <c r="L351" s="8" t="s">
        <v>396</v>
      </c>
      <c r="M351" s="8" t="s">
        <v>396</v>
      </c>
      <c r="N351" s="11" t="s">
        <v>879</v>
      </c>
    </row>
    <row r="352" spans="2:15" x14ac:dyDescent="0.2">
      <c r="B352" s="2">
        <v>447</v>
      </c>
      <c r="C352" s="14" t="s">
        <v>26</v>
      </c>
      <c r="D352" s="14" t="s">
        <v>23</v>
      </c>
      <c r="E352" s="2" t="s">
        <v>5</v>
      </c>
      <c r="F352" s="12" t="s">
        <v>311</v>
      </c>
      <c r="G352" s="8" t="s">
        <v>936</v>
      </c>
      <c r="H352" s="8" t="s">
        <v>396</v>
      </c>
      <c r="I352" s="27" t="s">
        <v>693</v>
      </c>
      <c r="J352" s="8"/>
      <c r="K352" s="8" t="s">
        <v>396</v>
      </c>
      <c r="L352" s="8" t="s">
        <v>396</v>
      </c>
      <c r="M352" s="8" t="s">
        <v>396</v>
      </c>
      <c r="N352" s="2" t="s">
        <v>416</v>
      </c>
    </row>
    <row r="353" spans="2:14" x14ac:dyDescent="0.2">
      <c r="B353" s="2">
        <v>448</v>
      </c>
      <c r="C353" s="14" t="s">
        <v>26</v>
      </c>
      <c r="D353" s="2" t="s">
        <v>23</v>
      </c>
      <c r="E353" s="2" t="s">
        <v>4</v>
      </c>
      <c r="F353" s="12" t="s">
        <v>312</v>
      </c>
      <c r="G353" s="8" t="s">
        <v>936</v>
      </c>
      <c r="H353" s="8" t="s">
        <v>396</v>
      </c>
      <c r="I353" s="27" t="s">
        <v>693</v>
      </c>
      <c r="J353" s="8"/>
      <c r="K353" s="8" t="s">
        <v>396</v>
      </c>
      <c r="L353" s="8" t="s">
        <v>396</v>
      </c>
      <c r="M353" s="8" t="s">
        <v>396</v>
      </c>
      <c r="N353" s="2" t="s">
        <v>416</v>
      </c>
    </row>
    <row r="354" spans="2:14" x14ac:dyDescent="0.2">
      <c r="B354" s="2">
        <v>449</v>
      </c>
      <c r="C354" s="14" t="s">
        <v>26</v>
      </c>
      <c r="D354" s="2" t="s">
        <v>23</v>
      </c>
      <c r="E354" s="2" t="s">
        <v>3</v>
      </c>
      <c r="F354" s="12" t="s">
        <v>310</v>
      </c>
      <c r="G354" s="8" t="s">
        <v>936</v>
      </c>
      <c r="H354" s="8" t="s">
        <v>396</v>
      </c>
      <c r="I354" s="27" t="s">
        <v>693</v>
      </c>
      <c r="J354" s="8"/>
      <c r="K354" s="8" t="s">
        <v>396</v>
      </c>
      <c r="L354" s="8" t="s">
        <v>396</v>
      </c>
      <c r="M354" s="8" t="s">
        <v>396</v>
      </c>
      <c r="N354" s="2" t="s">
        <v>416</v>
      </c>
    </row>
    <row r="355" spans="2:14" x14ac:dyDescent="0.2">
      <c r="B355" s="2">
        <v>450</v>
      </c>
      <c r="C355" s="14" t="s">
        <v>26</v>
      </c>
      <c r="D355" s="2" t="s">
        <v>23</v>
      </c>
      <c r="E355" s="2" t="s">
        <v>2</v>
      </c>
      <c r="F355" s="12" t="s">
        <v>283</v>
      </c>
      <c r="G355" s="8" t="s">
        <v>936</v>
      </c>
      <c r="H355" s="8" t="s">
        <v>396</v>
      </c>
      <c r="I355" s="27" t="s">
        <v>693</v>
      </c>
      <c r="J355" s="8"/>
      <c r="K355" s="8" t="s">
        <v>396</v>
      </c>
      <c r="L355" s="8" t="s">
        <v>396</v>
      </c>
      <c r="M355" s="8" t="s">
        <v>396</v>
      </c>
      <c r="N355" s="2" t="s">
        <v>416</v>
      </c>
    </row>
    <row r="356" spans="2:14" x14ac:dyDescent="0.2">
      <c r="B356" s="2">
        <v>451</v>
      </c>
      <c r="C356" s="14" t="s">
        <v>26</v>
      </c>
      <c r="D356" s="2" t="s">
        <v>23</v>
      </c>
      <c r="E356" s="2" t="s">
        <v>1</v>
      </c>
      <c r="F356" s="12" t="s">
        <v>292</v>
      </c>
      <c r="G356" s="8" t="s">
        <v>936</v>
      </c>
      <c r="H356" s="8" t="s">
        <v>396</v>
      </c>
      <c r="I356" s="27" t="s">
        <v>693</v>
      </c>
      <c r="J356" s="8"/>
      <c r="K356" s="8" t="s">
        <v>396</v>
      </c>
      <c r="L356" s="8" t="s">
        <v>396</v>
      </c>
      <c r="M356" s="8" t="s">
        <v>396</v>
      </c>
      <c r="N356" s="2" t="s">
        <v>416</v>
      </c>
    </row>
    <row r="357" spans="2:14" x14ac:dyDescent="0.2">
      <c r="B357" s="2">
        <v>452</v>
      </c>
      <c r="C357" s="14" t="s">
        <v>26</v>
      </c>
      <c r="D357" s="2" t="s">
        <v>23</v>
      </c>
      <c r="E357" s="2" t="s">
        <v>0</v>
      </c>
      <c r="F357" s="12" t="s">
        <v>274</v>
      </c>
      <c r="G357" s="8" t="s">
        <v>936</v>
      </c>
      <c r="H357" s="8" t="s">
        <v>396</v>
      </c>
      <c r="I357" s="27" t="s">
        <v>693</v>
      </c>
      <c r="J357" s="8"/>
      <c r="K357" s="8" t="s">
        <v>396</v>
      </c>
      <c r="L357" s="8" t="s">
        <v>396</v>
      </c>
      <c r="M357" s="8" t="s">
        <v>396</v>
      </c>
      <c r="N357" s="11" t="s">
        <v>879</v>
      </c>
    </row>
    <row r="358" spans="2:14" x14ac:dyDescent="0.2">
      <c r="B358" s="2">
        <v>453</v>
      </c>
      <c r="C358" s="14" t="s">
        <v>26</v>
      </c>
      <c r="D358" s="14" t="s">
        <v>22</v>
      </c>
      <c r="E358" s="2" t="s">
        <v>5</v>
      </c>
      <c r="F358" s="12" t="s">
        <v>320</v>
      </c>
      <c r="G358" s="8" t="s">
        <v>936</v>
      </c>
      <c r="H358" s="8" t="s">
        <v>396</v>
      </c>
      <c r="I358" s="27" t="s">
        <v>693</v>
      </c>
      <c r="J358" s="8"/>
      <c r="K358" s="8" t="s">
        <v>396</v>
      </c>
      <c r="L358" s="8" t="s">
        <v>396</v>
      </c>
      <c r="M358" s="8" t="s">
        <v>396</v>
      </c>
      <c r="N358" s="2" t="s">
        <v>418</v>
      </c>
    </row>
    <row r="359" spans="2:14" x14ac:dyDescent="0.2">
      <c r="B359" s="2">
        <v>454</v>
      </c>
      <c r="C359" s="14" t="s">
        <v>26</v>
      </c>
      <c r="D359" s="2" t="s">
        <v>22</v>
      </c>
      <c r="E359" s="2" t="s">
        <v>4</v>
      </c>
      <c r="F359" s="12" t="s">
        <v>321</v>
      </c>
      <c r="G359" s="8" t="s">
        <v>936</v>
      </c>
      <c r="H359" s="8" t="s">
        <v>396</v>
      </c>
      <c r="I359" s="27" t="s">
        <v>693</v>
      </c>
      <c r="J359" s="8"/>
      <c r="K359" s="8" t="s">
        <v>396</v>
      </c>
      <c r="L359" s="8" t="s">
        <v>396</v>
      </c>
      <c r="M359" s="8" t="s">
        <v>396</v>
      </c>
      <c r="N359" s="2" t="s">
        <v>418</v>
      </c>
    </row>
    <row r="360" spans="2:14" x14ac:dyDescent="0.2">
      <c r="B360" s="2">
        <v>455</v>
      </c>
      <c r="C360" s="14" t="s">
        <v>26</v>
      </c>
      <c r="D360" s="2" t="s">
        <v>22</v>
      </c>
      <c r="E360" s="2" t="s">
        <v>3</v>
      </c>
      <c r="F360" s="12" t="s">
        <v>319</v>
      </c>
      <c r="G360" s="8" t="s">
        <v>936</v>
      </c>
      <c r="H360" s="8" t="s">
        <v>396</v>
      </c>
      <c r="I360" s="27" t="s">
        <v>693</v>
      </c>
      <c r="J360" s="8"/>
      <c r="K360" s="8" t="s">
        <v>396</v>
      </c>
      <c r="L360" s="8" t="s">
        <v>396</v>
      </c>
      <c r="M360" s="8" t="s">
        <v>396</v>
      </c>
      <c r="N360" s="2" t="s">
        <v>418</v>
      </c>
    </row>
    <row r="361" spans="2:14" x14ac:dyDescent="0.2">
      <c r="B361" s="2">
        <v>456</v>
      </c>
      <c r="C361" s="14" t="s">
        <v>26</v>
      </c>
      <c r="D361" s="2" t="s">
        <v>22</v>
      </c>
      <c r="E361" s="2" t="s">
        <v>2</v>
      </c>
      <c r="F361" s="12" t="s">
        <v>281</v>
      </c>
      <c r="G361" s="8" t="s">
        <v>936</v>
      </c>
      <c r="H361" s="8" t="s">
        <v>396</v>
      </c>
      <c r="I361" s="27" t="s">
        <v>693</v>
      </c>
      <c r="J361" s="8"/>
      <c r="K361" s="8" t="s">
        <v>396</v>
      </c>
      <c r="L361" s="8" t="s">
        <v>396</v>
      </c>
      <c r="M361" s="8" t="s">
        <v>396</v>
      </c>
      <c r="N361" s="2" t="s">
        <v>418</v>
      </c>
    </row>
    <row r="362" spans="2:14" x14ac:dyDescent="0.2">
      <c r="B362" s="2">
        <v>457</v>
      </c>
      <c r="C362" s="14" t="s">
        <v>26</v>
      </c>
      <c r="D362" s="2" t="s">
        <v>22</v>
      </c>
      <c r="E362" s="2" t="s">
        <v>1</v>
      </c>
      <c r="F362" s="12" t="s">
        <v>290</v>
      </c>
      <c r="G362" s="8" t="s">
        <v>936</v>
      </c>
      <c r="H362" s="8" t="s">
        <v>396</v>
      </c>
      <c r="I362" s="27" t="s">
        <v>693</v>
      </c>
      <c r="J362" s="8"/>
      <c r="K362" s="8" t="s">
        <v>396</v>
      </c>
      <c r="L362" s="8" t="s">
        <v>396</v>
      </c>
      <c r="M362" s="8" t="s">
        <v>396</v>
      </c>
      <c r="N362" s="2" t="s">
        <v>418</v>
      </c>
    </row>
    <row r="363" spans="2:14" x14ac:dyDescent="0.2">
      <c r="B363" s="2">
        <v>458</v>
      </c>
      <c r="C363" s="14" t="s">
        <v>26</v>
      </c>
      <c r="D363" s="2" t="s">
        <v>22</v>
      </c>
      <c r="E363" s="2" t="s">
        <v>0</v>
      </c>
      <c r="F363" s="12" t="s">
        <v>272</v>
      </c>
      <c r="G363" s="8" t="s">
        <v>936</v>
      </c>
      <c r="H363" s="8" t="s">
        <v>396</v>
      </c>
      <c r="I363" s="27" t="s">
        <v>693</v>
      </c>
      <c r="J363" s="8"/>
      <c r="K363" s="8" t="s">
        <v>396</v>
      </c>
      <c r="L363" s="8" t="s">
        <v>396</v>
      </c>
      <c r="M363" s="8" t="s">
        <v>396</v>
      </c>
      <c r="N363" s="2" t="s">
        <v>740</v>
      </c>
    </row>
    <row r="364" spans="2:14" x14ac:dyDescent="0.2">
      <c r="B364" s="2">
        <v>459</v>
      </c>
      <c r="C364" s="14" t="s">
        <v>26</v>
      </c>
      <c r="D364" s="14" t="s">
        <v>21</v>
      </c>
      <c r="E364" s="2" t="s">
        <v>5</v>
      </c>
      <c r="F364" s="12" t="s">
        <v>314</v>
      </c>
      <c r="G364" s="8" t="s">
        <v>936</v>
      </c>
      <c r="H364" s="8" t="s">
        <v>396</v>
      </c>
      <c r="I364" s="27" t="s">
        <v>693</v>
      </c>
      <c r="J364" s="8"/>
      <c r="K364" s="8" t="s">
        <v>396</v>
      </c>
      <c r="L364" s="8" t="s">
        <v>396</v>
      </c>
      <c r="M364" s="8" t="s">
        <v>396</v>
      </c>
      <c r="N364" s="11" t="s">
        <v>741</v>
      </c>
    </row>
    <row r="365" spans="2:14" x14ac:dyDescent="0.2">
      <c r="B365" s="2">
        <v>460</v>
      </c>
      <c r="C365" s="14" t="s">
        <v>26</v>
      </c>
      <c r="D365" s="2" t="s">
        <v>21</v>
      </c>
      <c r="E365" s="2" t="s">
        <v>4</v>
      </c>
      <c r="F365" s="12" t="s">
        <v>315</v>
      </c>
      <c r="G365" s="8" t="s">
        <v>936</v>
      </c>
      <c r="H365" s="8" t="s">
        <v>396</v>
      </c>
      <c r="I365" s="27" t="s">
        <v>693</v>
      </c>
      <c r="J365" s="8"/>
      <c r="K365" s="8" t="s">
        <v>396</v>
      </c>
      <c r="L365" s="8" t="s">
        <v>396</v>
      </c>
      <c r="M365" s="8" t="s">
        <v>396</v>
      </c>
      <c r="N365" s="11" t="s">
        <v>745</v>
      </c>
    </row>
    <row r="366" spans="2:14" x14ac:dyDescent="0.2">
      <c r="B366" s="2">
        <v>461</v>
      </c>
      <c r="C366" s="14" t="s">
        <v>26</v>
      </c>
      <c r="D366" s="2" t="s">
        <v>21</v>
      </c>
      <c r="E366" s="2" t="s">
        <v>3</v>
      </c>
      <c r="F366" s="12" t="s">
        <v>313</v>
      </c>
      <c r="G366" s="8" t="s">
        <v>936</v>
      </c>
      <c r="H366" s="8" t="s">
        <v>396</v>
      </c>
      <c r="I366" s="27" t="s">
        <v>693</v>
      </c>
      <c r="J366" s="8"/>
      <c r="K366" s="8" t="s">
        <v>396</v>
      </c>
      <c r="L366" s="8" t="s">
        <v>396</v>
      </c>
      <c r="M366" s="8" t="s">
        <v>396</v>
      </c>
      <c r="N366" s="2"/>
    </row>
    <row r="367" spans="2:14" x14ac:dyDescent="0.2">
      <c r="B367" s="2">
        <v>462</v>
      </c>
      <c r="C367" s="14" t="s">
        <v>26</v>
      </c>
      <c r="D367" s="2" t="s">
        <v>21</v>
      </c>
      <c r="E367" s="2" t="s">
        <v>2</v>
      </c>
      <c r="F367" s="12" t="s">
        <v>280</v>
      </c>
      <c r="G367" s="8" t="s">
        <v>936</v>
      </c>
      <c r="H367" s="8" t="s">
        <v>396</v>
      </c>
      <c r="I367" s="27" t="s">
        <v>693</v>
      </c>
      <c r="J367" s="8"/>
      <c r="K367" s="8" t="s">
        <v>396</v>
      </c>
      <c r="L367" s="8" t="s">
        <v>396</v>
      </c>
      <c r="M367" s="8" t="s">
        <v>396</v>
      </c>
      <c r="N367" s="2" t="s">
        <v>713</v>
      </c>
    </row>
    <row r="368" spans="2:14" x14ac:dyDescent="0.2">
      <c r="B368" s="2">
        <v>463</v>
      </c>
      <c r="C368" s="14" t="s">
        <v>26</v>
      </c>
      <c r="D368" s="2" t="s">
        <v>21</v>
      </c>
      <c r="E368" s="2" t="s">
        <v>1</v>
      </c>
      <c r="F368" s="12" t="s">
        <v>289</v>
      </c>
      <c r="G368" s="8" t="s">
        <v>936</v>
      </c>
      <c r="H368" s="8" t="s">
        <v>396</v>
      </c>
      <c r="I368" s="27" t="s">
        <v>693</v>
      </c>
      <c r="J368" s="8"/>
      <c r="K368" s="8" t="s">
        <v>396</v>
      </c>
      <c r="L368" s="8" t="s">
        <v>396</v>
      </c>
      <c r="M368" s="8" t="s">
        <v>396</v>
      </c>
      <c r="N368" s="2" t="s">
        <v>713</v>
      </c>
    </row>
    <row r="369" spans="2:14" x14ac:dyDescent="0.2">
      <c r="B369" s="2">
        <v>464</v>
      </c>
      <c r="C369" s="14" t="s">
        <v>26</v>
      </c>
      <c r="D369" s="2" t="s">
        <v>21</v>
      </c>
      <c r="E369" s="2" t="s">
        <v>0</v>
      </c>
      <c r="F369" s="12" t="s">
        <v>271</v>
      </c>
      <c r="G369" s="8" t="s">
        <v>936</v>
      </c>
      <c r="H369" s="8" t="s">
        <v>396</v>
      </c>
      <c r="I369" s="27" t="s">
        <v>693</v>
      </c>
      <c r="J369" s="8"/>
      <c r="K369" s="8" t="s">
        <v>396</v>
      </c>
      <c r="L369" s="8" t="s">
        <v>396</v>
      </c>
      <c r="M369" s="8" t="s">
        <v>396</v>
      </c>
      <c r="N369" s="2"/>
    </row>
    <row r="370" spans="2:14" x14ac:dyDescent="0.2">
      <c r="B370" s="2">
        <v>465</v>
      </c>
      <c r="C370" s="14" t="s">
        <v>26</v>
      </c>
      <c r="D370" s="14" t="s">
        <v>20</v>
      </c>
      <c r="E370" s="2" t="s">
        <v>5</v>
      </c>
      <c r="F370" s="12" t="s">
        <v>302</v>
      </c>
      <c r="G370" s="8" t="s">
        <v>936</v>
      </c>
      <c r="H370" s="8" t="s">
        <v>396</v>
      </c>
      <c r="I370" s="27" t="s">
        <v>693</v>
      </c>
      <c r="J370" s="8"/>
      <c r="K370" s="8" t="s">
        <v>396</v>
      </c>
      <c r="L370" s="8" t="s">
        <v>396</v>
      </c>
      <c r="M370" s="8" t="s">
        <v>396</v>
      </c>
      <c r="N370" s="2"/>
    </row>
    <row r="371" spans="2:14" x14ac:dyDescent="0.2">
      <c r="B371" s="2">
        <v>466</v>
      </c>
      <c r="C371" s="14" t="s">
        <v>26</v>
      </c>
      <c r="D371" s="2" t="s">
        <v>20</v>
      </c>
      <c r="E371" s="2" t="s">
        <v>4</v>
      </c>
      <c r="F371" s="12" t="s">
        <v>303</v>
      </c>
      <c r="G371" s="8" t="s">
        <v>936</v>
      </c>
      <c r="H371" s="8" t="s">
        <v>396</v>
      </c>
      <c r="I371" s="27" t="s">
        <v>693</v>
      </c>
      <c r="J371" s="8"/>
      <c r="K371" s="8" t="s">
        <v>396</v>
      </c>
      <c r="L371" s="8" t="s">
        <v>396</v>
      </c>
      <c r="M371" s="8" t="s">
        <v>396</v>
      </c>
      <c r="N371" s="2"/>
    </row>
    <row r="372" spans="2:14" x14ac:dyDescent="0.2">
      <c r="B372" s="2">
        <v>467</v>
      </c>
      <c r="C372" s="14" t="s">
        <v>26</v>
      </c>
      <c r="D372" s="2" t="s">
        <v>20</v>
      </c>
      <c r="E372" s="2" t="s">
        <v>3</v>
      </c>
      <c r="F372" s="12" t="s">
        <v>301</v>
      </c>
      <c r="G372" s="8" t="s">
        <v>936</v>
      </c>
      <c r="H372" s="8" t="s">
        <v>396</v>
      </c>
      <c r="I372" s="27" t="s">
        <v>693</v>
      </c>
      <c r="K372" s="8" t="s">
        <v>396</v>
      </c>
      <c r="L372" s="8" t="s">
        <v>396</v>
      </c>
      <c r="M372" s="8" t="s">
        <v>396</v>
      </c>
      <c r="N372" s="12" t="s">
        <v>710</v>
      </c>
    </row>
    <row r="373" spans="2:14" x14ac:dyDescent="0.2">
      <c r="B373" s="2">
        <v>468</v>
      </c>
      <c r="C373" s="14" t="s">
        <v>26</v>
      </c>
      <c r="D373" s="2" t="s">
        <v>20</v>
      </c>
      <c r="E373" s="2" t="s">
        <v>2</v>
      </c>
      <c r="F373" s="12" t="s">
        <v>278</v>
      </c>
      <c r="G373" s="8" t="s">
        <v>936</v>
      </c>
      <c r="H373" s="8" t="s">
        <v>396</v>
      </c>
      <c r="I373" s="27" t="s">
        <v>693</v>
      </c>
      <c r="J373" s="8"/>
      <c r="K373" s="8" t="s">
        <v>396</v>
      </c>
      <c r="L373" s="8" t="s">
        <v>396</v>
      </c>
      <c r="M373" s="8" t="s">
        <v>396</v>
      </c>
      <c r="N373" s="2"/>
    </row>
    <row r="374" spans="2:14" x14ac:dyDescent="0.2">
      <c r="B374" s="2">
        <v>469</v>
      </c>
      <c r="C374" s="14" t="s">
        <v>26</v>
      </c>
      <c r="D374" s="2" t="s">
        <v>20</v>
      </c>
      <c r="E374" s="2" t="s">
        <v>1</v>
      </c>
      <c r="F374" s="12" t="s">
        <v>287</v>
      </c>
      <c r="G374" s="8" t="s">
        <v>936</v>
      </c>
      <c r="H374" s="8" t="s">
        <v>396</v>
      </c>
      <c r="I374" s="27" t="s">
        <v>693</v>
      </c>
      <c r="J374" s="8"/>
      <c r="K374" s="8" t="s">
        <v>396</v>
      </c>
      <c r="L374" s="8" t="s">
        <v>396</v>
      </c>
      <c r="M374" s="8" t="s">
        <v>396</v>
      </c>
      <c r="N374" s="2"/>
    </row>
    <row r="375" spans="2:14" x14ac:dyDescent="0.2">
      <c r="B375" s="2">
        <v>470</v>
      </c>
      <c r="C375" s="14" t="s">
        <v>26</v>
      </c>
      <c r="D375" s="2" t="s">
        <v>20</v>
      </c>
      <c r="E375" s="2" t="s">
        <v>0</v>
      </c>
      <c r="F375" s="12" t="s">
        <v>269</v>
      </c>
      <c r="G375" s="8" t="s">
        <v>936</v>
      </c>
      <c r="H375" s="8" t="s">
        <v>396</v>
      </c>
      <c r="I375" s="27" t="s">
        <v>693</v>
      </c>
      <c r="J375" s="8"/>
      <c r="K375" s="8" t="s">
        <v>396</v>
      </c>
      <c r="L375" s="8" t="s">
        <v>396</v>
      </c>
      <c r="M375" s="8" t="s">
        <v>396</v>
      </c>
      <c r="N375" s="2"/>
    </row>
    <row r="376" spans="2:14" x14ac:dyDescent="0.2">
      <c r="B376" s="2">
        <v>471</v>
      </c>
      <c r="C376" s="14" t="s">
        <v>26</v>
      </c>
      <c r="D376" s="14" t="s">
        <v>19</v>
      </c>
      <c r="E376" s="2" t="s">
        <v>5</v>
      </c>
      <c r="F376" s="12" t="s">
        <v>299</v>
      </c>
      <c r="G376" s="8" t="s">
        <v>936</v>
      </c>
      <c r="H376" s="8" t="s">
        <v>396</v>
      </c>
      <c r="I376" s="27" t="s">
        <v>693</v>
      </c>
      <c r="J376" s="8"/>
      <c r="K376" s="8" t="s">
        <v>396</v>
      </c>
      <c r="L376" s="8" t="s">
        <v>396</v>
      </c>
      <c r="M376" s="8" t="s">
        <v>396</v>
      </c>
      <c r="N376" s="2"/>
    </row>
    <row r="377" spans="2:14" x14ac:dyDescent="0.2">
      <c r="B377" s="2">
        <v>472</v>
      </c>
      <c r="C377" s="14" t="s">
        <v>26</v>
      </c>
      <c r="D377" s="2" t="s">
        <v>19</v>
      </c>
      <c r="E377" s="2" t="s">
        <v>4</v>
      </c>
      <c r="F377" s="12" t="s">
        <v>300</v>
      </c>
      <c r="G377" s="8" t="s">
        <v>936</v>
      </c>
      <c r="H377" s="8" t="s">
        <v>396</v>
      </c>
      <c r="I377" s="27" t="s">
        <v>693</v>
      </c>
      <c r="J377" s="8"/>
      <c r="K377" s="8" t="s">
        <v>396</v>
      </c>
      <c r="L377" s="8" t="s">
        <v>396</v>
      </c>
      <c r="M377" s="8" t="s">
        <v>396</v>
      </c>
      <c r="N377" s="2"/>
    </row>
    <row r="378" spans="2:14" x14ac:dyDescent="0.2">
      <c r="B378" s="2">
        <v>473</v>
      </c>
      <c r="C378" s="14" t="s">
        <v>26</v>
      </c>
      <c r="D378" s="2" t="s">
        <v>19</v>
      </c>
      <c r="E378" s="2" t="s">
        <v>3</v>
      </c>
      <c r="F378" s="12" t="s">
        <v>298</v>
      </c>
      <c r="G378" s="8" t="s">
        <v>936</v>
      </c>
      <c r="H378" s="8" t="s">
        <v>396</v>
      </c>
      <c r="I378" s="27" t="s">
        <v>693</v>
      </c>
      <c r="J378" s="8"/>
      <c r="K378" s="8" t="s">
        <v>396</v>
      </c>
      <c r="L378" s="8" t="s">
        <v>396</v>
      </c>
      <c r="M378" s="8" t="s">
        <v>396</v>
      </c>
      <c r="N378" s="2"/>
    </row>
    <row r="379" spans="2:14" x14ac:dyDescent="0.2">
      <c r="B379" s="2">
        <v>474</v>
      </c>
      <c r="C379" s="14" t="s">
        <v>26</v>
      </c>
      <c r="D379" s="2" t="s">
        <v>19</v>
      </c>
      <c r="E379" s="2" t="s">
        <v>2</v>
      </c>
      <c r="F379" s="12" t="s">
        <v>277</v>
      </c>
      <c r="G379" s="8" t="s">
        <v>936</v>
      </c>
      <c r="H379" s="8" t="s">
        <v>396</v>
      </c>
      <c r="I379" s="27" t="s">
        <v>693</v>
      </c>
      <c r="J379" s="8"/>
      <c r="K379" s="8" t="s">
        <v>396</v>
      </c>
      <c r="L379" s="8" t="s">
        <v>396</v>
      </c>
      <c r="M379" s="8" t="s">
        <v>396</v>
      </c>
      <c r="N379" s="2"/>
    </row>
    <row r="380" spans="2:14" x14ac:dyDescent="0.2">
      <c r="B380" s="2">
        <v>475</v>
      </c>
      <c r="C380" s="14" t="s">
        <v>26</v>
      </c>
      <c r="D380" s="2" t="s">
        <v>19</v>
      </c>
      <c r="E380" s="2" t="s">
        <v>1</v>
      </c>
      <c r="F380" s="12" t="s">
        <v>286</v>
      </c>
      <c r="G380" s="8" t="s">
        <v>936</v>
      </c>
      <c r="H380" s="8" t="s">
        <v>396</v>
      </c>
      <c r="I380" s="27" t="s">
        <v>693</v>
      </c>
      <c r="J380" s="8"/>
      <c r="K380" s="8" t="s">
        <v>396</v>
      </c>
      <c r="L380" s="8" t="s">
        <v>396</v>
      </c>
      <c r="M380" s="8" t="s">
        <v>396</v>
      </c>
      <c r="N380" s="2" t="s">
        <v>746</v>
      </c>
    </row>
    <row r="381" spans="2:14" x14ac:dyDescent="0.2">
      <c r="B381" s="2">
        <v>476</v>
      </c>
      <c r="C381" s="14" t="s">
        <v>26</v>
      </c>
      <c r="D381" s="2" t="s">
        <v>19</v>
      </c>
      <c r="E381" s="2" t="s">
        <v>0</v>
      </c>
      <c r="F381" s="12" t="s">
        <v>268</v>
      </c>
      <c r="G381" s="8" t="s">
        <v>936</v>
      </c>
      <c r="H381" s="8" t="s">
        <v>396</v>
      </c>
      <c r="I381" s="27" t="s">
        <v>693</v>
      </c>
      <c r="J381" s="8"/>
      <c r="K381" s="8" t="s">
        <v>396</v>
      </c>
      <c r="L381" s="8" t="s">
        <v>396</v>
      </c>
      <c r="M381" s="8" t="s">
        <v>396</v>
      </c>
      <c r="N381" s="2" t="s">
        <v>740</v>
      </c>
    </row>
    <row r="382" spans="2:14" x14ac:dyDescent="0.2">
      <c r="B382" s="2">
        <v>477</v>
      </c>
      <c r="C382" s="14" t="s">
        <v>26</v>
      </c>
      <c r="D382" s="14" t="s">
        <v>18</v>
      </c>
      <c r="E382" s="2" t="s">
        <v>5</v>
      </c>
      <c r="F382" s="12" t="s">
        <v>317</v>
      </c>
      <c r="G382" s="8" t="s">
        <v>936</v>
      </c>
      <c r="H382" s="8" t="s">
        <v>396</v>
      </c>
      <c r="I382" s="27" t="s">
        <v>693</v>
      </c>
      <c r="J382" s="8"/>
      <c r="K382" s="8" t="s">
        <v>396</v>
      </c>
      <c r="L382" s="8" t="s">
        <v>396</v>
      </c>
      <c r="M382" s="8" t="s">
        <v>396</v>
      </c>
      <c r="N382" s="2" t="s">
        <v>747</v>
      </c>
    </row>
    <row r="383" spans="2:14" x14ac:dyDescent="0.2">
      <c r="B383" s="2">
        <v>478</v>
      </c>
      <c r="C383" s="14" t="s">
        <v>26</v>
      </c>
      <c r="D383" s="2" t="s">
        <v>18</v>
      </c>
      <c r="E383" s="2" t="s">
        <v>4</v>
      </c>
      <c r="F383" s="12" t="s">
        <v>318</v>
      </c>
      <c r="G383" s="8" t="s">
        <v>936</v>
      </c>
      <c r="H383" s="8" t="s">
        <v>396</v>
      </c>
      <c r="I383" s="27" t="s">
        <v>693</v>
      </c>
      <c r="J383" s="8"/>
      <c r="K383" s="8" t="s">
        <v>396</v>
      </c>
      <c r="L383" s="8" t="s">
        <v>396</v>
      </c>
      <c r="M383" s="8" t="s">
        <v>396</v>
      </c>
      <c r="N383" s="2"/>
    </row>
    <row r="384" spans="2:14" x14ac:dyDescent="0.2">
      <c r="B384" s="2">
        <v>479</v>
      </c>
      <c r="C384" s="14" t="s">
        <v>26</v>
      </c>
      <c r="D384" s="2" t="s">
        <v>18</v>
      </c>
      <c r="E384" s="2" t="s">
        <v>3</v>
      </c>
      <c r="F384" s="12" t="s">
        <v>316</v>
      </c>
      <c r="G384" s="8" t="s">
        <v>936</v>
      </c>
      <c r="H384" s="8" t="s">
        <v>396</v>
      </c>
      <c r="I384" s="27" t="s">
        <v>693</v>
      </c>
      <c r="J384" s="8"/>
      <c r="K384" s="8" t="s">
        <v>396</v>
      </c>
      <c r="L384" s="8" t="s">
        <v>396</v>
      </c>
      <c r="M384" s="8" t="s">
        <v>396</v>
      </c>
      <c r="N384" s="2"/>
    </row>
    <row r="385" spans="2:14" x14ac:dyDescent="0.2">
      <c r="B385" s="2">
        <v>480</v>
      </c>
      <c r="C385" s="14" t="s">
        <v>26</v>
      </c>
      <c r="D385" s="2" t="s">
        <v>18</v>
      </c>
      <c r="E385" s="2" t="s">
        <v>2</v>
      </c>
      <c r="F385" s="12" t="s">
        <v>279</v>
      </c>
      <c r="G385" s="8" t="s">
        <v>936</v>
      </c>
      <c r="H385" s="8" t="s">
        <v>396</v>
      </c>
      <c r="I385" s="27" t="s">
        <v>693</v>
      </c>
      <c r="J385" s="8"/>
      <c r="K385" s="8" t="s">
        <v>396</v>
      </c>
      <c r="L385" s="8" t="s">
        <v>396</v>
      </c>
      <c r="M385" s="8" t="s">
        <v>396</v>
      </c>
      <c r="N385" s="2"/>
    </row>
    <row r="386" spans="2:14" x14ac:dyDescent="0.2">
      <c r="B386" s="2">
        <v>481</v>
      </c>
      <c r="C386" s="14" t="s">
        <v>26</v>
      </c>
      <c r="D386" s="2" t="s">
        <v>18</v>
      </c>
      <c r="E386" s="2" t="s">
        <v>1</v>
      </c>
      <c r="F386" s="12" t="s">
        <v>288</v>
      </c>
      <c r="G386" s="8" t="s">
        <v>936</v>
      </c>
      <c r="H386" s="8" t="s">
        <v>396</v>
      </c>
      <c r="I386" s="27" t="s">
        <v>693</v>
      </c>
      <c r="J386" s="8"/>
      <c r="K386" s="8" t="s">
        <v>396</v>
      </c>
      <c r="L386" s="8" t="s">
        <v>396</v>
      </c>
      <c r="M386" s="8" t="s">
        <v>396</v>
      </c>
      <c r="N386" s="2"/>
    </row>
    <row r="387" spans="2:14" x14ac:dyDescent="0.2">
      <c r="B387" s="2">
        <v>482</v>
      </c>
      <c r="C387" s="14" t="s">
        <v>26</v>
      </c>
      <c r="D387" s="2" t="s">
        <v>18</v>
      </c>
      <c r="E387" s="2" t="s">
        <v>0</v>
      </c>
      <c r="F387" s="12" t="s">
        <v>270</v>
      </c>
      <c r="G387" s="8" t="s">
        <v>936</v>
      </c>
      <c r="H387" s="8" t="s">
        <v>396</v>
      </c>
      <c r="I387" s="27" t="s">
        <v>693</v>
      </c>
      <c r="J387" s="11"/>
      <c r="K387" s="8" t="s">
        <v>396</v>
      </c>
      <c r="L387" s="8" t="s">
        <v>396</v>
      </c>
      <c r="M387" s="8" t="s">
        <v>396</v>
      </c>
      <c r="N387" s="2" t="s">
        <v>740</v>
      </c>
    </row>
    <row r="388" spans="2:14" x14ac:dyDescent="0.2">
      <c r="B388" s="2">
        <v>483</v>
      </c>
      <c r="C388" s="14" t="s">
        <v>26</v>
      </c>
      <c r="D388" s="14" t="s">
        <v>17</v>
      </c>
      <c r="E388" s="2" t="s">
        <v>5</v>
      </c>
      <c r="F388" s="12" t="s">
        <v>305</v>
      </c>
      <c r="G388" s="8" t="s">
        <v>936</v>
      </c>
      <c r="H388" s="8" t="s">
        <v>396</v>
      </c>
      <c r="I388" s="27" t="s">
        <v>693</v>
      </c>
      <c r="J388" s="8"/>
      <c r="K388" s="8" t="s">
        <v>396</v>
      </c>
      <c r="L388" s="8" t="s">
        <v>396</v>
      </c>
      <c r="M388" s="8" t="s">
        <v>396</v>
      </c>
      <c r="N388" s="2" t="s">
        <v>417</v>
      </c>
    </row>
    <row r="389" spans="2:14" x14ac:dyDescent="0.2">
      <c r="B389" s="2">
        <v>484</v>
      </c>
      <c r="C389" s="14" t="s">
        <v>26</v>
      </c>
      <c r="D389" s="2" t="s">
        <v>17</v>
      </c>
      <c r="E389" s="2" t="s">
        <v>4</v>
      </c>
      <c r="F389" s="12" t="s">
        <v>306</v>
      </c>
      <c r="G389" s="8" t="s">
        <v>936</v>
      </c>
      <c r="H389" s="8" t="s">
        <v>396</v>
      </c>
      <c r="I389" s="27" t="s">
        <v>693</v>
      </c>
      <c r="J389" s="8"/>
      <c r="K389" s="8" t="s">
        <v>396</v>
      </c>
      <c r="L389" s="8" t="s">
        <v>396</v>
      </c>
      <c r="M389" s="8" t="s">
        <v>396</v>
      </c>
      <c r="N389" s="2" t="s">
        <v>417</v>
      </c>
    </row>
    <row r="390" spans="2:14" x14ac:dyDescent="0.2">
      <c r="B390" s="2">
        <v>485</v>
      </c>
      <c r="C390" s="14" t="s">
        <v>26</v>
      </c>
      <c r="D390" s="2" t="s">
        <v>17</v>
      </c>
      <c r="E390" s="2" t="s">
        <v>3</v>
      </c>
      <c r="F390" s="12" t="s">
        <v>304</v>
      </c>
      <c r="G390" s="8" t="s">
        <v>936</v>
      </c>
      <c r="H390" s="8" t="s">
        <v>396</v>
      </c>
      <c r="I390" s="27" t="s">
        <v>693</v>
      </c>
      <c r="J390" s="8"/>
      <c r="K390" s="8" t="s">
        <v>396</v>
      </c>
      <c r="L390" s="8" t="s">
        <v>396</v>
      </c>
      <c r="M390" s="8" t="s">
        <v>396</v>
      </c>
      <c r="N390" s="2" t="s">
        <v>417</v>
      </c>
    </row>
    <row r="391" spans="2:14" x14ac:dyDescent="0.2">
      <c r="B391" s="2">
        <v>486</v>
      </c>
      <c r="C391" s="14" t="s">
        <v>26</v>
      </c>
      <c r="D391" s="2" t="s">
        <v>17</v>
      </c>
      <c r="E391" s="2" t="s">
        <v>2</v>
      </c>
      <c r="F391" s="12" t="s">
        <v>284</v>
      </c>
      <c r="G391" s="8" t="s">
        <v>936</v>
      </c>
      <c r="H391" s="8" t="s">
        <v>396</v>
      </c>
      <c r="I391" s="27" t="s">
        <v>693</v>
      </c>
      <c r="J391" s="8"/>
      <c r="K391" s="8" t="s">
        <v>396</v>
      </c>
      <c r="L391" s="8" t="s">
        <v>396</v>
      </c>
      <c r="M391" s="8" t="s">
        <v>396</v>
      </c>
      <c r="N391" s="2" t="s">
        <v>417</v>
      </c>
    </row>
    <row r="392" spans="2:14" x14ac:dyDescent="0.2">
      <c r="B392" s="2">
        <v>487</v>
      </c>
      <c r="C392" s="14" t="s">
        <v>26</v>
      </c>
      <c r="D392" s="2" t="s">
        <v>17</v>
      </c>
      <c r="E392" s="2" t="s">
        <v>1</v>
      </c>
      <c r="F392" s="12" t="s">
        <v>293</v>
      </c>
      <c r="G392" s="8" t="s">
        <v>936</v>
      </c>
      <c r="H392" s="8" t="s">
        <v>396</v>
      </c>
      <c r="I392" s="27" t="s">
        <v>693</v>
      </c>
      <c r="J392" s="8"/>
      <c r="K392" s="8" t="s">
        <v>396</v>
      </c>
      <c r="L392" s="8" t="s">
        <v>396</v>
      </c>
      <c r="M392" s="8" t="s">
        <v>396</v>
      </c>
      <c r="N392" s="2" t="s">
        <v>417</v>
      </c>
    </row>
    <row r="393" spans="2:14" x14ac:dyDescent="0.2">
      <c r="B393" s="2">
        <v>488</v>
      </c>
      <c r="C393" s="14" t="s">
        <v>26</v>
      </c>
      <c r="D393" s="2" t="s">
        <v>17</v>
      </c>
      <c r="E393" s="2" t="s">
        <v>0</v>
      </c>
      <c r="F393" s="12" t="s">
        <v>275</v>
      </c>
      <c r="G393" s="8" t="s">
        <v>936</v>
      </c>
      <c r="H393" s="8" t="s">
        <v>396</v>
      </c>
      <c r="I393" s="27" t="s">
        <v>693</v>
      </c>
      <c r="J393" s="11"/>
      <c r="K393" s="8" t="s">
        <v>396</v>
      </c>
      <c r="L393" s="8" t="s">
        <v>396</v>
      </c>
      <c r="M393" s="8" t="s">
        <v>396</v>
      </c>
      <c r="N393" s="2" t="s">
        <v>740</v>
      </c>
    </row>
    <row r="394" spans="2:14" x14ac:dyDescent="0.25">
      <c r="B394" s="2">
        <v>502</v>
      </c>
      <c r="C394" s="2" t="s">
        <v>15</v>
      </c>
      <c r="D394" s="2" t="s">
        <v>14</v>
      </c>
      <c r="E394" s="2" t="s">
        <v>3</v>
      </c>
      <c r="F394" s="2"/>
      <c r="G394" s="8" t="s">
        <v>936</v>
      </c>
      <c r="H394" s="8"/>
      <c r="I394" s="8"/>
      <c r="J394" s="8"/>
      <c r="K394" s="8"/>
      <c r="L394" s="8"/>
      <c r="M394" s="8"/>
      <c r="N394" s="2"/>
    </row>
    <row r="395" spans="2:14" x14ac:dyDescent="0.25">
      <c r="B395" s="2">
        <v>503</v>
      </c>
      <c r="C395" s="2" t="s">
        <v>15</v>
      </c>
      <c r="D395" s="2" t="s">
        <v>13</v>
      </c>
      <c r="E395" s="2" t="s">
        <v>5</v>
      </c>
      <c r="F395" s="2" t="s">
        <v>1160</v>
      </c>
      <c r="G395" s="8" t="s">
        <v>936</v>
      </c>
      <c r="H395" s="8" t="s">
        <v>396</v>
      </c>
      <c r="I395" s="27" t="s">
        <v>693</v>
      </c>
      <c r="J395" s="8"/>
      <c r="K395" s="8"/>
      <c r="L395" s="8"/>
      <c r="M395" s="8"/>
      <c r="N395" s="2"/>
    </row>
    <row r="396" spans="2:14" x14ac:dyDescent="0.25">
      <c r="B396" s="2">
        <v>504</v>
      </c>
      <c r="C396" s="2" t="s">
        <v>15</v>
      </c>
      <c r="D396" s="2" t="s">
        <v>13</v>
      </c>
      <c r="E396" s="2" t="s">
        <v>4</v>
      </c>
      <c r="F396" s="2" t="s">
        <v>1161</v>
      </c>
      <c r="G396" s="8" t="s">
        <v>936</v>
      </c>
      <c r="H396" s="8" t="s">
        <v>396</v>
      </c>
      <c r="I396" s="27" t="s">
        <v>693</v>
      </c>
      <c r="J396" s="8"/>
      <c r="K396" s="8"/>
      <c r="L396" s="8"/>
      <c r="M396" s="8"/>
      <c r="N396" s="2"/>
    </row>
    <row r="397" spans="2:14" x14ac:dyDescent="0.25">
      <c r="B397" s="2">
        <v>505</v>
      </c>
      <c r="C397" s="2" t="s">
        <v>15</v>
      </c>
      <c r="D397" s="2" t="s">
        <v>13</v>
      </c>
      <c r="E397" s="2" t="s">
        <v>3</v>
      </c>
      <c r="F397" s="2"/>
      <c r="G397" s="8" t="s">
        <v>936</v>
      </c>
      <c r="H397" s="8"/>
      <c r="I397" s="8"/>
      <c r="J397" s="8"/>
      <c r="K397" s="8"/>
      <c r="L397" s="8"/>
      <c r="M397" s="8"/>
      <c r="N397" s="2"/>
    </row>
    <row r="398" spans="2:14" x14ac:dyDescent="0.25">
      <c r="B398" s="2">
        <v>506</v>
      </c>
      <c r="C398" s="2" t="s">
        <v>15</v>
      </c>
      <c r="D398" s="2" t="s">
        <v>13</v>
      </c>
      <c r="E398" s="2" t="s">
        <v>12</v>
      </c>
      <c r="F398" s="2"/>
      <c r="G398" s="8" t="s">
        <v>936</v>
      </c>
      <c r="H398" s="8"/>
      <c r="I398" s="8"/>
      <c r="J398" s="8"/>
      <c r="K398" s="8"/>
      <c r="L398" s="8"/>
      <c r="M398" s="8"/>
      <c r="N398" s="2"/>
    </row>
    <row r="399" spans="2:14" x14ac:dyDescent="0.25">
      <c r="B399" s="2">
        <v>507</v>
      </c>
      <c r="C399" s="2" t="s">
        <v>15</v>
      </c>
      <c r="D399" s="2" t="s">
        <v>13</v>
      </c>
      <c r="E399" s="2" t="s">
        <v>11</v>
      </c>
      <c r="F399" s="2"/>
      <c r="G399" s="8" t="s">
        <v>936</v>
      </c>
      <c r="H399" s="8"/>
      <c r="I399" s="8"/>
      <c r="J399" s="8"/>
      <c r="K399" s="8"/>
      <c r="L399" s="8"/>
      <c r="M399" s="8"/>
      <c r="N399" s="2"/>
    </row>
    <row r="400" spans="2:14" x14ac:dyDescent="0.25">
      <c r="B400" s="2">
        <v>508</v>
      </c>
      <c r="C400" s="2" t="s">
        <v>15</v>
      </c>
      <c r="D400" s="2" t="s">
        <v>13</v>
      </c>
      <c r="E400" s="2" t="s">
        <v>0</v>
      </c>
      <c r="F400" s="2"/>
      <c r="G400" s="8" t="s">
        <v>936</v>
      </c>
      <c r="H400" s="8"/>
      <c r="I400" s="8"/>
      <c r="J400" s="8"/>
      <c r="K400" s="8"/>
      <c r="L400" s="8"/>
      <c r="M400" s="8"/>
      <c r="N400" s="2"/>
    </row>
    <row r="401" spans="2:14" x14ac:dyDescent="0.25">
      <c r="B401" s="2">
        <v>509</v>
      </c>
      <c r="C401" s="2" t="s">
        <v>15</v>
      </c>
      <c r="D401" s="2" t="s">
        <v>13</v>
      </c>
      <c r="E401" s="2" t="s">
        <v>263</v>
      </c>
      <c r="F401" s="2"/>
      <c r="G401" s="8" t="s">
        <v>936</v>
      </c>
      <c r="H401" s="8"/>
      <c r="I401" s="8"/>
      <c r="J401" s="8"/>
      <c r="K401" s="8"/>
      <c r="L401" s="8"/>
      <c r="M401" s="8"/>
      <c r="N401" s="2"/>
    </row>
    <row r="402" spans="2:14" x14ac:dyDescent="0.25">
      <c r="B402" s="2">
        <v>510</v>
      </c>
      <c r="C402" s="2" t="s">
        <v>10</v>
      </c>
      <c r="D402" s="2" t="s">
        <v>9</v>
      </c>
      <c r="E402" s="2" t="s">
        <v>8</v>
      </c>
      <c r="F402" s="2"/>
      <c r="G402" s="8" t="s">
        <v>936</v>
      </c>
      <c r="H402" s="8"/>
      <c r="I402" s="8"/>
      <c r="J402" s="8"/>
      <c r="K402" s="8"/>
      <c r="L402" s="8"/>
      <c r="M402" s="8"/>
      <c r="N402" s="2"/>
    </row>
    <row r="403" spans="2:14" x14ac:dyDescent="0.25">
      <c r="B403" s="2">
        <v>511</v>
      </c>
      <c r="C403" s="2" t="s">
        <v>10</v>
      </c>
      <c r="D403" s="2" t="s">
        <v>9</v>
      </c>
      <c r="E403" s="2" t="s">
        <v>7</v>
      </c>
      <c r="F403" s="2"/>
      <c r="G403" s="8" t="s">
        <v>936</v>
      </c>
      <c r="H403" s="8"/>
      <c r="I403" s="8"/>
      <c r="J403" s="8"/>
      <c r="K403" s="8"/>
      <c r="L403" s="8"/>
      <c r="M403" s="8"/>
      <c r="N403" s="2"/>
    </row>
    <row r="404" spans="2:14" x14ac:dyDescent="0.25">
      <c r="B404" s="2">
        <v>512</v>
      </c>
      <c r="C404" s="2" t="s">
        <v>10</v>
      </c>
      <c r="D404" s="2" t="s">
        <v>9</v>
      </c>
      <c r="E404" s="2" t="s">
        <v>6</v>
      </c>
      <c r="F404" s="2"/>
      <c r="G404" s="8" t="s">
        <v>936</v>
      </c>
      <c r="H404" s="8"/>
      <c r="I404" s="8"/>
      <c r="J404" s="8"/>
      <c r="K404" s="8"/>
      <c r="L404" s="8"/>
      <c r="M404" s="8"/>
      <c r="N404" s="2"/>
    </row>
    <row r="405" spans="2:14" x14ac:dyDescent="0.25">
      <c r="B405" s="2">
        <v>513</v>
      </c>
      <c r="C405" s="2" t="s">
        <v>10</v>
      </c>
      <c r="D405" s="2" t="s">
        <v>9</v>
      </c>
      <c r="E405" s="2" t="s">
        <v>264</v>
      </c>
      <c r="F405" s="2"/>
      <c r="G405" s="8" t="s">
        <v>936</v>
      </c>
      <c r="H405" s="8"/>
      <c r="I405" s="8"/>
      <c r="J405" s="8"/>
      <c r="K405" s="8"/>
      <c r="L405" s="8"/>
      <c r="M405" s="8"/>
      <c r="N405" s="2"/>
    </row>
  </sheetData>
  <autoFilter ref="B9:N405" xr:uid="{00000000-0009-0000-0000-000000000000}"/>
  <conditionalFormatting sqref="I234:I235 I202:I204">
    <cfRule type="cellIs" dxfId="92" priority="46" operator="equal">
      <formula>"Passed"</formula>
    </cfRule>
  </conditionalFormatting>
  <conditionalFormatting sqref="I233">
    <cfRule type="cellIs" dxfId="91" priority="45" operator="equal">
      <formula>"Passed"</formula>
    </cfRule>
  </conditionalFormatting>
  <conditionalFormatting sqref="I236:I238">
    <cfRule type="cellIs" dxfId="90" priority="44" operator="equal">
      <formula>"Passed"</formula>
    </cfRule>
  </conditionalFormatting>
  <conditionalFormatting sqref="I240:I241">
    <cfRule type="cellIs" dxfId="89" priority="43" operator="equal">
      <formula>"Passed"</formula>
    </cfRule>
  </conditionalFormatting>
  <conditionalFormatting sqref="I242:I243">
    <cfRule type="cellIs" dxfId="88" priority="42" operator="equal">
      <formula>"Passed"</formula>
    </cfRule>
  </conditionalFormatting>
  <conditionalFormatting sqref="I244:I251">
    <cfRule type="cellIs" dxfId="87" priority="41" operator="equal">
      <formula>"Passed"</formula>
    </cfRule>
  </conditionalFormatting>
  <conditionalFormatting sqref="I217:I220">
    <cfRule type="cellIs" dxfId="86" priority="40" operator="equal">
      <formula>"Passed"</formula>
    </cfRule>
  </conditionalFormatting>
  <conditionalFormatting sqref="I221">
    <cfRule type="cellIs" dxfId="85" priority="39" operator="equal">
      <formula>"Passed"</formula>
    </cfRule>
  </conditionalFormatting>
  <conditionalFormatting sqref="I210:I215">
    <cfRule type="cellIs" dxfId="84" priority="38" operator="equal">
      <formula>"Passed"</formula>
    </cfRule>
  </conditionalFormatting>
  <conditionalFormatting sqref="I100">
    <cfRule type="cellIs" dxfId="83" priority="36" operator="equal">
      <formula>"Passed"</formula>
    </cfRule>
  </conditionalFormatting>
  <conditionalFormatting sqref="I101:I104">
    <cfRule type="cellIs" dxfId="82" priority="35" operator="equal">
      <formula>"Passed"</formula>
    </cfRule>
  </conditionalFormatting>
  <conditionalFormatting sqref="I252">
    <cfRule type="cellIs" dxfId="81" priority="34" operator="equal">
      <formula>"Passed"</formula>
    </cfRule>
  </conditionalFormatting>
  <conditionalFormatting sqref="I262:I263">
    <cfRule type="cellIs" dxfId="80" priority="32" operator="equal">
      <formula>"Passed"</formula>
    </cfRule>
  </conditionalFormatting>
  <conditionalFormatting sqref="I206:I208">
    <cfRule type="cellIs" dxfId="79" priority="31" operator="equal">
      <formula>"Passed"</formula>
    </cfRule>
  </conditionalFormatting>
  <conditionalFormatting sqref="I205">
    <cfRule type="cellIs" dxfId="78" priority="30" operator="equal">
      <formula>"Passed"</formula>
    </cfRule>
  </conditionalFormatting>
  <conditionalFormatting sqref="I182:I187">
    <cfRule type="cellIs" dxfId="77" priority="29" operator="equal">
      <formula>"Passed"</formula>
    </cfRule>
  </conditionalFormatting>
  <conditionalFormatting sqref="I194">
    <cfRule type="cellIs" dxfId="76" priority="28" operator="equal">
      <formula>"Passed"</formula>
    </cfRule>
  </conditionalFormatting>
  <conditionalFormatting sqref="I198:I200">
    <cfRule type="cellIs" dxfId="75" priority="27" operator="equal">
      <formula>"Passed"</formula>
    </cfRule>
  </conditionalFormatting>
  <conditionalFormatting sqref="I201">
    <cfRule type="cellIs" dxfId="74" priority="26" operator="equal">
      <formula>"Passed"</formula>
    </cfRule>
  </conditionalFormatting>
  <conditionalFormatting sqref="I95:I99">
    <cfRule type="cellIs" dxfId="73" priority="25" operator="equal">
      <formula>"Passed"</formula>
    </cfRule>
  </conditionalFormatting>
  <conditionalFormatting sqref="I277:I282">
    <cfRule type="cellIs" dxfId="72" priority="24" operator="equal">
      <formula>"Passed"</formula>
    </cfRule>
  </conditionalFormatting>
  <conditionalFormatting sqref="I190:I193">
    <cfRule type="cellIs" dxfId="71" priority="22" operator="equal">
      <formula>"Passed"</formula>
    </cfRule>
  </conditionalFormatting>
  <conditionalFormatting sqref="I105:I110">
    <cfRule type="cellIs" dxfId="70" priority="21" operator="equal">
      <formula>"Passed"</formula>
    </cfRule>
  </conditionalFormatting>
  <conditionalFormatting sqref="I311">
    <cfRule type="cellIs" dxfId="69" priority="16" operator="equal">
      <formula>"Passed"</formula>
    </cfRule>
  </conditionalFormatting>
  <conditionalFormatting sqref="I260:I261">
    <cfRule type="cellIs" dxfId="68" priority="15" operator="equal">
      <formula>"Passed"</formula>
    </cfRule>
  </conditionalFormatting>
  <conditionalFormatting sqref="I223:I225">
    <cfRule type="cellIs" dxfId="67" priority="18" operator="equal">
      <formula>"Passed"</formula>
    </cfRule>
  </conditionalFormatting>
  <conditionalFormatting sqref="I226:I227">
    <cfRule type="cellIs" dxfId="66" priority="17" operator="equal">
      <formula>"Passed"</formula>
    </cfRule>
  </conditionalFormatting>
  <conditionalFormatting sqref="I195">
    <cfRule type="cellIs" dxfId="65" priority="10" operator="equal">
      <formula>"Passed"</formula>
    </cfRule>
  </conditionalFormatting>
  <conditionalFormatting sqref="I216">
    <cfRule type="cellIs" dxfId="64" priority="9" operator="equal">
      <formula>"Passed"</formula>
    </cfRule>
  </conditionalFormatting>
  <conditionalFormatting sqref="I271">
    <cfRule type="cellIs" dxfId="63" priority="14" operator="equal">
      <formula>"Passed"</formula>
    </cfRule>
  </conditionalFormatting>
  <conditionalFormatting sqref="I345">
    <cfRule type="cellIs" dxfId="62" priority="13" operator="equal">
      <formula>"Passed"</formula>
    </cfRule>
  </conditionalFormatting>
  <conditionalFormatting sqref="I188">
    <cfRule type="cellIs" dxfId="61" priority="12" operator="equal">
      <formula>"Passed"</formula>
    </cfRule>
  </conditionalFormatting>
  <conditionalFormatting sqref="I189">
    <cfRule type="cellIs" dxfId="60" priority="11" operator="equal">
      <formula>"Passed"</formula>
    </cfRule>
  </conditionalFormatting>
  <conditionalFormatting sqref="I256">
    <cfRule type="cellIs" dxfId="59" priority="4" operator="equal">
      <formula>"Passed"</formula>
    </cfRule>
  </conditionalFormatting>
  <conditionalFormatting sqref="I257">
    <cfRule type="cellIs" dxfId="58" priority="3" operator="equal">
      <formula>"Passed"</formula>
    </cfRule>
  </conditionalFormatting>
  <conditionalFormatting sqref="I222">
    <cfRule type="cellIs" dxfId="57" priority="8" operator="equal">
      <formula>"Passed"</formula>
    </cfRule>
  </conditionalFormatting>
  <conditionalFormatting sqref="I239">
    <cfRule type="cellIs" dxfId="56" priority="7" operator="equal">
      <formula>"Passed"</formula>
    </cfRule>
  </conditionalFormatting>
  <conditionalFormatting sqref="I253">
    <cfRule type="cellIs" dxfId="55" priority="6" operator="equal">
      <formula>"Passed"</formula>
    </cfRule>
  </conditionalFormatting>
  <conditionalFormatting sqref="I254">
    <cfRule type="cellIs" dxfId="54" priority="5" operator="equal">
      <formula>"Passed"</formula>
    </cfRule>
  </conditionalFormatting>
  <conditionalFormatting sqref="I258">
    <cfRule type="cellIs" dxfId="53" priority="2" operator="equal">
      <formula>"Passed"</formula>
    </cfRule>
  </conditionalFormatting>
  <conditionalFormatting sqref="I259">
    <cfRule type="cellIs" dxfId="52" priority="1" operator="equal">
      <formula>"Passed"</formula>
    </cfRule>
  </conditionalFormatting>
  <dataValidations count="4">
    <dataValidation type="list" allowBlank="1" showInputMessage="1" showErrorMessage="1" sqref="N29 J388:J392 N203 J216 N23:N24 J180:J189 J26:J30 J38:J43 J214 J244:J245 J90:J98 J51:J55 J324:J327 J330:J333 J373:J386 J46:J47 J59:J70 J252:J261 J72:J78 J80:J88 J218 J193 N182:N184 J203 J200:J201 J206:J212 J221:J235 J237:J242 J314:J320 J335:J371 J266:J304 J311:J312 J394:J405 J195:J198 J144:J175 J116:J139 J100:J110 J32:J36 J10:J17 J19:J24" xr:uid="{00000000-0002-0000-0000-000000000000}">
      <formula1>"Does not exist, SENDING_TEMPLATE"</formula1>
    </dataValidation>
    <dataValidation type="list" allowBlank="1" showInputMessage="1" showErrorMessage="1" sqref="H10:H405 K10:M405" xr:uid="{00000000-0002-0000-0000-000001000000}">
      <formula1>"x"</formula1>
    </dataValidation>
    <dataValidation type="list" allowBlank="1" showInputMessage="1" showErrorMessage="1" sqref="I10:I405" xr:uid="{00000000-0002-0000-0000-000002000000}">
      <formula1>"Passed, Failed"</formula1>
    </dataValidation>
    <dataValidation type="list" allowBlank="1" showInputMessage="1" showErrorMessage="1" sqref="G10:G405" xr:uid="{00000000-0002-0000-0000-000003000000}">
      <formula1>"Yes, No"</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B2:Z1048534"/>
  <sheetViews>
    <sheetView zoomScale="85" zoomScaleNormal="85" workbookViewId="0">
      <pane xSplit="1" ySplit="15" topLeftCell="B75" activePane="bottomRight" state="frozen"/>
      <selection pane="topRight" activeCell="B1" sqref="B1"/>
      <selection pane="bottomLeft" activeCell="A2" sqref="A2"/>
      <selection pane="bottomRight" activeCell="G157" sqref="G157"/>
    </sheetView>
  </sheetViews>
  <sheetFormatPr defaultColWidth="9.140625" defaultRowHeight="12.75" x14ac:dyDescent="0.25"/>
  <cols>
    <col min="1" max="1" width="2.7109375" style="9" customWidth="1"/>
    <col min="2" max="2" width="4" style="9" bestFit="1" customWidth="1"/>
    <col min="3" max="3" width="10.28515625" style="9" bestFit="1" customWidth="1"/>
    <col min="4" max="4" width="20.140625" style="9" customWidth="1"/>
    <col min="5" max="5" width="56.5703125" style="9" bestFit="1" customWidth="1"/>
    <col min="6" max="6" width="11.28515625" style="9" bestFit="1" customWidth="1"/>
    <col min="7" max="7" width="17" style="9" bestFit="1" customWidth="1"/>
    <col min="8" max="8" width="12.28515625" style="9" customWidth="1"/>
    <col min="9" max="9" width="13.28515625" style="9" customWidth="1"/>
    <col min="10" max="10" width="18.42578125" style="9" customWidth="1"/>
    <col min="11" max="11" width="10.42578125" style="9" customWidth="1"/>
    <col min="12" max="12" width="13.42578125" style="9" customWidth="1"/>
    <col min="13" max="13" width="17.140625" style="9" customWidth="1"/>
    <col min="14" max="14" width="21.42578125" style="9" customWidth="1"/>
    <col min="15" max="15" width="13.140625" style="9" customWidth="1"/>
    <col min="16" max="17" width="23" style="9" customWidth="1"/>
    <col min="18" max="19" width="11.42578125" style="9" customWidth="1"/>
    <col min="20" max="20" width="14.7109375" style="9" customWidth="1"/>
    <col min="21" max="21" width="21.42578125" style="9" customWidth="1"/>
    <col min="22" max="22" width="35.7109375" style="9" customWidth="1"/>
    <col min="23" max="23" width="21.42578125" style="9" customWidth="1"/>
    <col min="24" max="24" width="45" style="9" bestFit="1" customWidth="1"/>
    <col min="25" max="25" width="34.85546875" style="9" customWidth="1"/>
    <col min="26" max="26" width="91.42578125" style="9" customWidth="1"/>
    <col min="27" max="16384" width="9.140625" style="9"/>
  </cols>
  <sheetData>
    <row r="2" spans="2:26" hidden="1" x14ac:dyDescent="0.25">
      <c r="D2" s="38" t="s">
        <v>960</v>
      </c>
    </row>
    <row r="3" spans="2:26" s="32" customFormat="1" hidden="1" x14ac:dyDescent="0.25">
      <c r="B3" s="33"/>
      <c r="D3" s="32" t="s">
        <v>901</v>
      </c>
      <c r="E3" s="32">
        <f>COUNTIF($M$16:$M$174, D3)</f>
        <v>0</v>
      </c>
      <c r="M3" s="9"/>
      <c r="N3" s="68"/>
      <c r="O3" s="9"/>
      <c r="X3" s="9"/>
    </row>
    <row r="4" spans="2:26" s="32" customFormat="1" hidden="1" x14ac:dyDescent="0.25">
      <c r="B4" s="33"/>
      <c r="D4" s="32" t="s">
        <v>932</v>
      </c>
      <c r="E4" s="32">
        <f>COUNTA($E$16:$E$174)-E3</f>
        <v>159</v>
      </c>
      <c r="J4" s="32" t="s">
        <v>1112</v>
      </c>
      <c r="M4" s="9"/>
      <c r="N4" s="9"/>
      <c r="O4" s="9"/>
      <c r="X4" s="9"/>
    </row>
    <row r="5" spans="2:26" s="32" customFormat="1" hidden="1" x14ac:dyDescent="0.25">
      <c r="D5" s="32" t="s">
        <v>958</v>
      </c>
      <c r="E5" s="32">
        <f>COUNTIF($I$16:$I$174, "Yes")</f>
        <v>131</v>
      </c>
      <c r="H5" s="34">
        <f>ROUND(E5/$E$4,2)</f>
        <v>0.82</v>
      </c>
      <c r="I5" s="1" t="s">
        <v>959</v>
      </c>
      <c r="J5" s="32" t="e">
        <f>E5-#REF!</f>
        <v>#REF!</v>
      </c>
      <c r="M5" s="9"/>
      <c r="N5" s="68"/>
      <c r="O5" s="9"/>
      <c r="X5" s="9"/>
    </row>
    <row r="6" spans="2:26" s="32" customFormat="1" hidden="1" x14ac:dyDescent="0.25">
      <c r="B6" s="33"/>
      <c r="D6" s="32" t="s">
        <v>693</v>
      </c>
      <c r="E6" s="32">
        <f>COUNTIF($M$16:$M$174, D6)</f>
        <v>0</v>
      </c>
      <c r="H6" s="34">
        <f>ROUND(E6/$E$4,2)</f>
        <v>0</v>
      </c>
      <c r="J6" s="32" t="e">
        <f>E6-#REF!</f>
        <v>#REF!</v>
      </c>
      <c r="M6" s="9"/>
      <c r="N6" s="68"/>
      <c r="O6" s="9"/>
      <c r="X6" s="9"/>
    </row>
    <row r="7" spans="2:26" s="32" customFormat="1" hidden="1" x14ac:dyDescent="0.25">
      <c r="B7" s="33"/>
      <c r="D7" s="32" t="s">
        <v>690</v>
      </c>
      <c r="E7" s="32">
        <f>COUNTIF($M$16:$M$174, D7)</f>
        <v>0</v>
      </c>
      <c r="H7" s="34">
        <f>ROUND(E7/$E$4,2)</f>
        <v>0</v>
      </c>
      <c r="J7" s="32" t="e">
        <f>E7-#REF!</f>
        <v>#REF!</v>
      </c>
      <c r="M7" s="9"/>
      <c r="N7" s="9"/>
      <c r="O7" s="9"/>
      <c r="X7" s="9"/>
    </row>
    <row r="8" spans="2:26" s="32" customFormat="1" hidden="1" x14ac:dyDescent="0.25">
      <c r="B8" s="33"/>
      <c r="D8" s="32" t="s">
        <v>1113</v>
      </c>
      <c r="E8" s="32">
        <f>COUNTIF($M$16:$M$174, D8)</f>
        <v>0</v>
      </c>
      <c r="H8" s="34">
        <f>ROUND(E8/$E$4,2)</f>
        <v>0</v>
      </c>
      <c r="J8" s="32" t="e">
        <f>E8-#REF!</f>
        <v>#REF!</v>
      </c>
      <c r="M8" s="9"/>
      <c r="N8" s="9"/>
      <c r="O8" s="9"/>
      <c r="X8" s="9"/>
    </row>
    <row r="9" spans="2:26" s="32" customFormat="1" hidden="1" x14ac:dyDescent="0.25">
      <c r="B9" s="33"/>
      <c r="D9" s="32" t="s">
        <v>934</v>
      </c>
      <c r="E9" s="32">
        <f>COUNTIF($M$16:$M$174, D9)</f>
        <v>0</v>
      </c>
      <c r="H9" s="34">
        <f>ROUND(E9/$E$4,2)</f>
        <v>0</v>
      </c>
      <c r="J9" s="32" t="e">
        <f>E9-#REF!</f>
        <v>#REF!</v>
      </c>
      <c r="M9" s="9"/>
      <c r="O9" s="9"/>
      <c r="X9" s="9"/>
    </row>
    <row r="10" spans="2:26" s="32" customFormat="1" hidden="1" x14ac:dyDescent="0.25">
      <c r="B10" s="33"/>
      <c r="H10" s="34"/>
      <c r="M10" s="9"/>
      <c r="O10" s="9"/>
      <c r="X10" s="9"/>
    </row>
    <row r="11" spans="2:26" s="32" customFormat="1" hidden="1" x14ac:dyDescent="0.25">
      <c r="B11" s="33"/>
      <c r="D11" s="32" t="s">
        <v>1104</v>
      </c>
      <c r="E11" s="32">
        <f>E4-E12+3</f>
        <v>142</v>
      </c>
      <c r="H11" s="34"/>
      <c r="X11" s="9"/>
    </row>
    <row r="12" spans="2:26" s="32" customFormat="1" hidden="1" x14ac:dyDescent="0.25">
      <c r="B12" s="33"/>
      <c r="D12" s="32" t="s">
        <v>1105</v>
      </c>
      <c r="E12" s="32">
        <f>COUNTIF($K$16:$K$174, "x")</f>
        <v>20</v>
      </c>
      <c r="X12" s="9"/>
    </row>
    <row r="13" spans="2:26" s="32" customFormat="1" hidden="1" x14ac:dyDescent="0.25">
      <c r="B13" s="33"/>
      <c r="D13" s="32" t="s">
        <v>1076</v>
      </c>
      <c r="E13" s="32">
        <f>COUNTIF($L$16:$L$174, "x")</f>
        <v>120</v>
      </c>
      <c r="H13" s="34">
        <f>ROUND(E13/$E$11,2)</f>
        <v>0.85</v>
      </c>
      <c r="J13" s="32" t="e">
        <f>E13-#REF!</f>
        <v>#REF!</v>
      </c>
      <c r="R13" s="32">
        <f>COUNTIF(R16:R164, "Có")</f>
        <v>35</v>
      </c>
      <c r="S13" s="32">
        <f>COUNTIF(S16:S164, "Có")</f>
        <v>90</v>
      </c>
      <c r="X13" s="9"/>
    </row>
    <row r="15" spans="2:26" ht="51" x14ac:dyDescent="0.25">
      <c r="B15" s="4" t="s">
        <v>262</v>
      </c>
      <c r="C15" s="4" t="s">
        <v>97</v>
      </c>
      <c r="D15" s="19" t="s">
        <v>260</v>
      </c>
      <c r="E15" s="4" t="s">
        <v>261</v>
      </c>
      <c r="F15" s="19" t="s">
        <v>35</v>
      </c>
      <c r="G15" s="19" t="s">
        <v>26</v>
      </c>
      <c r="H15" s="19" t="s">
        <v>96</v>
      </c>
      <c r="I15" s="5" t="s">
        <v>1171</v>
      </c>
      <c r="J15" s="5" t="s">
        <v>421</v>
      </c>
      <c r="K15" s="5" t="s">
        <v>1069</v>
      </c>
      <c r="L15" s="5" t="s">
        <v>1076</v>
      </c>
      <c r="M15" s="5" t="s">
        <v>669</v>
      </c>
      <c r="N15" s="19" t="s">
        <v>265</v>
      </c>
      <c r="O15" s="19" t="s">
        <v>1156</v>
      </c>
      <c r="P15" s="4" t="s">
        <v>1086</v>
      </c>
      <c r="Q15" s="4" t="s">
        <v>1190</v>
      </c>
      <c r="R15" s="4" t="s">
        <v>1139</v>
      </c>
      <c r="S15" s="4" t="s">
        <v>1154</v>
      </c>
      <c r="T15" s="4" t="s">
        <v>1138</v>
      </c>
      <c r="U15" s="4" t="s">
        <v>1078</v>
      </c>
      <c r="V15" s="78" t="s">
        <v>1192</v>
      </c>
      <c r="W15" s="4" t="s">
        <v>1186</v>
      </c>
      <c r="Z15" s="9" t="s">
        <v>1123</v>
      </c>
    </row>
    <row r="16" spans="2:26" x14ac:dyDescent="0.2">
      <c r="B16" s="3">
        <v>1</v>
      </c>
      <c r="C16" s="3" t="s">
        <v>99</v>
      </c>
      <c r="D16" s="57" t="s">
        <v>100</v>
      </c>
      <c r="E16" s="3" t="s">
        <v>604</v>
      </c>
      <c r="F16" s="3"/>
      <c r="G16" s="3"/>
      <c r="H16" s="24" t="s">
        <v>100</v>
      </c>
      <c r="I16" s="8" t="s">
        <v>936</v>
      </c>
      <c r="J16" s="8" t="s">
        <v>396</v>
      </c>
      <c r="K16" s="8"/>
      <c r="L16" s="8" t="s">
        <v>396</v>
      </c>
      <c r="M16" s="8"/>
      <c r="N16" s="52"/>
      <c r="O16" s="8"/>
      <c r="P16" s="53" t="s">
        <v>1087</v>
      </c>
      <c r="Q16" s="53"/>
      <c r="R16" s="10" t="s">
        <v>1109</v>
      </c>
      <c r="S16" s="10" t="s">
        <v>1109</v>
      </c>
      <c r="T16" s="10"/>
      <c r="U16" s="10"/>
      <c r="V16" s="10" t="s">
        <v>1191</v>
      </c>
      <c r="W16" s="10"/>
    </row>
    <row r="17" spans="2:26" x14ac:dyDescent="0.2">
      <c r="B17" s="3">
        <v>2</v>
      </c>
      <c r="C17" s="3" t="s">
        <v>99</v>
      </c>
      <c r="D17" s="57" t="s">
        <v>101</v>
      </c>
      <c r="E17" s="3" t="s">
        <v>605</v>
      </c>
      <c r="F17" s="3"/>
      <c r="G17" s="3"/>
      <c r="H17" s="24" t="s">
        <v>101</v>
      </c>
      <c r="I17" s="8" t="s">
        <v>936</v>
      </c>
      <c r="J17" s="8" t="s">
        <v>396</v>
      </c>
      <c r="K17" s="8"/>
      <c r="L17" s="8" t="s">
        <v>396</v>
      </c>
      <c r="M17" s="8"/>
      <c r="N17" s="52"/>
      <c r="O17" s="8"/>
      <c r="P17" s="10" t="s">
        <v>1109</v>
      </c>
      <c r="Q17" s="10"/>
      <c r="R17" s="10" t="s">
        <v>1109</v>
      </c>
      <c r="S17" s="10" t="s">
        <v>1109</v>
      </c>
      <c r="T17" s="10"/>
      <c r="U17" s="10"/>
      <c r="V17" s="10" t="s">
        <v>1191</v>
      </c>
      <c r="W17" s="10"/>
    </row>
    <row r="18" spans="2:26" x14ac:dyDescent="0.25">
      <c r="B18" s="3">
        <v>3</v>
      </c>
      <c r="C18" s="3" t="s">
        <v>99</v>
      </c>
      <c r="D18" s="57" t="s">
        <v>1201</v>
      </c>
      <c r="E18" s="3" t="s">
        <v>1202</v>
      </c>
      <c r="F18" s="3"/>
      <c r="G18" s="3"/>
      <c r="H18" s="57" t="s">
        <v>1201</v>
      </c>
      <c r="I18" s="8" t="s">
        <v>936</v>
      </c>
      <c r="J18" s="8"/>
      <c r="K18" s="8"/>
      <c r="L18" s="8" t="s">
        <v>396</v>
      </c>
      <c r="M18" s="8"/>
      <c r="N18" s="52"/>
      <c r="O18" s="8"/>
      <c r="P18" s="10" t="s">
        <v>1109</v>
      </c>
      <c r="Q18" s="10"/>
      <c r="R18" s="10" t="s">
        <v>1109</v>
      </c>
      <c r="S18" s="10" t="s">
        <v>1109</v>
      </c>
      <c r="T18" s="10"/>
      <c r="U18" s="10"/>
      <c r="V18" s="10" t="s">
        <v>1191</v>
      </c>
      <c r="W18" s="10"/>
    </row>
    <row r="19" spans="2:26" x14ac:dyDescent="0.25">
      <c r="B19" s="3">
        <v>4</v>
      </c>
      <c r="C19" s="3" t="s">
        <v>99</v>
      </c>
      <c r="D19" s="57" t="s">
        <v>1203</v>
      </c>
      <c r="E19" s="3" t="s">
        <v>1204</v>
      </c>
      <c r="F19" s="3"/>
      <c r="G19" s="3"/>
      <c r="H19" s="57" t="s">
        <v>1203</v>
      </c>
      <c r="I19" s="8" t="s">
        <v>936</v>
      </c>
      <c r="J19" s="8"/>
      <c r="K19" s="8"/>
      <c r="L19" s="8" t="s">
        <v>396</v>
      </c>
      <c r="M19" s="8"/>
      <c r="N19" s="52"/>
      <c r="O19" s="8"/>
      <c r="P19" s="10" t="s">
        <v>1109</v>
      </c>
      <c r="Q19" s="10"/>
      <c r="R19" s="10" t="s">
        <v>1109</v>
      </c>
      <c r="S19" s="10" t="s">
        <v>1109</v>
      </c>
      <c r="T19" s="10"/>
      <c r="U19" s="10"/>
      <c r="V19" s="10" t="s">
        <v>1191</v>
      </c>
      <c r="W19" s="10"/>
    </row>
    <row r="20" spans="2:26" x14ac:dyDescent="0.25">
      <c r="B20" s="3">
        <v>1</v>
      </c>
      <c r="C20" s="3" t="s">
        <v>102</v>
      </c>
      <c r="D20" s="88" t="s">
        <v>103</v>
      </c>
      <c r="E20" s="3" t="s">
        <v>545</v>
      </c>
      <c r="F20" s="3"/>
      <c r="G20" s="3"/>
      <c r="H20" s="69" t="s">
        <v>103</v>
      </c>
      <c r="I20" s="8" t="s">
        <v>936</v>
      </c>
      <c r="J20" s="8" t="s">
        <v>396</v>
      </c>
      <c r="K20" s="8"/>
      <c r="L20" s="8" t="s">
        <v>396</v>
      </c>
      <c r="M20" s="8"/>
      <c r="N20" s="50"/>
      <c r="O20" s="8"/>
      <c r="P20" s="10" t="s">
        <v>1090</v>
      </c>
      <c r="Q20" s="10" t="s">
        <v>1092</v>
      </c>
      <c r="R20" s="10" t="s">
        <v>1109</v>
      </c>
      <c r="S20" s="10" t="s">
        <v>1109</v>
      </c>
      <c r="T20" s="10"/>
      <c r="U20" s="10"/>
      <c r="V20" s="10" t="s">
        <v>1191</v>
      </c>
      <c r="W20" s="10"/>
    </row>
    <row r="21" spans="2:26" x14ac:dyDescent="0.25">
      <c r="B21" s="3">
        <v>5</v>
      </c>
      <c r="C21" s="3" t="s">
        <v>102</v>
      </c>
      <c r="D21" s="88" t="s">
        <v>104</v>
      </c>
      <c r="E21" s="3" t="s">
        <v>1075</v>
      </c>
      <c r="F21" s="3"/>
      <c r="G21" s="3"/>
      <c r="H21" s="69" t="s">
        <v>104</v>
      </c>
      <c r="I21" s="8" t="s">
        <v>936</v>
      </c>
      <c r="J21" s="8" t="s">
        <v>396</v>
      </c>
      <c r="K21" s="8"/>
      <c r="L21" s="8" t="s">
        <v>396</v>
      </c>
      <c r="M21" s="8"/>
      <c r="N21" s="51"/>
      <c r="O21" s="8"/>
      <c r="P21" s="53" t="s">
        <v>1088</v>
      </c>
      <c r="Q21" s="53"/>
      <c r="R21" s="10" t="s">
        <v>1109</v>
      </c>
      <c r="S21" s="10" t="s">
        <v>1109</v>
      </c>
      <c r="T21" s="10"/>
      <c r="U21" s="10"/>
      <c r="V21" s="10" t="s">
        <v>262</v>
      </c>
      <c r="W21" s="75" t="s">
        <v>396</v>
      </c>
      <c r="Z21" s="9" t="s">
        <v>1142</v>
      </c>
    </row>
    <row r="22" spans="2:26" x14ac:dyDescent="0.25">
      <c r="B22" s="3">
        <v>5</v>
      </c>
      <c r="C22" s="3" t="s">
        <v>102</v>
      </c>
      <c r="D22" s="88" t="s">
        <v>1195</v>
      </c>
      <c r="E22" s="3" t="s">
        <v>1200</v>
      </c>
      <c r="F22" s="3"/>
      <c r="G22" s="3"/>
      <c r="H22" s="69"/>
      <c r="I22" s="8" t="s">
        <v>936</v>
      </c>
      <c r="J22" s="8"/>
      <c r="K22" s="8"/>
      <c r="L22" s="8" t="s">
        <v>396</v>
      </c>
      <c r="M22" s="8"/>
      <c r="N22" s="51"/>
      <c r="O22" s="8"/>
      <c r="P22" s="53"/>
      <c r="Q22" s="53"/>
      <c r="R22" s="10" t="s">
        <v>1109</v>
      </c>
      <c r="S22" s="10" t="s">
        <v>1109</v>
      </c>
      <c r="T22" s="10"/>
      <c r="U22" s="10"/>
      <c r="V22" s="10" t="s">
        <v>262</v>
      </c>
      <c r="W22" s="75" t="s">
        <v>396</v>
      </c>
      <c r="Z22" s="9" t="s">
        <v>1142</v>
      </c>
    </row>
    <row r="23" spans="2:26" x14ac:dyDescent="0.25">
      <c r="B23" s="3">
        <v>12</v>
      </c>
      <c r="C23" s="3" t="s">
        <v>102</v>
      </c>
      <c r="D23" s="88" t="s">
        <v>105</v>
      </c>
      <c r="E23" s="3" t="s">
        <v>547</v>
      </c>
      <c r="F23" s="3" t="s">
        <v>396</v>
      </c>
      <c r="G23" s="3"/>
      <c r="H23" s="69" t="s">
        <v>105</v>
      </c>
      <c r="I23" s="8" t="s">
        <v>936</v>
      </c>
      <c r="J23" s="8" t="s">
        <v>396</v>
      </c>
      <c r="K23" s="8"/>
      <c r="L23" s="8" t="s">
        <v>396</v>
      </c>
      <c r="M23" s="8"/>
      <c r="N23" s="51"/>
      <c r="O23" s="8"/>
      <c r="P23" s="10" t="s">
        <v>1095</v>
      </c>
      <c r="Q23" s="10" t="s">
        <v>1092</v>
      </c>
      <c r="R23" s="10" t="s">
        <v>1092</v>
      </c>
      <c r="S23" s="10" t="s">
        <v>1092</v>
      </c>
      <c r="T23" s="10"/>
      <c r="U23" s="10"/>
      <c r="V23" s="10" t="s">
        <v>262</v>
      </c>
      <c r="W23" s="75" t="s">
        <v>396</v>
      </c>
    </row>
    <row r="24" spans="2:26" ht="38.25" x14ac:dyDescent="0.25">
      <c r="B24" s="3">
        <v>13</v>
      </c>
      <c r="C24" s="3" t="s">
        <v>102</v>
      </c>
      <c r="D24" s="88" t="s">
        <v>106</v>
      </c>
      <c r="E24" s="3" t="s">
        <v>549</v>
      </c>
      <c r="F24" s="3"/>
      <c r="G24" s="3" t="s">
        <v>396</v>
      </c>
      <c r="H24" s="69" t="s">
        <v>106</v>
      </c>
      <c r="I24" s="8" t="s">
        <v>936</v>
      </c>
      <c r="J24" s="8" t="s">
        <v>396</v>
      </c>
      <c r="K24" s="8"/>
      <c r="L24" s="8"/>
      <c r="M24" s="8"/>
      <c r="N24" s="50"/>
      <c r="O24" s="8"/>
      <c r="P24" s="10" t="s">
        <v>1095</v>
      </c>
      <c r="Q24" s="10" t="s">
        <v>1092</v>
      </c>
      <c r="R24" s="10" t="s">
        <v>1092</v>
      </c>
      <c r="S24" s="10" t="s">
        <v>1092</v>
      </c>
      <c r="T24" s="10"/>
      <c r="U24" s="10"/>
      <c r="V24" s="10" t="s">
        <v>262</v>
      </c>
      <c r="W24" s="75" t="s">
        <v>396</v>
      </c>
      <c r="Z24" s="61" t="s">
        <v>1164</v>
      </c>
    </row>
    <row r="25" spans="2:26" ht="11.25" customHeight="1" x14ac:dyDescent="0.25">
      <c r="B25" s="3">
        <v>14</v>
      </c>
      <c r="C25" s="3" t="s">
        <v>102</v>
      </c>
      <c r="D25" s="88" t="s">
        <v>108</v>
      </c>
      <c r="E25" s="3" t="s">
        <v>550</v>
      </c>
      <c r="F25" s="3" t="s">
        <v>396</v>
      </c>
      <c r="G25" s="3"/>
      <c r="H25" s="69" t="s">
        <v>108</v>
      </c>
      <c r="I25" s="8" t="s">
        <v>936</v>
      </c>
      <c r="J25" s="8" t="s">
        <v>396</v>
      </c>
      <c r="K25" s="8"/>
      <c r="L25" s="8" t="s">
        <v>396</v>
      </c>
      <c r="M25" s="8"/>
      <c r="N25" s="59"/>
      <c r="O25" s="65"/>
      <c r="P25" s="10" t="s">
        <v>1100</v>
      </c>
      <c r="Q25" s="10" t="s">
        <v>1092</v>
      </c>
      <c r="R25" s="10" t="s">
        <v>1092</v>
      </c>
      <c r="S25" s="10" t="s">
        <v>1092</v>
      </c>
      <c r="T25" s="10"/>
      <c r="U25" s="10"/>
      <c r="V25" s="10" t="s">
        <v>262</v>
      </c>
      <c r="W25" s="75" t="s">
        <v>396</v>
      </c>
    </row>
    <row r="26" spans="2:26" x14ac:dyDescent="0.25">
      <c r="B26" s="3">
        <v>15</v>
      </c>
      <c r="C26" s="3" t="s">
        <v>102</v>
      </c>
      <c r="D26" s="88" t="s">
        <v>109</v>
      </c>
      <c r="E26" s="3" t="s">
        <v>552</v>
      </c>
      <c r="F26" s="3"/>
      <c r="G26" s="3" t="s">
        <v>396</v>
      </c>
      <c r="H26" s="69" t="s">
        <v>109</v>
      </c>
      <c r="I26" s="8" t="s">
        <v>936</v>
      </c>
      <c r="J26" s="8" t="s">
        <v>396</v>
      </c>
      <c r="K26" s="8"/>
      <c r="L26" s="8" t="s">
        <v>396</v>
      </c>
      <c r="M26" s="8"/>
      <c r="N26" s="10"/>
      <c r="O26" s="8"/>
      <c r="P26" s="10" t="s">
        <v>1095</v>
      </c>
      <c r="Q26" s="10" t="s">
        <v>1092</v>
      </c>
      <c r="R26" s="10" t="s">
        <v>1092</v>
      </c>
      <c r="S26" s="10" t="s">
        <v>1092</v>
      </c>
      <c r="T26" s="10"/>
      <c r="U26" s="10"/>
      <c r="V26" s="10" t="s">
        <v>262</v>
      </c>
      <c r="W26" s="75" t="s">
        <v>396</v>
      </c>
    </row>
    <row r="27" spans="2:26" x14ac:dyDescent="0.25">
      <c r="B27" s="3">
        <v>16</v>
      </c>
      <c r="C27" s="3" t="s">
        <v>102</v>
      </c>
      <c r="D27" s="88" t="s">
        <v>107</v>
      </c>
      <c r="E27" s="3" t="s">
        <v>554</v>
      </c>
      <c r="F27" s="3"/>
      <c r="G27" s="3"/>
      <c r="H27" s="69" t="s">
        <v>107</v>
      </c>
      <c r="I27" s="8" t="s">
        <v>936</v>
      </c>
      <c r="J27" s="8" t="s">
        <v>396</v>
      </c>
      <c r="K27" s="8"/>
      <c r="L27" s="8" t="s">
        <v>396</v>
      </c>
      <c r="M27" s="8"/>
      <c r="N27" s="10"/>
      <c r="O27" s="8"/>
      <c r="P27" s="10" t="s">
        <v>1100</v>
      </c>
      <c r="Q27" s="10" t="s">
        <v>1092</v>
      </c>
      <c r="R27" s="10" t="s">
        <v>1092</v>
      </c>
      <c r="S27" s="10" t="s">
        <v>1092</v>
      </c>
      <c r="T27" s="10"/>
      <c r="U27" s="10"/>
      <c r="V27" s="10" t="s">
        <v>262</v>
      </c>
      <c r="W27" s="75" t="s">
        <v>396</v>
      </c>
    </row>
    <row r="28" spans="2:26" ht="25.5" x14ac:dyDescent="0.25">
      <c r="B28" s="3">
        <v>17</v>
      </c>
      <c r="C28" s="3" t="s">
        <v>102</v>
      </c>
      <c r="D28" s="92" t="s">
        <v>113</v>
      </c>
      <c r="E28" s="93" t="s">
        <v>555</v>
      </c>
      <c r="F28" s="3" t="s">
        <v>396</v>
      </c>
      <c r="G28" s="3"/>
      <c r="H28" s="69" t="s">
        <v>113</v>
      </c>
      <c r="I28" s="8" t="s">
        <v>936</v>
      </c>
      <c r="J28" s="8" t="s">
        <v>396</v>
      </c>
      <c r="K28" s="8"/>
      <c r="L28" s="8" t="s">
        <v>396</v>
      </c>
      <c r="M28" s="8"/>
      <c r="N28" s="10"/>
      <c r="O28" s="8"/>
      <c r="P28" s="10" t="s">
        <v>1099</v>
      </c>
      <c r="Q28" s="10" t="s">
        <v>1092</v>
      </c>
      <c r="R28" s="10" t="s">
        <v>1109</v>
      </c>
      <c r="S28" s="10" t="s">
        <v>1092</v>
      </c>
      <c r="T28" s="62" t="s">
        <v>1092</v>
      </c>
      <c r="U28" s="10"/>
      <c r="V28" s="10" t="s">
        <v>262</v>
      </c>
      <c r="W28" s="75" t="s">
        <v>396</v>
      </c>
      <c r="Z28" s="61" t="s">
        <v>1137</v>
      </c>
    </row>
    <row r="29" spans="2:26" x14ac:dyDescent="0.25">
      <c r="B29" s="3">
        <v>18</v>
      </c>
      <c r="C29" s="3" t="s">
        <v>102</v>
      </c>
      <c r="D29" s="92" t="s">
        <v>114</v>
      </c>
      <c r="E29" s="93" t="s">
        <v>556</v>
      </c>
      <c r="F29" s="3"/>
      <c r="G29" s="3"/>
      <c r="H29" s="69" t="s">
        <v>114</v>
      </c>
      <c r="I29" s="8" t="s">
        <v>936</v>
      </c>
      <c r="J29" s="8" t="s">
        <v>396</v>
      </c>
      <c r="K29" s="8"/>
      <c r="L29" s="8" t="s">
        <v>396</v>
      </c>
      <c r="M29" s="8"/>
      <c r="N29" s="10"/>
      <c r="O29" s="8"/>
      <c r="P29" s="10" t="s">
        <v>1099</v>
      </c>
      <c r="Q29" s="10" t="s">
        <v>1092</v>
      </c>
      <c r="R29" s="10" t="s">
        <v>1109</v>
      </c>
      <c r="S29" s="10" t="s">
        <v>1092</v>
      </c>
      <c r="T29" s="62" t="s">
        <v>1092</v>
      </c>
      <c r="U29" s="10"/>
      <c r="V29" s="10" t="s">
        <v>262</v>
      </c>
      <c r="W29" s="75" t="s">
        <v>396</v>
      </c>
      <c r="Z29" s="9" t="s">
        <v>1136</v>
      </c>
    </row>
    <row r="30" spans="2:26" x14ac:dyDescent="0.25">
      <c r="B30" s="3">
        <v>19</v>
      </c>
      <c r="C30" s="3" t="s">
        <v>102</v>
      </c>
      <c r="D30" s="92" t="s">
        <v>115</v>
      </c>
      <c r="E30" s="93" t="s">
        <v>557</v>
      </c>
      <c r="F30" s="3"/>
      <c r="G30" s="3" t="s">
        <v>396</v>
      </c>
      <c r="H30" s="69" t="s">
        <v>115</v>
      </c>
      <c r="I30" s="8" t="s">
        <v>936</v>
      </c>
      <c r="J30" s="8" t="s">
        <v>396</v>
      </c>
      <c r="K30" s="8"/>
      <c r="L30" s="8" t="s">
        <v>396</v>
      </c>
      <c r="M30" s="8"/>
      <c r="N30" s="10"/>
      <c r="O30" s="8"/>
      <c r="P30" s="10" t="s">
        <v>1099</v>
      </c>
      <c r="Q30" s="10" t="s">
        <v>1092</v>
      </c>
      <c r="R30" s="10" t="s">
        <v>1109</v>
      </c>
      <c r="S30" s="10" t="s">
        <v>1092</v>
      </c>
      <c r="T30" s="62" t="s">
        <v>1092</v>
      </c>
      <c r="U30" s="10"/>
      <c r="V30" s="10" t="s">
        <v>262</v>
      </c>
      <c r="W30" s="75" t="s">
        <v>396</v>
      </c>
      <c r="Z30" s="9" t="s">
        <v>1136</v>
      </c>
    </row>
    <row r="31" spans="2:26" x14ac:dyDescent="0.25">
      <c r="B31" s="3">
        <v>23</v>
      </c>
      <c r="C31" s="3" t="s">
        <v>102</v>
      </c>
      <c r="D31" s="88" t="s">
        <v>124</v>
      </c>
      <c r="E31" s="3" t="s">
        <v>558</v>
      </c>
      <c r="F31" s="3"/>
      <c r="G31" s="3"/>
      <c r="H31" s="69" t="s">
        <v>124</v>
      </c>
      <c r="I31" s="8" t="s">
        <v>936</v>
      </c>
      <c r="J31" s="8" t="s">
        <v>396</v>
      </c>
      <c r="K31" s="8"/>
      <c r="L31" s="8" t="s">
        <v>396</v>
      </c>
      <c r="M31" s="8"/>
      <c r="N31" s="50"/>
      <c r="O31" s="8"/>
      <c r="P31" s="10" t="s">
        <v>1109</v>
      </c>
      <c r="Q31" s="10"/>
      <c r="R31" s="10" t="s">
        <v>1109</v>
      </c>
      <c r="S31" s="10" t="s">
        <v>1109</v>
      </c>
      <c r="T31" s="10"/>
      <c r="U31" s="10"/>
      <c r="V31" s="10" t="s">
        <v>936</v>
      </c>
      <c r="W31" s="75" t="s">
        <v>396</v>
      </c>
      <c r="X31" s="9" t="s">
        <v>1188</v>
      </c>
    </row>
    <row r="32" spans="2:26" x14ac:dyDescent="0.25">
      <c r="B32" s="3">
        <v>26</v>
      </c>
      <c r="C32" s="3" t="s">
        <v>102</v>
      </c>
      <c r="D32" s="88" t="s">
        <v>116</v>
      </c>
      <c r="E32" s="3" t="s">
        <v>561</v>
      </c>
      <c r="F32" s="3"/>
      <c r="G32" s="3"/>
      <c r="H32" s="69" t="s">
        <v>116</v>
      </c>
      <c r="I32" s="8" t="s">
        <v>936</v>
      </c>
      <c r="J32" s="8" t="s">
        <v>396</v>
      </c>
      <c r="K32" s="8"/>
      <c r="L32" s="8"/>
      <c r="M32" s="8"/>
      <c r="N32" s="50"/>
      <c r="O32" s="8"/>
      <c r="P32" s="10" t="s">
        <v>1091</v>
      </c>
      <c r="Q32" s="10" t="s">
        <v>1092</v>
      </c>
      <c r="R32" s="10" t="s">
        <v>1109</v>
      </c>
      <c r="S32" s="10" t="s">
        <v>1092</v>
      </c>
      <c r="T32" s="10"/>
      <c r="U32" s="10"/>
      <c r="V32" s="10" t="s">
        <v>262</v>
      </c>
      <c r="W32" s="75" t="s">
        <v>396</v>
      </c>
      <c r="Z32" s="9" t="s">
        <v>1165</v>
      </c>
    </row>
    <row r="33" spans="2:26" x14ac:dyDescent="0.25">
      <c r="B33" s="3">
        <v>27</v>
      </c>
      <c r="C33" s="3" t="s">
        <v>102</v>
      </c>
      <c r="D33" s="88" t="s">
        <v>117</v>
      </c>
      <c r="E33" s="3" t="s">
        <v>606</v>
      </c>
      <c r="F33" s="3"/>
      <c r="G33" s="3"/>
      <c r="H33" s="69" t="s">
        <v>117</v>
      </c>
      <c r="I33" s="8" t="s">
        <v>936</v>
      </c>
      <c r="J33" s="8" t="s">
        <v>396</v>
      </c>
      <c r="K33" s="8"/>
      <c r="L33" s="8" t="s">
        <v>396</v>
      </c>
      <c r="M33" s="8"/>
      <c r="N33" s="10"/>
      <c r="O33" s="8"/>
      <c r="P33" s="10" t="s">
        <v>1095</v>
      </c>
      <c r="Q33" s="10" t="s">
        <v>1092</v>
      </c>
      <c r="R33" s="10" t="s">
        <v>1092</v>
      </c>
      <c r="S33" s="10" t="s">
        <v>1092</v>
      </c>
      <c r="T33" s="10" t="s">
        <v>1092</v>
      </c>
      <c r="U33" s="10"/>
      <c r="V33" s="10" t="s">
        <v>262</v>
      </c>
      <c r="W33" s="75" t="s">
        <v>396</v>
      </c>
      <c r="Z33" s="9" t="s">
        <v>1136</v>
      </c>
    </row>
    <row r="34" spans="2:26" x14ac:dyDescent="0.25">
      <c r="B34" s="3">
        <v>28</v>
      </c>
      <c r="C34" s="3" t="s">
        <v>102</v>
      </c>
      <c r="D34" s="88" t="s">
        <v>118</v>
      </c>
      <c r="E34" s="3" t="s">
        <v>608</v>
      </c>
      <c r="F34" s="3"/>
      <c r="G34" s="3"/>
      <c r="H34" s="69" t="s">
        <v>118</v>
      </c>
      <c r="I34" s="8" t="s">
        <v>936</v>
      </c>
      <c r="J34" s="8" t="s">
        <v>396</v>
      </c>
      <c r="K34" s="8"/>
      <c r="L34" s="8" t="s">
        <v>396</v>
      </c>
      <c r="M34" s="8"/>
      <c r="N34" s="10"/>
      <c r="O34" s="8"/>
      <c r="P34" s="10" t="s">
        <v>1095</v>
      </c>
      <c r="Q34" s="10" t="s">
        <v>1092</v>
      </c>
      <c r="R34" s="10" t="s">
        <v>1092</v>
      </c>
      <c r="S34" s="10" t="s">
        <v>1092</v>
      </c>
      <c r="T34" s="10" t="s">
        <v>1092</v>
      </c>
      <c r="U34" s="10"/>
      <c r="V34" s="10" t="s">
        <v>262</v>
      </c>
      <c r="W34" s="75" t="s">
        <v>396</v>
      </c>
      <c r="Z34" s="9" t="s">
        <v>1136</v>
      </c>
    </row>
    <row r="35" spans="2:26" x14ac:dyDescent="0.25">
      <c r="B35" s="3">
        <v>29</v>
      </c>
      <c r="C35" s="3" t="s">
        <v>102</v>
      </c>
      <c r="D35" s="88" t="s">
        <v>119</v>
      </c>
      <c r="E35" s="3" t="s">
        <v>571</v>
      </c>
      <c r="F35" s="3" t="s">
        <v>396</v>
      </c>
      <c r="G35" s="3"/>
      <c r="H35" s="69" t="s">
        <v>119</v>
      </c>
      <c r="I35" s="8" t="s">
        <v>936</v>
      </c>
      <c r="J35" s="8" t="s">
        <v>396</v>
      </c>
      <c r="K35" s="8"/>
      <c r="L35" s="8" t="s">
        <v>396</v>
      </c>
      <c r="M35" s="8"/>
      <c r="N35" s="10"/>
      <c r="O35" s="8"/>
      <c r="P35" s="10" t="s">
        <v>1095</v>
      </c>
      <c r="Q35" s="10" t="s">
        <v>1092</v>
      </c>
      <c r="R35" s="10" t="s">
        <v>1092</v>
      </c>
      <c r="S35" s="10" t="s">
        <v>1092</v>
      </c>
      <c r="T35" s="10"/>
      <c r="U35" s="10"/>
      <c r="V35" s="10" t="s">
        <v>262</v>
      </c>
      <c r="W35" s="75" t="s">
        <v>396</v>
      </c>
    </row>
    <row r="36" spans="2:26" x14ac:dyDescent="0.25">
      <c r="B36" s="3">
        <v>30</v>
      </c>
      <c r="C36" s="3" t="s">
        <v>102</v>
      </c>
      <c r="D36" s="88" t="s">
        <v>120</v>
      </c>
      <c r="E36" s="3" t="s">
        <v>575</v>
      </c>
      <c r="F36" s="3"/>
      <c r="G36" s="3"/>
      <c r="H36" s="69" t="s">
        <v>120</v>
      </c>
      <c r="I36" s="8" t="s">
        <v>936</v>
      </c>
      <c r="J36" s="8" t="s">
        <v>396</v>
      </c>
      <c r="K36" s="8"/>
      <c r="L36" s="8" t="s">
        <v>396</v>
      </c>
      <c r="M36" s="8"/>
      <c r="N36" s="10"/>
      <c r="O36" s="8"/>
      <c r="P36" s="10" t="s">
        <v>1095</v>
      </c>
      <c r="Q36" s="10" t="s">
        <v>1092</v>
      </c>
      <c r="R36" s="10" t="s">
        <v>1092</v>
      </c>
      <c r="S36" s="10" t="s">
        <v>1092</v>
      </c>
      <c r="T36" s="10"/>
      <c r="U36" s="10"/>
      <c r="V36" s="10" t="s">
        <v>262</v>
      </c>
      <c r="W36" s="75" t="s">
        <v>396</v>
      </c>
    </row>
    <row r="37" spans="2:26" x14ac:dyDescent="0.25">
      <c r="B37" s="3">
        <v>31</v>
      </c>
      <c r="C37" s="3" t="s">
        <v>102</v>
      </c>
      <c r="D37" s="88" t="s">
        <v>110</v>
      </c>
      <c r="E37" s="3" t="s">
        <v>572</v>
      </c>
      <c r="F37" s="3"/>
      <c r="G37" s="3"/>
      <c r="H37" s="69" t="s">
        <v>110</v>
      </c>
      <c r="I37" s="8" t="s">
        <v>936</v>
      </c>
      <c r="J37" s="8" t="s">
        <v>396</v>
      </c>
      <c r="K37" s="8"/>
      <c r="L37" s="8" t="s">
        <v>396</v>
      </c>
      <c r="M37" s="8"/>
      <c r="N37" s="50"/>
      <c r="O37" s="8"/>
      <c r="P37" s="10" t="s">
        <v>1109</v>
      </c>
      <c r="Q37" s="10"/>
      <c r="R37" s="10" t="s">
        <v>1109</v>
      </c>
      <c r="S37" s="10" t="s">
        <v>1109</v>
      </c>
      <c r="T37" s="10"/>
      <c r="U37" s="10"/>
      <c r="V37" s="10" t="s">
        <v>262</v>
      </c>
      <c r="W37" s="75" t="s">
        <v>396</v>
      </c>
    </row>
    <row r="38" spans="2:26" x14ac:dyDescent="0.25">
      <c r="B38" s="3">
        <v>32</v>
      </c>
      <c r="C38" s="3" t="s">
        <v>102</v>
      </c>
      <c r="D38" s="88" t="s">
        <v>111</v>
      </c>
      <c r="E38" s="3" t="s">
        <v>574</v>
      </c>
      <c r="F38" s="3"/>
      <c r="G38" s="3"/>
      <c r="H38" s="69" t="s">
        <v>111</v>
      </c>
      <c r="I38" s="8" t="s">
        <v>936</v>
      </c>
      <c r="J38" s="8" t="s">
        <v>396</v>
      </c>
      <c r="K38" s="8"/>
      <c r="L38" s="8" t="s">
        <v>396</v>
      </c>
      <c r="M38" s="8"/>
      <c r="N38" s="10"/>
      <c r="O38" s="8"/>
      <c r="P38" s="10" t="s">
        <v>1095</v>
      </c>
      <c r="Q38" s="10" t="s">
        <v>1092</v>
      </c>
      <c r="R38" s="10" t="s">
        <v>1092</v>
      </c>
      <c r="S38" s="10" t="s">
        <v>1092</v>
      </c>
      <c r="T38" s="10"/>
      <c r="U38" s="10"/>
      <c r="V38" s="10" t="s">
        <v>262</v>
      </c>
      <c r="W38" s="75" t="s">
        <v>396</v>
      </c>
      <c r="Z38" s="9" t="s">
        <v>1147</v>
      </c>
    </row>
    <row r="39" spans="2:26" x14ac:dyDescent="0.25">
      <c r="B39" s="3">
        <v>33</v>
      </c>
      <c r="C39" s="3" t="s">
        <v>102</v>
      </c>
      <c r="D39" s="88" t="s">
        <v>112</v>
      </c>
      <c r="E39" s="3" t="s">
        <v>573</v>
      </c>
      <c r="F39" s="3"/>
      <c r="G39" s="3"/>
      <c r="H39" s="69" t="s">
        <v>112</v>
      </c>
      <c r="I39" s="8" t="s">
        <v>936</v>
      </c>
      <c r="J39" s="8" t="s">
        <v>396</v>
      </c>
      <c r="K39" s="8"/>
      <c r="L39" s="8" t="s">
        <v>396</v>
      </c>
      <c r="M39" s="8"/>
      <c r="N39" s="50"/>
      <c r="O39" s="8"/>
      <c r="P39" s="10" t="s">
        <v>1109</v>
      </c>
      <c r="Q39" s="10"/>
      <c r="R39" s="10" t="s">
        <v>1109</v>
      </c>
      <c r="S39" s="10" t="s">
        <v>1109</v>
      </c>
      <c r="T39" s="10"/>
      <c r="U39" s="10"/>
      <c r="V39" s="10" t="s">
        <v>262</v>
      </c>
      <c r="W39" s="75" t="s">
        <v>396</v>
      </c>
    </row>
    <row r="40" spans="2:26" x14ac:dyDescent="0.25">
      <c r="B40" s="3">
        <v>34</v>
      </c>
      <c r="C40" s="3" t="s">
        <v>102</v>
      </c>
      <c r="D40" s="88" t="s">
        <v>122</v>
      </c>
      <c r="E40" s="3" t="s">
        <v>576</v>
      </c>
      <c r="F40" s="3"/>
      <c r="G40" s="3"/>
      <c r="H40" s="69" t="s">
        <v>122</v>
      </c>
      <c r="I40" s="8" t="s">
        <v>936</v>
      </c>
      <c r="J40" s="8" t="s">
        <v>396</v>
      </c>
      <c r="K40" s="8"/>
      <c r="L40" s="8" t="s">
        <v>396</v>
      </c>
      <c r="M40" s="8"/>
      <c r="N40" s="10"/>
      <c r="O40" s="8"/>
      <c r="P40" s="10" t="s">
        <v>1099</v>
      </c>
      <c r="Q40" s="10" t="s">
        <v>1092</v>
      </c>
      <c r="R40" s="10" t="s">
        <v>1109</v>
      </c>
      <c r="S40" s="10" t="s">
        <v>1092</v>
      </c>
      <c r="T40" s="10"/>
      <c r="U40" s="10"/>
      <c r="V40" s="10" t="s">
        <v>262</v>
      </c>
      <c r="W40" s="75" t="s">
        <v>396</v>
      </c>
    </row>
    <row r="41" spans="2:26" x14ac:dyDescent="0.25">
      <c r="B41" s="3">
        <v>35</v>
      </c>
      <c r="C41" s="3" t="s">
        <v>102</v>
      </c>
      <c r="D41" s="88" t="s">
        <v>123</v>
      </c>
      <c r="E41" s="3" t="s">
        <v>577</v>
      </c>
      <c r="F41" s="3"/>
      <c r="G41" s="3" t="s">
        <v>396</v>
      </c>
      <c r="H41" s="69" t="s">
        <v>123</v>
      </c>
      <c r="I41" s="8" t="s">
        <v>936</v>
      </c>
      <c r="J41" s="8" t="s">
        <v>396</v>
      </c>
      <c r="K41" s="8"/>
      <c r="L41" s="8" t="s">
        <v>396</v>
      </c>
      <c r="M41" s="8"/>
      <c r="N41" s="10"/>
      <c r="O41" s="8"/>
      <c r="P41" s="10" t="s">
        <v>1099</v>
      </c>
      <c r="Q41" s="10" t="s">
        <v>1092</v>
      </c>
      <c r="R41" s="10" t="s">
        <v>1109</v>
      </c>
      <c r="S41" s="10" t="s">
        <v>1092</v>
      </c>
      <c r="T41" s="10"/>
      <c r="U41" s="10"/>
      <c r="V41" s="10" t="s">
        <v>262</v>
      </c>
      <c r="W41" s="75" t="s">
        <v>396</v>
      </c>
      <c r="Z41" s="9" t="s">
        <v>1128</v>
      </c>
    </row>
    <row r="42" spans="2:26" x14ac:dyDescent="0.25">
      <c r="B42" s="3">
        <v>36</v>
      </c>
      <c r="C42" s="3" t="s">
        <v>102</v>
      </c>
      <c r="D42" s="88" t="s">
        <v>121</v>
      </c>
      <c r="E42" s="3" t="s">
        <v>578</v>
      </c>
      <c r="F42" s="3" t="s">
        <v>396</v>
      </c>
      <c r="G42" s="3"/>
      <c r="H42" s="69" t="s">
        <v>121</v>
      </c>
      <c r="I42" s="8" t="s">
        <v>936</v>
      </c>
      <c r="J42" s="8" t="s">
        <v>396</v>
      </c>
      <c r="K42" s="8"/>
      <c r="L42" s="8" t="s">
        <v>396</v>
      </c>
      <c r="M42" s="8"/>
      <c r="N42" s="10"/>
      <c r="O42" s="8"/>
      <c r="P42" s="10" t="s">
        <v>1099</v>
      </c>
      <c r="Q42" s="10" t="s">
        <v>1092</v>
      </c>
      <c r="R42" s="10" t="s">
        <v>1092</v>
      </c>
      <c r="S42" s="10" t="s">
        <v>1092</v>
      </c>
      <c r="T42" s="10"/>
      <c r="U42" s="10"/>
      <c r="V42" s="10" t="s">
        <v>262</v>
      </c>
      <c r="W42" s="75" t="s">
        <v>396</v>
      </c>
    </row>
    <row r="43" spans="2:26" x14ac:dyDescent="0.25">
      <c r="B43" s="3">
        <v>2</v>
      </c>
      <c r="C43" s="3" t="s">
        <v>102</v>
      </c>
      <c r="D43" s="88" t="s">
        <v>213</v>
      </c>
      <c r="E43" s="3" t="s">
        <v>214</v>
      </c>
      <c r="F43" s="3" t="s">
        <v>396</v>
      </c>
      <c r="G43" s="3"/>
      <c r="H43" s="10" t="s">
        <v>213</v>
      </c>
      <c r="I43" s="8" t="s">
        <v>936</v>
      </c>
      <c r="J43" s="8" t="s">
        <v>396</v>
      </c>
      <c r="K43" s="8"/>
      <c r="L43" s="8" t="s">
        <v>396</v>
      </c>
      <c r="M43" s="8"/>
      <c r="N43" s="10"/>
      <c r="O43" s="8"/>
      <c r="P43" s="10" t="s">
        <v>1095</v>
      </c>
      <c r="Q43" s="10" t="s">
        <v>1092</v>
      </c>
      <c r="R43" s="10" t="s">
        <v>1111</v>
      </c>
      <c r="S43" s="10" t="s">
        <v>1092</v>
      </c>
      <c r="T43" s="10"/>
      <c r="U43" s="10"/>
      <c r="V43" s="10" t="s">
        <v>1191</v>
      </c>
      <c r="W43" s="10"/>
    </row>
    <row r="44" spans="2:26" x14ac:dyDescent="0.25">
      <c r="B44" s="3">
        <v>3</v>
      </c>
      <c r="C44" s="3" t="s">
        <v>102</v>
      </c>
      <c r="D44" s="88" t="s">
        <v>215</v>
      </c>
      <c r="E44" s="3" t="s">
        <v>216</v>
      </c>
      <c r="F44" s="3"/>
      <c r="G44" s="3" t="s">
        <v>396</v>
      </c>
      <c r="H44" s="10" t="s">
        <v>215</v>
      </c>
      <c r="I44" s="8" t="s">
        <v>936</v>
      </c>
      <c r="J44" s="8" t="s">
        <v>396</v>
      </c>
      <c r="K44" s="8"/>
      <c r="L44" s="8" t="s">
        <v>396</v>
      </c>
      <c r="M44" s="8"/>
      <c r="N44" s="10"/>
      <c r="O44" s="8"/>
      <c r="P44" s="10" t="s">
        <v>1095</v>
      </c>
      <c r="Q44" s="10" t="s">
        <v>1092</v>
      </c>
      <c r="R44" s="10" t="s">
        <v>1092</v>
      </c>
      <c r="S44" s="10" t="s">
        <v>1092</v>
      </c>
      <c r="T44" s="10"/>
      <c r="U44" s="10"/>
      <c r="V44" s="10" t="s">
        <v>1191</v>
      </c>
      <c r="W44" s="10"/>
    </row>
    <row r="45" spans="2:26" x14ac:dyDescent="0.25">
      <c r="B45" s="86">
        <v>37</v>
      </c>
      <c r="C45" s="89" t="s">
        <v>102</v>
      </c>
      <c r="D45" s="87" t="s">
        <v>125</v>
      </c>
      <c r="E45" s="86" t="s">
        <v>565</v>
      </c>
      <c r="F45" s="86"/>
      <c r="G45" s="86"/>
      <c r="H45" s="69" t="s">
        <v>125</v>
      </c>
      <c r="I45" s="8" t="s">
        <v>936</v>
      </c>
      <c r="J45" s="8" t="s">
        <v>396</v>
      </c>
      <c r="K45" s="8"/>
      <c r="L45" s="8" t="s">
        <v>396</v>
      </c>
      <c r="M45" s="8"/>
      <c r="N45" s="50"/>
      <c r="O45" s="8"/>
      <c r="P45" s="10" t="s">
        <v>1109</v>
      </c>
      <c r="Q45" s="10"/>
      <c r="R45" s="10" t="s">
        <v>1109</v>
      </c>
      <c r="S45" s="10" t="s">
        <v>1109</v>
      </c>
      <c r="T45" s="10"/>
      <c r="U45" s="10"/>
      <c r="V45" s="10" t="s">
        <v>1191</v>
      </c>
      <c r="W45" s="75"/>
    </row>
    <row r="46" spans="2:26" x14ac:dyDescent="0.25">
      <c r="B46" s="3">
        <v>38</v>
      </c>
      <c r="C46" s="88" t="s">
        <v>102</v>
      </c>
      <c r="D46" s="57" t="s">
        <v>126</v>
      </c>
      <c r="E46" s="3" t="s">
        <v>566</v>
      </c>
      <c r="F46" s="3"/>
      <c r="G46" s="3"/>
      <c r="H46" s="69" t="s">
        <v>126</v>
      </c>
      <c r="I46" s="8" t="s">
        <v>936</v>
      </c>
      <c r="J46" s="8" t="s">
        <v>396</v>
      </c>
      <c r="K46" s="8"/>
      <c r="L46" s="8" t="s">
        <v>396</v>
      </c>
      <c r="M46" s="8"/>
      <c r="N46" s="50"/>
      <c r="O46" s="8"/>
      <c r="P46" s="10" t="s">
        <v>1109</v>
      </c>
      <c r="Q46" s="10"/>
      <c r="R46" s="10" t="s">
        <v>1109</v>
      </c>
      <c r="S46" s="10" t="s">
        <v>1109</v>
      </c>
      <c r="T46" s="10"/>
      <c r="U46" s="10"/>
      <c r="V46" s="10" t="s">
        <v>1191</v>
      </c>
      <c r="W46" s="75"/>
    </row>
    <row r="47" spans="2:26" x14ac:dyDescent="0.25">
      <c r="B47" s="3">
        <v>39</v>
      </c>
      <c r="C47" s="88" t="s">
        <v>102</v>
      </c>
      <c r="D47" s="57" t="s">
        <v>127</v>
      </c>
      <c r="E47" s="3" t="s">
        <v>567</v>
      </c>
      <c r="F47" s="3"/>
      <c r="G47" s="3"/>
      <c r="H47" s="69" t="s">
        <v>127</v>
      </c>
      <c r="I47" s="8" t="s">
        <v>936</v>
      </c>
      <c r="J47" s="8" t="s">
        <v>396</v>
      </c>
      <c r="K47" s="8"/>
      <c r="L47" s="8" t="s">
        <v>396</v>
      </c>
      <c r="M47" s="8"/>
      <c r="N47" s="50"/>
      <c r="O47" s="8"/>
      <c r="P47" s="10" t="s">
        <v>1109</v>
      </c>
      <c r="Q47" s="10"/>
      <c r="R47" s="10" t="s">
        <v>1109</v>
      </c>
      <c r="S47" s="10" t="s">
        <v>1109</v>
      </c>
      <c r="T47" s="10"/>
      <c r="U47" s="10"/>
      <c r="V47" s="10" t="s">
        <v>1191</v>
      </c>
      <c r="W47" s="75"/>
    </row>
    <row r="48" spans="2:26" x14ac:dyDescent="0.25">
      <c r="B48" s="3">
        <v>40</v>
      </c>
      <c r="C48" s="88" t="s">
        <v>102</v>
      </c>
      <c r="D48" s="57" t="s">
        <v>129</v>
      </c>
      <c r="E48" s="3" t="s">
        <v>568</v>
      </c>
      <c r="F48" s="3"/>
      <c r="G48" s="3"/>
      <c r="H48" s="69" t="s">
        <v>129</v>
      </c>
      <c r="I48" s="8" t="s">
        <v>936</v>
      </c>
      <c r="J48" s="8" t="s">
        <v>396</v>
      </c>
      <c r="K48" s="8"/>
      <c r="L48" s="8" t="s">
        <v>396</v>
      </c>
      <c r="M48" s="8"/>
      <c r="N48" s="50"/>
      <c r="O48" s="8"/>
      <c r="P48" s="10" t="s">
        <v>1109</v>
      </c>
      <c r="Q48" s="10"/>
      <c r="R48" s="10" t="s">
        <v>1109</v>
      </c>
      <c r="S48" s="10" t="s">
        <v>1109</v>
      </c>
      <c r="T48" s="10"/>
      <c r="U48" s="10"/>
      <c r="V48" s="10" t="s">
        <v>1191</v>
      </c>
      <c r="W48" s="75"/>
    </row>
    <row r="49" spans="2:26" x14ac:dyDescent="0.25">
      <c r="B49" s="3">
        <v>41</v>
      </c>
      <c r="C49" s="88" t="s">
        <v>102</v>
      </c>
      <c r="D49" s="57" t="s">
        <v>128</v>
      </c>
      <c r="E49" s="3" t="s">
        <v>569</v>
      </c>
      <c r="F49" s="3"/>
      <c r="G49" s="3"/>
      <c r="H49" s="69" t="s">
        <v>128</v>
      </c>
      <c r="I49" s="8" t="s">
        <v>936</v>
      </c>
      <c r="J49" s="8" t="s">
        <v>396</v>
      </c>
      <c r="K49" s="8"/>
      <c r="L49" s="8" t="s">
        <v>396</v>
      </c>
      <c r="M49" s="8"/>
      <c r="N49" s="50"/>
      <c r="O49" s="8"/>
      <c r="P49" s="10" t="s">
        <v>1109</v>
      </c>
      <c r="Q49" s="10"/>
      <c r="R49" s="10" t="s">
        <v>1109</v>
      </c>
      <c r="S49" s="10" t="s">
        <v>1109</v>
      </c>
      <c r="T49" s="10"/>
      <c r="U49" s="10"/>
      <c r="V49" s="10" t="s">
        <v>1191</v>
      </c>
      <c r="W49" s="75"/>
    </row>
    <row r="50" spans="2:26" x14ac:dyDescent="0.25">
      <c r="B50" s="3">
        <v>42</v>
      </c>
      <c r="C50" s="88" t="s">
        <v>102</v>
      </c>
      <c r="D50" s="57" t="s">
        <v>130</v>
      </c>
      <c r="E50" s="3" t="s">
        <v>570</v>
      </c>
      <c r="F50" s="3"/>
      <c r="G50" s="3"/>
      <c r="H50" s="69" t="s">
        <v>130</v>
      </c>
      <c r="I50" s="8" t="s">
        <v>936</v>
      </c>
      <c r="J50" s="8" t="s">
        <v>396</v>
      </c>
      <c r="K50" s="8"/>
      <c r="L50" s="8" t="s">
        <v>396</v>
      </c>
      <c r="M50" s="8"/>
      <c r="N50" s="50"/>
      <c r="O50" s="8"/>
      <c r="P50" s="10" t="s">
        <v>1109</v>
      </c>
      <c r="Q50" s="10"/>
      <c r="R50" s="10" t="s">
        <v>1109</v>
      </c>
      <c r="S50" s="10" t="s">
        <v>1109</v>
      </c>
      <c r="T50" s="10"/>
      <c r="U50" s="10"/>
      <c r="V50" s="10" t="s">
        <v>1191</v>
      </c>
      <c r="W50" s="75"/>
    </row>
    <row r="51" spans="2:26" x14ac:dyDescent="0.25">
      <c r="B51" s="3">
        <v>43</v>
      </c>
      <c r="C51" s="88" t="s">
        <v>102</v>
      </c>
      <c r="D51" s="57" t="s">
        <v>131</v>
      </c>
      <c r="E51" s="3" t="s">
        <v>562</v>
      </c>
      <c r="F51" s="3"/>
      <c r="G51" s="3"/>
      <c r="H51" s="69" t="s">
        <v>131</v>
      </c>
      <c r="I51" s="8" t="s">
        <v>936</v>
      </c>
      <c r="J51" s="8" t="s">
        <v>396</v>
      </c>
      <c r="K51" s="8"/>
      <c r="L51" s="8" t="s">
        <v>396</v>
      </c>
      <c r="M51" s="8"/>
      <c r="N51" s="50"/>
      <c r="O51" s="8"/>
      <c r="P51" s="10" t="s">
        <v>1101</v>
      </c>
      <c r="Q51" s="10" t="s">
        <v>1092</v>
      </c>
      <c r="R51" s="10" t="s">
        <v>1092</v>
      </c>
      <c r="S51" s="10" t="s">
        <v>1092</v>
      </c>
      <c r="T51" s="10"/>
      <c r="U51" s="10"/>
      <c r="V51" s="10" t="s">
        <v>262</v>
      </c>
      <c r="W51" s="75" t="s">
        <v>396</v>
      </c>
    </row>
    <row r="52" spans="2:26" x14ac:dyDescent="0.25">
      <c r="B52" s="3">
        <v>44</v>
      </c>
      <c r="C52" s="88" t="s">
        <v>102</v>
      </c>
      <c r="D52" s="57" t="s">
        <v>132</v>
      </c>
      <c r="E52" s="3" t="s">
        <v>563</v>
      </c>
      <c r="F52" s="3"/>
      <c r="G52" s="3"/>
      <c r="H52" s="69" t="s">
        <v>132</v>
      </c>
      <c r="I52" s="8" t="s">
        <v>936</v>
      </c>
      <c r="J52" s="8" t="s">
        <v>396</v>
      </c>
      <c r="K52" s="8"/>
      <c r="L52" s="8" t="s">
        <v>396</v>
      </c>
      <c r="M52" s="8"/>
      <c r="N52" s="50"/>
      <c r="O52" s="8"/>
      <c r="P52" s="10" t="s">
        <v>1109</v>
      </c>
      <c r="Q52" s="10" t="s">
        <v>1092</v>
      </c>
      <c r="R52" s="10" t="s">
        <v>1109</v>
      </c>
      <c r="S52" s="10" t="s">
        <v>1109</v>
      </c>
      <c r="T52" s="10"/>
      <c r="U52" s="10"/>
      <c r="V52" s="10" t="s">
        <v>262</v>
      </c>
      <c r="W52" s="75" t="s">
        <v>396</v>
      </c>
    </row>
    <row r="53" spans="2:26" x14ac:dyDescent="0.25">
      <c r="B53" s="3">
        <v>44</v>
      </c>
      <c r="C53" s="88" t="s">
        <v>102</v>
      </c>
      <c r="D53" s="57" t="s">
        <v>1172</v>
      </c>
      <c r="E53" s="3" t="s">
        <v>1173</v>
      </c>
      <c r="F53" s="3"/>
      <c r="G53" s="3"/>
      <c r="H53" s="69" t="s">
        <v>1172</v>
      </c>
      <c r="I53" s="8" t="s">
        <v>936</v>
      </c>
      <c r="J53" s="8" t="s">
        <v>396</v>
      </c>
      <c r="K53" s="8"/>
      <c r="L53" s="8" t="s">
        <v>396</v>
      </c>
      <c r="M53" s="8"/>
      <c r="N53" s="50"/>
      <c r="O53" s="8"/>
      <c r="P53" s="10" t="s">
        <v>1109</v>
      </c>
      <c r="Q53" s="10" t="s">
        <v>1092</v>
      </c>
      <c r="R53" s="10" t="s">
        <v>1109</v>
      </c>
      <c r="S53" s="10" t="s">
        <v>1109</v>
      </c>
      <c r="T53" s="10"/>
      <c r="U53" s="10"/>
      <c r="V53" s="10" t="s">
        <v>262</v>
      </c>
      <c r="W53" s="75" t="s">
        <v>396</v>
      </c>
    </row>
    <row r="54" spans="2:26" x14ac:dyDescent="0.25">
      <c r="B54" s="3">
        <v>45</v>
      </c>
      <c r="C54" s="88" t="s">
        <v>102</v>
      </c>
      <c r="D54" s="57" t="s">
        <v>133</v>
      </c>
      <c r="E54" s="3" t="s">
        <v>564</v>
      </c>
      <c r="F54" s="3"/>
      <c r="G54" s="3"/>
      <c r="H54" s="69" t="s">
        <v>133</v>
      </c>
      <c r="I54" s="8" t="s">
        <v>936</v>
      </c>
      <c r="J54" s="8"/>
      <c r="K54" s="8"/>
      <c r="L54" s="8"/>
      <c r="M54" s="8"/>
      <c r="N54" s="50"/>
      <c r="O54" s="8"/>
      <c r="P54" s="10" t="s">
        <v>1109</v>
      </c>
      <c r="Q54" s="10" t="s">
        <v>1092</v>
      </c>
      <c r="R54" s="10" t="s">
        <v>1109</v>
      </c>
      <c r="S54" s="10"/>
      <c r="T54" s="10"/>
      <c r="U54" s="10"/>
      <c r="V54" s="10" t="s">
        <v>262</v>
      </c>
      <c r="W54" s="75" t="s">
        <v>396</v>
      </c>
      <c r="Z54" s="9" t="s">
        <v>1148</v>
      </c>
    </row>
    <row r="55" spans="2:26" x14ac:dyDescent="0.25">
      <c r="B55" s="3">
        <v>46</v>
      </c>
      <c r="C55" s="88" t="s">
        <v>102</v>
      </c>
      <c r="D55" s="57" t="s">
        <v>134</v>
      </c>
      <c r="E55" s="3" t="s">
        <v>548</v>
      </c>
      <c r="F55" s="3"/>
      <c r="G55" s="3"/>
      <c r="H55" s="69" t="s">
        <v>134</v>
      </c>
      <c r="I55" s="8" t="s">
        <v>936</v>
      </c>
      <c r="J55" s="8" t="s">
        <v>396</v>
      </c>
      <c r="K55" s="8"/>
      <c r="L55" s="8" t="s">
        <v>396</v>
      </c>
      <c r="M55" s="8"/>
      <c r="N55" s="10"/>
      <c r="O55" s="8"/>
      <c r="P55" s="10" t="s">
        <v>1100</v>
      </c>
      <c r="Q55" s="10" t="s">
        <v>1092</v>
      </c>
      <c r="R55" s="10" t="s">
        <v>1092</v>
      </c>
      <c r="S55" s="10" t="s">
        <v>1092</v>
      </c>
      <c r="T55" s="10"/>
      <c r="U55" s="10"/>
      <c r="V55" s="10" t="s">
        <v>262</v>
      </c>
      <c r="W55" s="75" t="s">
        <v>396</v>
      </c>
    </row>
    <row r="56" spans="2:26" x14ac:dyDescent="0.25">
      <c r="B56" s="3">
        <v>47</v>
      </c>
      <c r="C56" s="88" t="s">
        <v>102</v>
      </c>
      <c r="D56" s="57" t="s">
        <v>136</v>
      </c>
      <c r="E56" s="3" t="s">
        <v>553</v>
      </c>
      <c r="F56" s="3"/>
      <c r="G56" s="3" t="s">
        <v>396</v>
      </c>
      <c r="H56" s="69" t="s">
        <v>136</v>
      </c>
      <c r="I56" s="8" t="s">
        <v>936</v>
      </c>
      <c r="J56" s="8" t="s">
        <v>396</v>
      </c>
      <c r="K56" s="8"/>
      <c r="L56" s="8" t="s">
        <v>396</v>
      </c>
      <c r="M56" s="8"/>
      <c r="N56" s="10"/>
      <c r="O56" s="8"/>
      <c r="P56" s="10" t="s">
        <v>1095</v>
      </c>
      <c r="Q56" s="10" t="s">
        <v>1092</v>
      </c>
      <c r="R56" s="10" t="s">
        <v>1092</v>
      </c>
      <c r="S56" s="10" t="s">
        <v>1092</v>
      </c>
      <c r="T56" s="10"/>
      <c r="U56" s="10"/>
      <c r="V56" s="10" t="s">
        <v>262</v>
      </c>
      <c r="W56" s="75" t="s">
        <v>396</v>
      </c>
    </row>
    <row r="57" spans="2:26" x14ac:dyDescent="0.25">
      <c r="B57" s="3">
        <v>48</v>
      </c>
      <c r="C57" s="88" t="s">
        <v>102</v>
      </c>
      <c r="D57" s="57" t="s">
        <v>135</v>
      </c>
      <c r="E57" s="3" t="s">
        <v>551</v>
      </c>
      <c r="F57" s="3" t="s">
        <v>396</v>
      </c>
      <c r="G57" s="3"/>
      <c r="H57" s="69" t="s">
        <v>135</v>
      </c>
      <c r="I57" s="8" t="s">
        <v>936</v>
      </c>
      <c r="J57" s="8" t="s">
        <v>396</v>
      </c>
      <c r="K57" s="8"/>
      <c r="L57" s="8" t="s">
        <v>396</v>
      </c>
      <c r="M57" s="8"/>
      <c r="N57" s="10"/>
      <c r="O57" s="8"/>
      <c r="P57" s="10" t="s">
        <v>1100</v>
      </c>
      <c r="Q57" s="10" t="s">
        <v>1092</v>
      </c>
      <c r="R57" s="10" t="s">
        <v>1092</v>
      </c>
      <c r="S57" s="10" t="s">
        <v>1092</v>
      </c>
      <c r="T57" s="10"/>
      <c r="U57" s="10"/>
      <c r="V57" s="10" t="s">
        <v>262</v>
      </c>
      <c r="W57" s="75" t="s">
        <v>396</v>
      </c>
    </row>
    <row r="58" spans="2:26" ht="15" x14ac:dyDescent="0.25">
      <c r="B58" s="3">
        <v>49</v>
      </c>
      <c r="C58" s="88" t="s">
        <v>102</v>
      </c>
      <c r="D58" s="57" t="s">
        <v>137</v>
      </c>
      <c r="E58" s="3" t="s">
        <v>607</v>
      </c>
      <c r="F58" s="3"/>
      <c r="G58" s="3"/>
      <c r="H58" s="69" t="s">
        <v>137</v>
      </c>
      <c r="I58" s="8" t="s">
        <v>936</v>
      </c>
      <c r="J58" s="8" t="s">
        <v>396</v>
      </c>
      <c r="K58" s="8"/>
      <c r="L58" s="8" t="s">
        <v>396</v>
      </c>
      <c r="M58" s="8"/>
      <c r="N58" s="47"/>
      <c r="O58" s="65"/>
      <c r="P58" s="10" t="s">
        <v>1095</v>
      </c>
      <c r="Q58" s="10" t="s">
        <v>1092</v>
      </c>
      <c r="R58" s="10" t="s">
        <v>1092</v>
      </c>
      <c r="S58" s="10" t="s">
        <v>1092</v>
      </c>
      <c r="T58" s="10"/>
      <c r="U58" s="10"/>
      <c r="V58" s="10" t="s">
        <v>262</v>
      </c>
      <c r="W58" s="75" t="s">
        <v>396</v>
      </c>
      <c r="Y58" s="9" t="s">
        <v>1149</v>
      </c>
    </row>
    <row r="59" spans="2:26" x14ac:dyDescent="0.25">
      <c r="B59" s="3">
        <v>50</v>
      </c>
      <c r="C59" s="88" t="s">
        <v>102</v>
      </c>
      <c r="D59" s="57" t="s">
        <v>138</v>
      </c>
      <c r="E59" s="3" t="s">
        <v>609</v>
      </c>
      <c r="F59" s="3"/>
      <c r="G59" s="3"/>
      <c r="H59" s="69" t="s">
        <v>138</v>
      </c>
      <c r="I59" s="8" t="s">
        <v>936</v>
      </c>
      <c r="J59" s="8" t="s">
        <v>396</v>
      </c>
      <c r="K59" s="8"/>
      <c r="L59" s="8" t="s">
        <v>396</v>
      </c>
      <c r="M59" s="8"/>
      <c r="N59" s="10"/>
      <c r="O59" s="8"/>
      <c r="P59" s="10" t="s">
        <v>1095</v>
      </c>
      <c r="Q59" s="10" t="s">
        <v>1092</v>
      </c>
      <c r="R59" s="10" t="s">
        <v>1092</v>
      </c>
      <c r="S59" s="10" t="s">
        <v>1092</v>
      </c>
      <c r="T59" s="10"/>
      <c r="U59" s="10"/>
      <c r="V59" s="10" t="s">
        <v>262</v>
      </c>
      <c r="W59" s="75" t="s">
        <v>396</v>
      </c>
      <c r="Y59" s="9" t="s">
        <v>1150</v>
      </c>
      <c r="Z59" s="9" t="s">
        <v>1158</v>
      </c>
    </row>
    <row r="60" spans="2:26" x14ac:dyDescent="0.25">
      <c r="B60" s="3">
        <v>24</v>
      </c>
      <c r="C60" s="88" t="s">
        <v>102</v>
      </c>
      <c r="D60" s="57" t="s">
        <v>139</v>
      </c>
      <c r="E60" s="3" t="s">
        <v>559</v>
      </c>
      <c r="F60" s="3"/>
      <c r="G60" s="3"/>
      <c r="H60" s="69" t="s">
        <v>139</v>
      </c>
      <c r="I60" s="8" t="s">
        <v>936</v>
      </c>
      <c r="J60" s="8" t="s">
        <v>396</v>
      </c>
      <c r="K60" s="8"/>
      <c r="L60" s="8" t="s">
        <v>396</v>
      </c>
      <c r="M60" s="8"/>
      <c r="N60" s="50"/>
      <c r="O60" s="8"/>
      <c r="P60" s="10" t="s">
        <v>1109</v>
      </c>
      <c r="Q60" s="10"/>
      <c r="R60" s="10" t="s">
        <v>1109</v>
      </c>
      <c r="S60" s="10" t="s">
        <v>1109</v>
      </c>
      <c r="T60" s="10"/>
      <c r="U60" s="10"/>
      <c r="V60" s="10" t="s">
        <v>1191</v>
      </c>
      <c r="W60" s="75"/>
    </row>
    <row r="61" spans="2:26" x14ac:dyDescent="0.25">
      <c r="B61" s="3">
        <v>25</v>
      </c>
      <c r="C61" s="88" t="s">
        <v>102</v>
      </c>
      <c r="D61" s="57" t="s">
        <v>140</v>
      </c>
      <c r="E61" s="3" t="s">
        <v>560</v>
      </c>
      <c r="F61" s="3"/>
      <c r="G61" s="3"/>
      <c r="H61" s="69" t="s">
        <v>140</v>
      </c>
      <c r="I61" s="8" t="s">
        <v>936</v>
      </c>
      <c r="J61" s="8" t="s">
        <v>396</v>
      </c>
      <c r="K61" s="8"/>
      <c r="L61" s="8" t="s">
        <v>396</v>
      </c>
      <c r="M61" s="8"/>
      <c r="N61" s="50"/>
      <c r="O61" s="8"/>
      <c r="P61" s="10" t="s">
        <v>1109</v>
      </c>
      <c r="Q61" s="10"/>
      <c r="R61" s="10" t="s">
        <v>1109</v>
      </c>
      <c r="S61" s="10" t="s">
        <v>1109</v>
      </c>
      <c r="T61" s="10"/>
      <c r="U61" s="10"/>
      <c r="V61" s="10" t="s">
        <v>936</v>
      </c>
      <c r="W61" s="75" t="s">
        <v>396</v>
      </c>
      <c r="X61" s="9" t="s">
        <v>1188</v>
      </c>
    </row>
    <row r="62" spans="2:26" x14ac:dyDescent="0.25">
      <c r="B62" s="3">
        <v>64</v>
      </c>
      <c r="C62" s="88" t="s">
        <v>102</v>
      </c>
      <c r="D62" s="69" t="s">
        <v>508</v>
      </c>
      <c r="E62" s="3" t="s">
        <v>1180</v>
      </c>
      <c r="F62" s="3" t="s">
        <v>396</v>
      </c>
      <c r="G62" s="3"/>
      <c r="H62" s="69" t="s">
        <v>508</v>
      </c>
      <c r="I62" s="8" t="s">
        <v>936</v>
      </c>
      <c r="J62" s="8" t="s">
        <v>396</v>
      </c>
      <c r="K62" s="8"/>
      <c r="L62" s="8" t="s">
        <v>396</v>
      </c>
      <c r="M62" s="8"/>
      <c r="N62" s="10"/>
      <c r="O62" s="8"/>
      <c r="P62" s="10" t="s">
        <v>1091</v>
      </c>
      <c r="Q62" s="10" t="s">
        <v>1092</v>
      </c>
      <c r="R62" s="10" t="s">
        <v>1109</v>
      </c>
      <c r="S62" s="10" t="s">
        <v>1092</v>
      </c>
      <c r="T62" s="10"/>
      <c r="U62" s="10"/>
      <c r="V62" s="10" t="s">
        <v>262</v>
      </c>
      <c r="W62" s="75"/>
      <c r="Y62" s="10" t="s">
        <v>1070</v>
      </c>
    </row>
    <row r="63" spans="2:26" x14ac:dyDescent="0.25">
      <c r="B63" s="3">
        <v>65</v>
      </c>
      <c r="C63" s="88" t="s">
        <v>102</v>
      </c>
      <c r="D63" s="69" t="s">
        <v>510</v>
      </c>
      <c r="E63" s="3" t="s">
        <v>1181</v>
      </c>
      <c r="F63" s="3" t="s">
        <v>396</v>
      </c>
      <c r="G63" s="3" t="s">
        <v>396</v>
      </c>
      <c r="H63" s="69" t="s">
        <v>510</v>
      </c>
      <c r="I63" s="8" t="s">
        <v>936</v>
      </c>
      <c r="J63" s="8" t="s">
        <v>396</v>
      </c>
      <c r="K63" s="8"/>
      <c r="L63" s="8" t="s">
        <v>396</v>
      </c>
      <c r="M63" s="8"/>
      <c r="N63" s="10"/>
      <c r="O63" s="8"/>
      <c r="P63" s="10" t="s">
        <v>1091</v>
      </c>
      <c r="Q63" s="10" t="s">
        <v>1092</v>
      </c>
      <c r="R63" s="10" t="s">
        <v>1109</v>
      </c>
      <c r="S63" s="10" t="s">
        <v>1092</v>
      </c>
      <c r="T63" s="10"/>
      <c r="U63" s="10"/>
      <c r="V63" s="10" t="s">
        <v>262</v>
      </c>
      <c r="W63" s="75"/>
      <c r="Y63" s="10" t="s">
        <v>1070</v>
      </c>
    </row>
    <row r="64" spans="2:26" x14ac:dyDescent="0.25">
      <c r="B64" s="3">
        <v>65</v>
      </c>
      <c r="C64" s="88" t="s">
        <v>102</v>
      </c>
      <c r="D64" s="69" t="s">
        <v>1067</v>
      </c>
      <c r="E64" s="3" t="s">
        <v>1182</v>
      </c>
      <c r="F64" s="3" t="s">
        <v>396</v>
      </c>
      <c r="G64" s="3" t="s">
        <v>396</v>
      </c>
      <c r="H64" s="69" t="s">
        <v>1067</v>
      </c>
      <c r="I64" s="8" t="s">
        <v>936</v>
      </c>
      <c r="J64" s="8" t="s">
        <v>396</v>
      </c>
      <c r="K64" s="8"/>
      <c r="L64" s="8" t="s">
        <v>396</v>
      </c>
      <c r="M64" s="8"/>
      <c r="N64" s="10"/>
      <c r="O64" s="8"/>
      <c r="P64" s="10" t="s">
        <v>1091</v>
      </c>
      <c r="Q64" s="10" t="s">
        <v>1092</v>
      </c>
      <c r="R64" s="10" t="s">
        <v>1109</v>
      </c>
      <c r="S64" s="10" t="s">
        <v>1092</v>
      </c>
      <c r="T64" s="10"/>
      <c r="U64" s="10"/>
      <c r="V64" s="10" t="s">
        <v>262</v>
      </c>
      <c r="W64" s="75"/>
      <c r="Y64" s="10" t="s">
        <v>1070</v>
      </c>
    </row>
    <row r="65" spans="2:26" x14ac:dyDescent="0.25">
      <c r="B65" s="3">
        <v>64</v>
      </c>
      <c r="C65" s="88" t="s">
        <v>102</v>
      </c>
      <c r="D65" s="69" t="s">
        <v>1177</v>
      </c>
      <c r="E65" s="3" t="s">
        <v>1174</v>
      </c>
      <c r="F65" s="3" t="s">
        <v>396</v>
      </c>
      <c r="G65" s="3"/>
      <c r="H65" s="69" t="s">
        <v>508</v>
      </c>
      <c r="I65" s="8" t="s">
        <v>936</v>
      </c>
      <c r="J65" s="8" t="s">
        <v>396</v>
      </c>
      <c r="K65" s="8"/>
      <c r="L65" s="8"/>
      <c r="M65" s="8"/>
      <c r="N65" s="10"/>
      <c r="O65" s="8"/>
      <c r="P65" s="10" t="s">
        <v>1091</v>
      </c>
      <c r="Q65" s="10" t="s">
        <v>1092</v>
      </c>
      <c r="R65" s="10" t="s">
        <v>1109</v>
      </c>
      <c r="S65" s="10" t="s">
        <v>1092</v>
      </c>
      <c r="T65" s="10"/>
      <c r="U65" s="10"/>
      <c r="V65" s="10" t="s">
        <v>262</v>
      </c>
      <c r="W65" s="75"/>
      <c r="Y65" s="10" t="s">
        <v>1070</v>
      </c>
    </row>
    <row r="66" spans="2:26" x14ac:dyDescent="0.25">
      <c r="B66" s="3">
        <v>65</v>
      </c>
      <c r="C66" s="88" t="s">
        <v>102</v>
      </c>
      <c r="D66" s="69" t="s">
        <v>1178</v>
      </c>
      <c r="E66" s="3" t="s">
        <v>1175</v>
      </c>
      <c r="F66" s="3" t="s">
        <v>396</v>
      </c>
      <c r="G66" s="3" t="s">
        <v>396</v>
      </c>
      <c r="H66" s="69" t="s">
        <v>510</v>
      </c>
      <c r="I66" s="8" t="s">
        <v>936</v>
      </c>
      <c r="J66" s="8" t="s">
        <v>396</v>
      </c>
      <c r="K66" s="8"/>
      <c r="L66" s="8"/>
      <c r="M66" s="8"/>
      <c r="N66" s="10"/>
      <c r="O66" s="8"/>
      <c r="P66" s="10" t="s">
        <v>1091</v>
      </c>
      <c r="Q66" s="10" t="s">
        <v>1092</v>
      </c>
      <c r="R66" s="10" t="s">
        <v>1109</v>
      </c>
      <c r="S66" s="10" t="s">
        <v>1092</v>
      </c>
      <c r="T66" s="10"/>
      <c r="U66" s="10"/>
      <c r="V66" s="10" t="s">
        <v>262</v>
      </c>
      <c r="W66" s="75"/>
      <c r="Y66" s="10" t="s">
        <v>1070</v>
      </c>
    </row>
    <row r="67" spans="2:26" x14ac:dyDescent="0.25">
      <c r="B67" s="3">
        <v>65</v>
      </c>
      <c r="C67" s="88" t="s">
        <v>102</v>
      </c>
      <c r="D67" s="69" t="s">
        <v>1179</v>
      </c>
      <c r="E67" s="3" t="s">
        <v>1176</v>
      </c>
      <c r="F67" s="3" t="s">
        <v>396</v>
      </c>
      <c r="G67" s="3" t="s">
        <v>396</v>
      </c>
      <c r="H67" s="69" t="s">
        <v>1067</v>
      </c>
      <c r="I67" s="8" t="s">
        <v>936</v>
      </c>
      <c r="J67" s="8" t="s">
        <v>396</v>
      </c>
      <c r="K67" s="8"/>
      <c r="L67" s="8"/>
      <c r="M67" s="8"/>
      <c r="N67" s="10"/>
      <c r="O67" s="8"/>
      <c r="P67" s="10" t="s">
        <v>1091</v>
      </c>
      <c r="Q67" s="10" t="s">
        <v>1092</v>
      </c>
      <c r="R67" s="10" t="s">
        <v>1109</v>
      </c>
      <c r="S67" s="10" t="s">
        <v>1092</v>
      </c>
      <c r="T67" s="10"/>
      <c r="U67" s="10"/>
      <c r="V67" s="10" t="s">
        <v>262</v>
      </c>
      <c r="W67" s="75"/>
      <c r="Y67" s="10" t="s">
        <v>1070</v>
      </c>
    </row>
    <row r="68" spans="2:26" x14ac:dyDescent="0.25">
      <c r="B68" s="3">
        <v>68</v>
      </c>
      <c r="C68" s="88" t="s">
        <v>102</v>
      </c>
      <c r="D68" s="69" t="s">
        <v>513</v>
      </c>
      <c r="E68" s="3" t="s">
        <v>588</v>
      </c>
      <c r="F68" s="3"/>
      <c r="G68" s="3"/>
      <c r="H68" s="69" t="s">
        <v>513</v>
      </c>
      <c r="I68" s="8" t="s">
        <v>936</v>
      </c>
      <c r="J68" s="8" t="s">
        <v>396</v>
      </c>
      <c r="K68" s="8"/>
      <c r="L68" s="8" t="s">
        <v>396</v>
      </c>
      <c r="M68" s="8"/>
      <c r="N68" s="50"/>
      <c r="O68" s="8"/>
      <c r="P68" s="10" t="s">
        <v>1095</v>
      </c>
      <c r="Q68" s="10" t="s">
        <v>1092</v>
      </c>
      <c r="R68" s="10" t="s">
        <v>1092</v>
      </c>
      <c r="S68" s="10" t="s">
        <v>1092</v>
      </c>
      <c r="T68" s="10"/>
      <c r="U68" s="10"/>
      <c r="V68" s="10" t="s">
        <v>262</v>
      </c>
      <c r="W68" s="75"/>
      <c r="Y68" s="10" t="s">
        <v>1070</v>
      </c>
      <c r="Z68" s="9" t="s">
        <v>1153</v>
      </c>
    </row>
    <row r="69" spans="2:26" x14ac:dyDescent="0.25">
      <c r="B69" s="3">
        <v>59</v>
      </c>
      <c r="C69" s="88" t="s">
        <v>102</v>
      </c>
      <c r="D69" s="76" t="s">
        <v>141</v>
      </c>
      <c r="E69" s="77" t="s">
        <v>546</v>
      </c>
      <c r="F69" s="77"/>
      <c r="G69" s="77"/>
      <c r="H69" s="69" t="s">
        <v>141</v>
      </c>
      <c r="I69" s="8" t="s">
        <v>936</v>
      </c>
      <c r="J69" s="8" t="s">
        <v>396</v>
      </c>
      <c r="K69" s="8"/>
      <c r="L69" s="8" t="s">
        <v>396</v>
      </c>
      <c r="M69" s="8"/>
      <c r="N69" s="50"/>
      <c r="O69" s="8"/>
      <c r="P69" s="10" t="s">
        <v>1109</v>
      </c>
      <c r="Q69" s="10"/>
      <c r="R69" s="10" t="s">
        <v>1109</v>
      </c>
      <c r="S69" s="10" t="s">
        <v>1109</v>
      </c>
      <c r="T69" s="10"/>
      <c r="U69" s="10"/>
      <c r="V69" s="10" t="s">
        <v>262</v>
      </c>
      <c r="W69" s="75" t="s">
        <v>396</v>
      </c>
    </row>
    <row r="70" spans="2:26" x14ac:dyDescent="0.25">
      <c r="B70" s="3"/>
      <c r="C70" s="88" t="s">
        <v>102</v>
      </c>
      <c r="D70" s="76" t="s">
        <v>1193</v>
      </c>
      <c r="E70" s="77" t="s">
        <v>1194</v>
      </c>
      <c r="F70" s="77"/>
      <c r="G70" s="77"/>
      <c r="H70" s="76" t="s">
        <v>1193</v>
      </c>
      <c r="I70" s="8" t="s">
        <v>936</v>
      </c>
      <c r="J70" s="8"/>
      <c r="K70" s="8"/>
      <c r="L70" s="8"/>
      <c r="M70" s="8"/>
      <c r="N70" s="50"/>
      <c r="O70" s="8"/>
      <c r="P70" s="10"/>
      <c r="Q70" s="10"/>
      <c r="R70" s="10"/>
      <c r="S70" s="10"/>
      <c r="T70" s="10"/>
      <c r="U70" s="10"/>
      <c r="V70" s="10" t="s">
        <v>262</v>
      </c>
      <c r="W70" s="75" t="s">
        <v>396</v>
      </c>
    </row>
    <row r="71" spans="2:26" x14ac:dyDescent="0.25">
      <c r="B71" s="3">
        <v>60</v>
      </c>
      <c r="C71" s="88" t="s">
        <v>102</v>
      </c>
      <c r="D71" s="76" t="s">
        <v>142</v>
      </c>
      <c r="E71" s="77" t="s">
        <v>579</v>
      </c>
      <c r="F71" s="77" t="s">
        <v>396</v>
      </c>
      <c r="G71" s="77"/>
      <c r="H71" s="69" t="s">
        <v>142</v>
      </c>
      <c r="I71" s="8" t="s">
        <v>936</v>
      </c>
      <c r="J71" s="8" t="s">
        <v>396</v>
      </c>
      <c r="K71" s="8"/>
      <c r="L71" s="8" t="s">
        <v>396</v>
      </c>
      <c r="M71" s="8"/>
      <c r="N71" s="50"/>
      <c r="O71" s="8"/>
      <c r="P71" s="10" t="s">
        <v>1095</v>
      </c>
      <c r="Q71" s="10" t="s">
        <v>1092</v>
      </c>
      <c r="R71" s="10" t="s">
        <v>1109</v>
      </c>
      <c r="S71" s="10" t="s">
        <v>1092</v>
      </c>
      <c r="T71" s="10"/>
      <c r="U71" s="10"/>
      <c r="V71" s="10" t="s">
        <v>262</v>
      </c>
      <c r="W71" s="75" t="s">
        <v>396</v>
      </c>
      <c r="Y71" s="58"/>
      <c r="Z71" s="9" t="s">
        <v>1152</v>
      </c>
    </row>
    <row r="72" spans="2:26" x14ac:dyDescent="0.25">
      <c r="B72" s="3">
        <v>61</v>
      </c>
      <c r="C72" s="88" t="s">
        <v>102</v>
      </c>
      <c r="D72" s="76" t="s">
        <v>143</v>
      </c>
      <c r="E72" s="77" t="s">
        <v>580</v>
      </c>
      <c r="F72" s="77"/>
      <c r="G72" s="77" t="s">
        <v>396</v>
      </c>
      <c r="H72" s="69" t="s">
        <v>143</v>
      </c>
      <c r="I72" s="8" t="s">
        <v>936</v>
      </c>
      <c r="J72" s="8" t="s">
        <v>396</v>
      </c>
      <c r="K72" s="8"/>
      <c r="L72" s="8" t="s">
        <v>396</v>
      </c>
      <c r="M72" s="8"/>
      <c r="N72" s="10"/>
      <c r="O72" s="8"/>
      <c r="P72" s="10" t="s">
        <v>1095</v>
      </c>
      <c r="Q72" s="10" t="s">
        <v>1092</v>
      </c>
      <c r="R72" s="10" t="s">
        <v>1109</v>
      </c>
      <c r="S72" s="10" t="s">
        <v>1092</v>
      </c>
      <c r="T72" s="10"/>
      <c r="U72" s="10"/>
      <c r="V72" s="10" t="s">
        <v>262</v>
      </c>
      <c r="W72" s="75" t="s">
        <v>396</v>
      </c>
      <c r="Y72" s="58"/>
      <c r="Z72" s="9" t="s">
        <v>1151</v>
      </c>
    </row>
    <row r="73" spans="2:26" x14ac:dyDescent="0.25">
      <c r="B73" s="3">
        <v>60</v>
      </c>
      <c r="C73" s="88" t="s">
        <v>102</v>
      </c>
      <c r="D73" s="76" t="s">
        <v>1196</v>
      </c>
      <c r="E73" s="77" t="s">
        <v>1197</v>
      </c>
      <c r="F73" s="77"/>
      <c r="G73" s="77"/>
      <c r="H73" s="76" t="s">
        <v>1196</v>
      </c>
      <c r="I73" s="8" t="s">
        <v>936</v>
      </c>
      <c r="J73" s="8" t="s">
        <v>396</v>
      </c>
      <c r="K73" s="8"/>
      <c r="L73" s="8" t="s">
        <v>396</v>
      </c>
      <c r="M73" s="8"/>
      <c r="N73" s="50"/>
      <c r="O73" s="8"/>
      <c r="P73" s="10" t="s">
        <v>1095</v>
      </c>
      <c r="Q73" s="10" t="s">
        <v>1092</v>
      </c>
      <c r="R73" s="10" t="s">
        <v>1109</v>
      </c>
      <c r="S73" s="10" t="s">
        <v>1092</v>
      </c>
      <c r="T73" s="10"/>
      <c r="U73" s="10"/>
      <c r="V73" s="10" t="s">
        <v>262</v>
      </c>
      <c r="W73" s="75" t="s">
        <v>396</v>
      </c>
      <c r="Y73" s="58"/>
      <c r="Z73" s="9" t="s">
        <v>1152</v>
      </c>
    </row>
    <row r="74" spans="2:26" x14ac:dyDescent="0.25">
      <c r="B74" s="3">
        <v>61</v>
      </c>
      <c r="C74" s="88" t="s">
        <v>102</v>
      </c>
      <c r="D74" s="76" t="s">
        <v>1198</v>
      </c>
      <c r="E74" s="77" t="s">
        <v>1199</v>
      </c>
      <c r="F74" s="77"/>
      <c r="G74" s="77"/>
      <c r="H74" s="76" t="s">
        <v>1198</v>
      </c>
      <c r="I74" s="8" t="s">
        <v>936</v>
      </c>
      <c r="J74" s="8" t="s">
        <v>396</v>
      </c>
      <c r="K74" s="8"/>
      <c r="L74" s="8" t="s">
        <v>396</v>
      </c>
      <c r="M74" s="8"/>
      <c r="N74" s="10"/>
      <c r="O74" s="8"/>
      <c r="P74" s="10" t="s">
        <v>1095</v>
      </c>
      <c r="Q74" s="10" t="s">
        <v>1092</v>
      </c>
      <c r="R74" s="10" t="s">
        <v>1109</v>
      </c>
      <c r="S74" s="10" t="s">
        <v>1092</v>
      </c>
      <c r="T74" s="10"/>
      <c r="U74" s="10"/>
      <c r="V74" s="10" t="s">
        <v>262</v>
      </c>
      <c r="W74" s="75" t="s">
        <v>396</v>
      </c>
      <c r="Y74" s="58"/>
      <c r="Z74" s="9" t="s">
        <v>1151</v>
      </c>
    </row>
    <row r="75" spans="2:26" x14ac:dyDescent="0.25">
      <c r="B75" s="3">
        <v>69</v>
      </c>
      <c r="C75" s="88" t="s">
        <v>102</v>
      </c>
      <c r="D75" s="82" t="s">
        <v>1185</v>
      </c>
      <c r="E75" s="77" t="s">
        <v>1187</v>
      </c>
      <c r="F75" s="77"/>
      <c r="G75" s="77"/>
      <c r="H75" s="69" t="s">
        <v>1185</v>
      </c>
      <c r="I75" s="8" t="s">
        <v>936</v>
      </c>
      <c r="J75" s="8"/>
      <c r="K75" s="8"/>
      <c r="L75" s="8"/>
      <c r="M75" s="8"/>
      <c r="N75" s="50"/>
      <c r="O75" s="8"/>
      <c r="P75" s="10"/>
      <c r="Q75" s="10" t="s">
        <v>1092</v>
      </c>
      <c r="R75" s="10"/>
      <c r="S75" s="10"/>
      <c r="T75" s="10"/>
      <c r="U75" s="10"/>
      <c r="V75" s="10" t="s">
        <v>262</v>
      </c>
      <c r="W75" s="75" t="s">
        <v>396</v>
      </c>
      <c r="Y75" s="74"/>
    </row>
    <row r="76" spans="2:26" hidden="1" x14ac:dyDescent="0.25">
      <c r="B76" s="3">
        <v>69</v>
      </c>
      <c r="C76" s="3" t="s">
        <v>102</v>
      </c>
      <c r="D76" s="71" t="s">
        <v>517</v>
      </c>
      <c r="E76" s="71" t="s">
        <v>592</v>
      </c>
      <c r="F76" s="71"/>
      <c r="G76" s="71"/>
      <c r="H76" s="71" t="s">
        <v>517</v>
      </c>
      <c r="I76" s="8"/>
      <c r="J76" s="8"/>
      <c r="K76" s="8" t="s">
        <v>396</v>
      </c>
      <c r="L76" s="8"/>
      <c r="M76" s="8"/>
      <c r="N76" s="10"/>
      <c r="O76" s="8"/>
      <c r="P76" s="10" t="s">
        <v>1109</v>
      </c>
      <c r="Q76" s="10"/>
      <c r="R76" s="10" t="s">
        <v>1109</v>
      </c>
      <c r="S76" s="10" t="s">
        <v>1109</v>
      </c>
      <c r="T76" s="10"/>
      <c r="U76" s="10"/>
      <c r="V76" s="10"/>
      <c r="W76" s="10"/>
    </row>
    <row r="77" spans="2:26" hidden="1" x14ac:dyDescent="0.25">
      <c r="B77" s="3">
        <v>70</v>
      </c>
      <c r="C77" s="3" t="s">
        <v>102</v>
      </c>
      <c r="D77" s="71" t="s">
        <v>511</v>
      </c>
      <c r="E77" s="71" t="s">
        <v>585</v>
      </c>
      <c r="F77" s="71"/>
      <c r="G77" s="71"/>
      <c r="H77" s="71" t="s">
        <v>511</v>
      </c>
      <c r="I77" s="8"/>
      <c r="J77" s="8"/>
      <c r="K77" s="8" t="s">
        <v>396</v>
      </c>
      <c r="L77" s="8"/>
      <c r="M77" s="8"/>
      <c r="N77" s="10"/>
      <c r="O77" s="8"/>
      <c r="P77" s="10" t="s">
        <v>1109</v>
      </c>
      <c r="Q77" s="10"/>
      <c r="R77" s="10" t="s">
        <v>1109</v>
      </c>
      <c r="S77" s="10" t="s">
        <v>1092</v>
      </c>
      <c r="T77" s="10"/>
      <c r="U77" s="10"/>
      <c r="V77" s="10"/>
      <c r="W77" s="10"/>
    </row>
    <row r="78" spans="2:26" hidden="1" x14ac:dyDescent="0.25">
      <c r="B78" s="3">
        <v>71</v>
      </c>
      <c r="C78" s="3" t="s">
        <v>102</v>
      </c>
      <c r="D78" s="71" t="s">
        <v>505</v>
      </c>
      <c r="E78" s="71" t="s">
        <v>581</v>
      </c>
      <c r="F78" s="71"/>
      <c r="G78" s="71"/>
      <c r="H78" s="71" t="s">
        <v>505</v>
      </c>
      <c r="I78" s="8"/>
      <c r="J78" s="8"/>
      <c r="K78" s="8" t="s">
        <v>396</v>
      </c>
      <c r="L78" s="8"/>
      <c r="M78" s="8"/>
      <c r="N78" s="10"/>
      <c r="O78" s="8"/>
      <c r="P78" s="10" t="s">
        <v>1109</v>
      </c>
      <c r="Q78" s="10"/>
      <c r="R78" s="10" t="s">
        <v>1109</v>
      </c>
      <c r="S78" s="10" t="s">
        <v>1092</v>
      </c>
      <c r="T78" s="10"/>
      <c r="U78" s="10"/>
      <c r="V78" s="10"/>
      <c r="W78" s="10"/>
    </row>
    <row r="79" spans="2:26" hidden="1" x14ac:dyDescent="0.25">
      <c r="B79" s="3">
        <v>72</v>
      </c>
      <c r="C79" s="3" t="s">
        <v>102</v>
      </c>
      <c r="D79" s="71" t="s">
        <v>516</v>
      </c>
      <c r="E79" s="71" t="s">
        <v>591</v>
      </c>
      <c r="F79" s="71"/>
      <c r="G79" s="71"/>
      <c r="H79" s="71" t="s">
        <v>516</v>
      </c>
      <c r="I79" s="8"/>
      <c r="J79" s="8"/>
      <c r="K79" s="8" t="s">
        <v>396</v>
      </c>
      <c r="L79" s="8"/>
      <c r="M79" s="8"/>
      <c r="N79" s="10"/>
      <c r="O79" s="8"/>
      <c r="P79" s="10" t="s">
        <v>1109</v>
      </c>
      <c r="Q79" s="10"/>
      <c r="R79" s="10" t="s">
        <v>1109</v>
      </c>
      <c r="S79" s="10" t="s">
        <v>1092</v>
      </c>
      <c r="T79" s="10"/>
      <c r="U79" s="10"/>
      <c r="V79" s="10"/>
      <c r="W79" s="10"/>
    </row>
    <row r="80" spans="2:26" hidden="1" x14ac:dyDescent="0.25">
      <c r="B80" s="3">
        <v>73</v>
      </c>
      <c r="C80" s="3" t="s">
        <v>102</v>
      </c>
      <c r="D80" s="71" t="s">
        <v>514</v>
      </c>
      <c r="E80" s="71" t="s">
        <v>589</v>
      </c>
      <c r="F80" s="71"/>
      <c r="G80" s="71"/>
      <c r="H80" s="71" t="s">
        <v>514</v>
      </c>
      <c r="I80" s="8"/>
      <c r="J80" s="8" t="s">
        <v>396</v>
      </c>
      <c r="K80" s="8" t="s">
        <v>396</v>
      </c>
      <c r="L80" s="8"/>
      <c r="M80" s="8"/>
      <c r="N80" s="50"/>
      <c r="O80" s="8"/>
      <c r="P80" s="10" t="s">
        <v>1109</v>
      </c>
      <c r="Q80" s="10"/>
      <c r="R80" s="10" t="s">
        <v>1109</v>
      </c>
      <c r="S80" s="10" t="s">
        <v>1092</v>
      </c>
      <c r="T80" s="10"/>
      <c r="U80" s="10"/>
      <c r="V80" s="10"/>
      <c r="W80" s="10"/>
    </row>
    <row r="81" spans="2:26" hidden="1" x14ac:dyDescent="0.25">
      <c r="B81" s="3">
        <v>74</v>
      </c>
      <c r="C81" s="3" t="s">
        <v>102</v>
      </c>
      <c r="D81" s="71" t="s">
        <v>512</v>
      </c>
      <c r="E81" s="71" t="s">
        <v>586</v>
      </c>
      <c r="F81" s="71"/>
      <c r="G81" s="71"/>
      <c r="H81" s="71" t="s">
        <v>512</v>
      </c>
      <c r="I81" s="8"/>
      <c r="J81" s="8"/>
      <c r="K81" s="8" t="s">
        <v>396</v>
      </c>
      <c r="L81" s="8"/>
      <c r="M81" s="8"/>
      <c r="N81" s="10"/>
      <c r="O81" s="8"/>
      <c r="P81" s="10" t="s">
        <v>1109</v>
      </c>
      <c r="Q81" s="10"/>
      <c r="R81" s="10" t="s">
        <v>1109</v>
      </c>
      <c r="S81" s="10" t="s">
        <v>1092</v>
      </c>
      <c r="T81" s="10"/>
      <c r="U81" s="10"/>
      <c r="V81" s="10"/>
      <c r="W81" s="10"/>
    </row>
    <row r="82" spans="2:26" hidden="1" x14ac:dyDescent="0.25">
      <c r="B82" s="3">
        <v>75</v>
      </c>
      <c r="C82" s="3" t="s">
        <v>102</v>
      </c>
      <c r="D82" s="71" t="s">
        <v>507</v>
      </c>
      <c r="E82" s="71" t="s">
        <v>583</v>
      </c>
      <c r="F82" s="71"/>
      <c r="G82" s="71"/>
      <c r="H82" s="71" t="s">
        <v>507</v>
      </c>
      <c r="I82" s="8"/>
      <c r="J82" s="8"/>
      <c r="K82" s="8" t="s">
        <v>396</v>
      </c>
      <c r="L82" s="8"/>
      <c r="M82" s="8"/>
      <c r="N82" s="10"/>
      <c r="O82" s="8"/>
      <c r="P82" s="10" t="s">
        <v>1109</v>
      </c>
      <c r="Q82" s="10"/>
      <c r="R82" s="10" t="s">
        <v>1109</v>
      </c>
      <c r="S82" s="10" t="s">
        <v>1092</v>
      </c>
      <c r="T82" s="10"/>
      <c r="U82" s="10"/>
      <c r="V82" s="10"/>
      <c r="W82" s="10"/>
    </row>
    <row r="83" spans="2:26" hidden="1" x14ac:dyDescent="0.25">
      <c r="B83" s="3">
        <v>76</v>
      </c>
      <c r="C83" s="3" t="s">
        <v>102</v>
      </c>
      <c r="D83" s="71" t="s">
        <v>506</v>
      </c>
      <c r="E83" s="71" t="s">
        <v>582</v>
      </c>
      <c r="F83" s="71"/>
      <c r="G83" s="71"/>
      <c r="H83" s="71" t="s">
        <v>506</v>
      </c>
      <c r="I83" s="8"/>
      <c r="J83" s="8"/>
      <c r="K83" s="8" t="s">
        <v>396</v>
      </c>
      <c r="L83" s="8"/>
      <c r="M83" s="8"/>
      <c r="N83" s="10"/>
      <c r="O83" s="8"/>
      <c r="P83" s="10" t="s">
        <v>1109</v>
      </c>
      <c r="Q83" s="10"/>
      <c r="R83" s="10" t="s">
        <v>1109</v>
      </c>
      <c r="S83" s="10" t="s">
        <v>1092</v>
      </c>
      <c r="T83" s="10"/>
      <c r="U83" s="10"/>
      <c r="V83" s="10"/>
      <c r="W83" s="10"/>
    </row>
    <row r="84" spans="2:26" hidden="1" x14ac:dyDescent="0.25">
      <c r="B84" s="3">
        <v>77</v>
      </c>
      <c r="C84" s="3" t="s">
        <v>102</v>
      </c>
      <c r="D84" s="71" t="s">
        <v>518</v>
      </c>
      <c r="E84" s="71" t="s">
        <v>593</v>
      </c>
      <c r="F84" s="71"/>
      <c r="G84" s="71"/>
      <c r="H84" s="71" t="s">
        <v>518</v>
      </c>
      <c r="I84" s="8"/>
      <c r="J84" s="8" t="s">
        <v>396</v>
      </c>
      <c r="K84" s="8" t="s">
        <v>396</v>
      </c>
      <c r="L84" s="8"/>
      <c r="M84" s="8"/>
      <c r="N84" s="50"/>
      <c r="O84" s="8"/>
      <c r="P84" s="53" t="s">
        <v>1089</v>
      </c>
      <c r="Q84" s="53"/>
      <c r="R84" s="10" t="s">
        <v>1109</v>
      </c>
      <c r="S84" s="10" t="s">
        <v>1092</v>
      </c>
      <c r="T84" s="10"/>
      <c r="U84" s="10"/>
      <c r="V84" s="10"/>
      <c r="W84" s="10"/>
    </row>
    <row r="85" spans="2:26" hidden="1" x14ac:dyDescent="0.25">
      <c r="B85" s="3">
        <v>78</v>
      </c>
      <c r="C85" s="3" t="s">
        <v>102</v>
      </c>
      <c r="D85" s="71" t="s">
        <v>519</v>
      </c>
      <c r="E85" s="71" t="s">
        <v>587</v>
      </c>
      <c r="F85" s="71"/>
      <c r="G85" s="71"/>
      <c r="H85" s="71" t="s">
        <v>519</v>
      </c>
      <c r="I85" s="8"/>
      <c r="J85" s="8"/>
      <c r="K85" s="8" t="s">
        <v>396</v>
      </c>
      <c r="L85" s="8"/>
      <c r="M85" s="8"/>
      <c r="N85" s="10"/>
      <c r="O85" s="8"/>
      <c r="P85" s="10" t="s">
        <v>1109</v>
      </c>
      <c r="Q85" s="10"/>
      <c r="R85" s="10" t="s">
        <v>1109</v>
      </c>
      <c r="S85" s="10" t="s">
        <v>1092</v>
      </c>
      <c r="T85" s="10"/>
      <c r="U85" s="10"/>
      <c r="V85" s="10"/>
      <c r="W85" s="10"/>
    </row>
    <row r="86" spans="2:26" hidden="1" x14ac:dyDescent="0.25">
      <c r="B86" s="3">
        <v>79</v>
      </c>
      <c r="C86" s="3" t="s">
        <v>102</v>
      </c>
      <c r="D86" s="71" t="s">
        <v>509</v>
      </c>
      <c r="E86" s="71" t="s">
        <v>584</v>
      </c>
      <c r="F86" s="71"/>
      <c r="G86" s="71"/>
      <c r="H86" s="71" t="s">
        <v>509</v>
      </c>
      <c r="I86" s="8"/>
      <c r="J86" s="8"/>
      <c r="K86" s="8" t="s">
        <v>396</v>
      </c>
      <c r="L86" s="8"/>
      <c r="M86" s="8"/>
      <c r="N86" s="10"/>
      <c r="O86" s="8"/>
      <c r="P86" s="10" t="s">
        <v>1109</v>
      </c>
      <c r="Q86" s="10"/>
      <c r="R86" s="10" t="s">
        <v>1109</v>
      </c>
      <c r="S86" s="10" t="s">
        <v>1109</v>
      </c>
      <c r="T86" s="10"/>
      <c r="U86" s="10"/>
      <c r="V86" s="10"/>
      <c r="W86" s="10"/>
    </row>
    <row r="87" spans="2:26" hidden="1" x14ac:dyDescent="0.25">
      <c r="B87" s="3">
        <v>80</v>
      </c>
      <c r="C87" s="3" t="s">
        <v>102</v>
      </c>
      <c r="D87" s="71" t="s">
        <v>515</v>
      </c>
      <c r="E87" s="71" t="s">
        <v>590</v>
      </c>
      <c r="F87" s="71"/>
      <c r="G87" s="71"/>
      <c r="H87" s="71" t="s">
        <v>515</v>
      </c>
      <c r="I87" s="8"/>
      <c r="J87" s="8"/>
      <c r="K87" s="8" t="s">
        <v>396</v>
      </c>
      <c r="L87" s="8"/>
      <c r="M87" s="8"/>
      <c r="N87" s="10"/>
      <c r="O87" s="8"/>
      <c r="P87" s="10" t="s">
        <v>1109</v>
      </c>
      <c r="Q87" s="10"/>
      <c r="R87" s="10" t="s">
        <v>1109</v>
      </c>
      <c r="S87" s="10" t="s">
        <v>1092</v>
      </c>
      <c r="T87" s="10"/>
      <c r="U87" s="10"/>
      <c r="V87" s="10"/>
      <c r="W87" s="10"/>
    </row>
    <row r="88" spans="2:26" x14ac:dyDescent="0.25">
      <c r="B88" s="3">
        <v>1</v>
      </c>
      <c r="C88" s="88" t="s">
        <v>144</v>
      </c>
      <c r="D88" s="57" t="s">
        <v>145</v>
      </c>
      <c r="E88" s="3" t="s">
        <v>636</v>
      </c>
      <c r="F88" s="3"/>
      <c r="G88" s="3"/>
      <c r="H88" s="3" t="s">
        <v>145</v>
      </c>
      <c r="I88" s="8" t="s">
        <v>936</v>
      </c>
      <c r="J88" s="8" t="s">
        <v>396</v>
      </c>
      <c r="K88" s="8"/>
      <c r="L88" s="8" t="s">
        <v>396</v>
      </c>
      <c r="M88" s="8"/>
      <c r="N88" s="52"/>
      <c r="O88" s="8"/>
      <c r="P88" s="10" t="s">
        <v>1109</v>
      </c>
      <c r="Q88" s="10"/>
      <c r="R88" s="10" t="s">
        <v>1109</v>
      </c>
      <c r="S88" s="10" t="s">
        <v>1109</v>
      </c>
      <c r="T88" s="10"/>
      <c r="U88" s="10"/>
      <c r="V88" s="10" t="s">
        <v>1191</v>
      </c>
      <c r="W88" s="10"/>
    </row>
    <row r="89" spans="2:26" x14ac:dyDescent="0.25">
      <c r="B89" s="3">
        <v>2</v>
      </c>
      <c r="C89" s="88" t="s">
        <v>144</v>
      </c>
      <c r="D89" s="3" t="s">
        <v>146</v>
      </c>
      <c r="E89" s="69" t="s">
        <v>633</v>
      </c>
      <c r="F89" s="69"/>
      <c r="G89" s="69"/>
      <c r="H89" s="3" t="s">
        <v>146</v>
      </c>
      <c r="I89" s="8" t="s">
        <v>936</v>
      </c>
      <c r="J89" s="8" t="s">
        <v>396</v>
      </c>
      <c r="K89" s="8"/>
      <c r="L89" s="8" t="s">
        <v>396</v>
      </c>
      <c r="M89" s="8"/>
      <c r="N89" s="52"/>
      <c r="O89" s="8"/>
      <c r="P89" s="10" t="s">
        <v>1096</v>
      </c>
      <c r="Q89" s="10" t="s">
        <v>1092</v>
      </c>
      <c r="R89" s="10" t="s">
        <v>1109</v>
      </c>
      <c r="S89" s="10" t="s">
        <v>1109</v>
      </c>
      <c r="T89" s="10"/>
      <c r="U89" s="10"/>
      <c r="V89" s="10" t="s">
        <v>1191</v>
      </c>
      <c r="W89" s="10"/>
      <c r="Y89" s="58"/>
      <c r="Z89" s="9" t="s">
        <v>1124</v>
      </c>
    </row>
    <row r="90" spans="2:26" x14ac:dyDescent="0.25">
      <c r="B90" s="3">
        <v>3</v>
      </c>
      <c r="C90" s="88" t="s">
        <v>144</v>
      </c>
      <c r="D90" s="57" t="s">
        <v>148</v>
      </c>
      <c r="E90" s="3" t="s">
        <v>647</v>
      </c>
      <c r="F90" s="3"/>
      <c r="G90" s="3"/>
      <c r="H90" s="3" t="s">
        <v>148</v>
      </c>
      <c r="I90" s="8" t="s">
        <v>936</v>
      </c>
      <c r="J90" s="8" t="s">
        <v>396</v>
      </c>
      <c r="K90" s="8"/>
      <c r="L90" s="8" t="s">
        <v>396</v>
      </c>
      <c r="M90" s="8"/>
      <c r="N90" s="52"/>
      <c r="O90" s="8"/>
      <c r="P90" s="10" t="s">
        <v>1109</v>
      </c>
      <c r="Q90" s="10"/>
      <c r="R90" s="10" t="s">
        <v>1109</v>
      </c>
      <c r="S90" s="10" t="s">
        <v>1109</v>
      </c>
      <c r="T90" s="10"/>
      <c r="U90" s="10"/>
      <c r="V90" s="10" t="s">
        <v>1191</v>
      </c>
      <c r="W90" s="10"/>
      <c r="Y90" s="58"/>
      <c r="Z90" s="9" t="s">
        <v>1125</v>
      </c>
    </row>
    <row r="91" spans="2:26" x14ac:dyDescent="0.25">
      <c r="B91" s="3">
        <v>4</v>
      </c>
      <c r="C91" s="88" t="s">
        <v>144</v>
      </c>
      <c r="D91" s="57" t="s">
        <v>149</v>
      </c>
      <c r="E91" s="3" t="s">
        <v>645</v>
      </c>
      <c r="F91" s="3"/>
      <c r="G91" s="3"/>
      <c r="H91" s="3" t="s">
        <v>149</v>
      </c>
      <c r="I91" s="8" t="s">
        <v>936</v>
      </c>
      <c r="J91" s="8" t="s">
        <v>396</v>
      </c>
      <c r="K91" s="8"/>
      <c r="L91" s="8" t="s">
        <v>396</v>
      </c>
      <c r="M91" s="8"/>
      <c r="N91" s="52"/>
      <c r="O91" s="8"/>
      <c r="P91" s="10" t="s">
        <v>1109</v>
      </c>
      <c r="Q91" s="10"/>
      <c r="R91" s="10" t="s">
        <v>1109</v>
      </c>
      <c r="S91" s="10" t="s">
        <v>1092</v>
      </c>
      <c r="T91" s="10"/>
      <c r="U91" s="10"/>
      <c r="V91" s="10" t="s">
        <v>1191</v>
      </c>
      <c r="W91" s="10"/>
      <c r="Z91" s="9" t="s">
        <v>1124</v>
      </c>
    </row>
    <row r="92" spans="2:26" ht="25.5" x14ac:dyDescent="0.25">
      <c r="B92" s="3">
        <v>5</v>
      </c>
      <c r="C92" s="88" t="s">
        <v>144</v>
      </c>
      <c r="D92" s="3" t="s">
        <v>151</v>
      </c>
      <c r="E92" s="3" t="s">
        <v>632</v>
      </c>
      <c r="F92" s="3"/>
      <c r="G92" s="3"/>
      <c r="H92" s="3" t="s">
        <v>151</v>
      </c>
      <c r="I92" s="8" t="s">
        <v>936</v>
      </c>
      <c r="J92" s="8" t="s">
        <v>396</v>
      </c>
      <c r="K92" s="8"/>
      <c r="L92" s="8" t="s">
        <v>396</v>
      </c>
      <c r="M92" s="8"/>
      <c r="N92" s="52"/>
      <c r="O92" s="8"/>
      <c r="P92" s="10" t="s">
        <v>1093</v>
      </c>
      <c r="Q92" s="10" t="s">
        <v>1092</v>
      </c>
      <c r="R92" s="10" t="s">
        <v>1109</v>
      </c>
      <c r="S92" s="10" t="s">
        <v>1092</v>
      </c>
      <c r="T92" s="10"/>
      <c r="U92" s="10"/>
      <c r="V92" s="10" t="s">
        <v>1191</v>
      </c>
      <c r="W92" s="10"/>
      <c r="Y92" s="58"/>
      <c r="Z92" s="61" t="s">
        <v>1122</v>
      </c>
    </row>
    <row r="93" spans="2:26" x14ac:dyDescent="0.25">
      <c r="B93" s="3">
        <v>6</v>
      </c>
      <c r="C93" s="88" t="s">
        <v>144</v>
      </c>
      <c r="D93" s="21" t="s">
        <v>153</v>
      </c>
      <c r="E93" s="3" t="s">
        <v>613</v>
      </c>
      <c r="F93" s="21"/>
      <c r="G93" s="21"/>
      <c r="H93" s="21" t="s">
        <v>153</v>
      </c>
      <c r="I93" s="8" t="s">
        <v>936</v>
      </c>
      <c r="J93" s="8" t="s">
        <v>396</v>
      </c>
      <c r="K93" s="8"/>
      <c r="L93" s="8" t="s">
        <v>396</v>
      </c>
      <c r="M93" s="8"/>
      <c r="N93" s="52"/>
      <c r="O93" s="8"/>
      <c r="P93" s="10" t="s">
        <v>1095</v>
      </c>
      <c r="Q93" s="10" t="s">
        <v>1092</v>
      </c>
      <c r="R93" s="10" t="s">
        <v>1109</v>
      </c>
      <c r="S93" s="53" t="s">
        <v>1155</v>
      </c>
      <c r="T93" s="10"/>
      <c r="U93" s="10"/>
      <c r="V93" s="10" t="s">
        <v>1191</v>
      </c>
      <c r="W93" s="10"/>
      <c r="Z93" s="9" t="s">
        <v>1128</v>
      </c>
    </row>
    <row r="94" spans="2:26" x14ac:dyDescent="0.25">
      <c r="B94" s="3">
        <v>7</v>
      </c>
      <c r="C94" s="88" t="s">
        <v>144</v>
      </c>
      <c r="D94" s="3" t="s">
        <v>154</v>
      </c>
      <c r="E94" s="69" t="s">
        <v>616</v>
      </c>
      <c r="F94" s="69" t="s">
        <v>396</v>
      </c>
      <c r="G94" s="69"/>
      <c r="H94" s="3" t="s">
        <v>154</v>
      </c>
      <c r="I94" s="8" t="s">
        <v>936</v>
      </c>
      <c r="J94" s="8" t="s">
        <v>396</v>
      </c>
      <c r="K94" s="8"/>
      <c r="L94" s="8" t="s">
        <v>396</v>
      </c>
      <c r="M94" s="8"/>
      <c r="N94" s="52"/>
      <c r="O94" s="8"/>
      <c r="P94" s="10" t="s">
        <v>1166</v>
      </c>
      <c r="Q94" s="10" t="s">
        <v>1092</v>
      </c>
      <c r="R94" s="10" t="s">
        <v>1109</v>
      </c>
      <c r="S94" s="10" t="s">
        <v>1092</v>
      </c>
      <c r="T94" s="10"/>
      <c r="U94" s="10"/>
      <c r="V94" s="10" t="s">
        <v>1191</v>
      </c>
      <c r="W94" s="10"/>
    </row>
    <row r="95" spans="2:26" x14ac:dyDescent="0.25">
      <c r="B95" s="3">
        <v>8</v>
      </c>
      <c r="C95" s="88" t="s">
        <v>144</v>
      </c>
      <c r="D95" s="3" t="s">
        <v>155</v>
      </c>
      <c r="E95" s="69" t="s">
        <v>629</v>
      </c>
      <c r="F95" s="69"/>
      <c r="G95" s="69" t="s">
        <v>396</v>
      </c>
      <c r="H95" s="3" t="s">
        <v>155</v>
      </c>
      <c r="I95" s="8" t="s">
        <v>936</v>
      </c>
      <c r="J95" s="8" t="s">
        <v>396</v>
      </c>
      <c r="K95" s="8"/>
      <c r="L95" s="8" t="s">
        <v>396</v>
      </c>
      <c r="M95" s="8"/>
      <c r="N95" s="52"/>
      <c r="O95" s="8"/>
      <c r="P95" s="10" t="s">
        <v>1166</v>
      </c>
      <c r="Q95" s="10" t="s">
        <v>1092</v>
      </c>
      <c r="R95" s="10" t="s">
        <v>1109</v>
      </c>
      <c r="S95" s="10" t="s">
        <v>1092</v>
      </c>
      <c r="T95" s="10"/>
      <c r="U95" s="10"/>
      <c r="V95" s="10" t="s">
        <v>1191</v>
      </c>
      <c r="W95" s="10"/>
    </row>
    <row r="96" spans="2:26" x14ac:dyDescent="0.25">
      <c r="B96" s="3">
        <v>9</v>
      </c>
      <c r="C96" s="88" t="s">
        <v>144</v>
      </c>
      <c r="D96" s="3" t="s">
        <v>156</v>
      </c>
      <c r="E96" s="69" t="s">
        <v>648</v>
      </c>
      <c r="F96" s="69"/>
      <c r="G96" s="69"/>
      <c r="H96" s="3" t="s">
        <v>156</v>
      </c>
      <c r="I96" s="8" t="s">
        <v>936</v>
      </c>
      <c r="J96" s="8" t="s">
        <v>396</v>
      </c>
      <c r="K96" s="8"/>
      <c r="L96" s="8" t="s">
        <v>396</v>
      </c>
      <c r="M96" s="8"/>
      <c r="N96" s="52"/>
      <c r="O96" s="8"/>
      <c r="P96" s="10" t="s">
        <v>1166</v>
      </c>
      <c r="Q96" s="10" t="s">
        <v>1092</v>
      </c>
      <c r="R96" s="10" t="s">
        <v>1109</v>
      </c>
      <c r="S96" s="10" t="s">
        <v>1092</v>
      </c>
      <c r="T96" s="10"/>
      <c r="U96" s="10"/>
      <c r="V96" s="10" t="s">
        <v>262</v>
      </c>
      <c r="W96" s="10"/>
    </row>
    <row r="97" spans="2:26" x14ac:dyDescent="0.25">
      <c r="B97" s="3">
        <v>10</v>
      </c>
      <c r="C97" s="88" t="s">
        <v>144</v>
      </c>
      <c r="D97" s="3" t="s">
        <v>159</v>
      </c>
      <c r="E97" s="69" t="s">
        <v>1205</v>
      </c>
      <c r="F97" s="69"/>
      <c r="G97" s="69" t="s">
        <v>396</v>
      </c>
      <c r="H97" s="3" t="s">
        <v>159</v>
      </c>
      <c r="I97" s="8" t="s">
        <v>936</v>
      </c>
      <c r="J97" s="8" t="s">
        <v>396</v>
      </c>
      <c r="K97" s="8"/>
      <c r="L97" s="8" t="s">
        <v>396</v>
      </c>
      <c r="M97" s="8"/>
      <c r="N97" s="52"/>
      <c r="O97" s="8"/>
      <c r="P97" s="10" t="s">
        <v>1166</v>
      </c>
      <c r="Q97" s="10" t="s">
        <v>1092</v>
      </c>
      <c r="R97" s="10" t="s">
        <v>1109</v>
      </c>
      <c r="S97" s="10" t="s">
        <v>1092</v>
      </c>
      <c r="T97" s="10"/>
      <c r="U97" s="10"/>
      <c r="V97" s="10" t="s">
        <v>1191</v>
      </c>
      <c r="W97" s="10"/>
    </row>
    <row r="98" spans="2:26" x14ac:dyDescent="0.25">
      <c r="B98" s="3">
        <v>11</v>
      </c>
      <c r="C98" s="88" t="s">
        <v>144</v>
      </c>
      <c r="D98" s="21" t="s">
        <v>160</v>
      </c>
      <c r="E98" s="69" t="s">
        <v>617</v>
      </c>
      <c r="F98" s="83" t="s">
        <v>396</v>
      </c>
      <c r="G98" s="83"/>
      <c r="H98" s="21" t="s">
        <v>160</v>
      </c>
      <c r="I98" s="8" t="s">
        <v>936</v>
      </c>
      <c r="J98" s="8" t="s">
        <v>396</v>
      </c>
      <c r="K98" s="8"/>
      <c r="L98" s="8" t="s">
        <v>396</v>
      </c>
      <c r="M98" s="8"/>
      <c r="N98" s="52"/>
      <c r="O98" s="8"/>
      <c r="P98" s="10" t="s">
        <v>1166</v>
      </c>
      <c r="Q98" s="10" t="s">
        <v>1092</v>
      </c>
      <c r="R98" s="10" t="s">
        <v>1109</v>
      </c>
      <c r="S98" s="10" t="s">
        <v>1092</v>
      </c>
      <c r="T98" s="10"/>
      <c r="U98" s="10"/>
      <c r="V98" s="10" t="s">
        <v>1191</v>
      </c>
      <c r="W98" s="10"/>
    </row>
    <row r="99" spans="2:26" x14ac:dyDescent="0.25">
      <c r="B99" s="3">
        <v>12</v>
      </c>
      <c r="C99" s="88" t="s">
        <v>144</v>
      </c>
      <c r="D99" s="3" t="s">
        <v>161</v>
      </c>
      <c r="E99" s="69" t="s">
        <v>628</v>
      </c>
      <c r="F99" s="69"/>
      <c r="G99" s="69"/>
      <c r="H99" s="3" t="s">
        <v>161</v>
      </c>
      <c r="I99" s="8" t="s">
        <v>936</v>
      </c>
      <c r="J99" s="8" t="s">
        <v>396</v>
      </c>
      <c r="K99" s="8"/>
      <c r="L99" s="8" t="s">
        <v>396</v>
      </c>
      <c r="M99" s="8"/>
      <c r="N99" s="52"/>
      <c r="O99" s="8"/>
      <c r="P99" s="10" t="s">
        <v>1166</v>
      </c>
      <c r="Q99" s="10" t="s">
        <v>1092</v>
      </c>
      <c r="R99" s="10" t="s">
        <v>1109</v>
      </c>
      <c r="S99" s="10" t="s">
        <v>1092</v>
      </c>
      <c r="T99" s="10"/>
      <c r="U99" s="10"/>
      <c r="V99" s="10" t="s">
        <v>262</v>
      </c>
      <c r="W99" s="10"/>
    </row>
    <row r="100" spans="2:26" x14ac:dyDescent="0.25">
      <c r="B100" s="3">
        <v>13</v>
      </c>
      <c r="C100" s="88" t="s">
        <v>144</v>
      </c>
      <c r="D100" s="57" t="s">
        <v>169</v>
      </c>
      <c r="E100" s="3" t="s">
        <v>621</v>
      </c>
      <c r="F100" s="3"/>
      <c r="G100" s="3"/>
      <c r="H100" s="3" t="s">
        <v>169</v>
      </c>
      <c r="I100" s="8" t="s">
        <v>936</v>
      </c>
      <c r="J100" s="8" t="s">
        <v>396</v>
      </c>
      <c r="K100" s="8"/>
      <c r="L100" s="8" t="s">
        <v>396</v>
      </c>
      <c r="M100" s="8"/>
      <c r="N100" s="52"/>
      <c r="O100" s="8"/>
      <c r="P100" s="10" t="s">
        <v>1109</v>
      </c>
      <c r="Q100" s="10"/>
      <c r="R100" s="10" t="s">
        <v>1109</v>
      </c>
      <c r="S100" s="10" t="s">
        <v>1109</v>
      </c>
      <c r="T100" s="10"/>
      <c r="U100" s="10"/>
      <c r="V100" s="10" t="s">
        <v>1191</v>
      </c>
      <c r="W100" s="10"/>
    </row>
    <row r="101" spans="2:26" x14ac:dyDescent="0.25">
      <c r="B101" s="3">
        <v>14</v>
      </c>
      <c r="C101" s="88" t="s">
        <v>144</v>
      </c>
      <c r="D101" s="3" t="s">
        <v>152</v>
      </c>
      <c r="E101" s="3" t="s">
        <v>638</v>
      </c>
      <c r="F101" s="3"/>
      <c r="G101" s="3"/>
      <c r="H101" s="3" t="s">
        <v>152</v>
      </c>
      <c r="I101" s="8" t="s">
        <v>936</v>
      </c>
      <c r="J101" s="8" t="s">
        <v>396</v>
      </c>
      <c r="K101" s="8"/>
      <c r="L101" s="8" t="s">
        <v>396</v>
      </c>
      <c r="M101" s="8"/>
      <c r="N101" s="52"/>
      <c r="O101" s="8"/>
      <c r="P101" s="10" t="s">
        <v>1109</v>
      </c>
      <c r="Q101" s="10"/>
      <c r="R101" s="10" t="s">
        <v>1109</v>
      </c>
      <c r="S101" s="10" t="s">
        <v>1109</v>
      </c>
      <c r="T101" s="10"/>
      <c r="U101" s="10"/>
      <c r="V101" s="10" t="s">
        <v>1191</v>
      </c>
      <c r="W101" s="10"/>
    </row>
    <row r="102" spans="2:26" x14ac:dyDescent="0.25">
      <c r="B102" s="3">
        <v>15</v>
      </c>
      <c r="C102" s="88" t="s">
        <v>144</v>
      </c>
      <c r="D102" s="3" t="s">
        <v>162</v>
      </c>
      <c r="E102" s="3" t="s">
        <v>624</v>
      </c>
      <c r="F102" s="3" t="s">
        <v>396</v>
      </c>
      <c r="G102" s="3"/>
      <c r="H102" s="3" t="s">
        <v>162</v>
      </c>
      <c r="I102" s="8" t="s">
        <v>936</v>
      </c>
      <c r="J102" s="8" t="s">
        <v>396</v>
      </c>
      <c r="K102" s="8"/>
      <c r="L102" s="8" t="s">
        <v>396</v>
      </c>
      <c r="M102" s="8"/>
      <c r="N102" s="52"/>
      <c r="O102" s="8"/>
      <c r="P102" s="10" t="s">
        <v>1097</v>
      </c>
      <c r="Q102" s="10" t="s">
        <v>1092</v>
      </c>
      <c r="R102" s="10" t="s">
        <v>1092</v>
      </c>
      <c r="S102" s="10" t="s">
        <v>1092</v>
      </c>
      <c r="T102" s="10"/>
      <c r="U102" s="10"/>
      <c r="V102" s="10" t="s">
        <v>1191</v>
      </c>
      <c r="W102" s="10"/>
      <c r="Z102" s="9" t="s">
        <v>1120</v>
      </c>
    </row>
    <row r="103" spans="2:26" x14ac:dyDescent="0.25">
      <c r="B103" s="3">
        <v>16</v>
      </c>
      <c r="C103" s="88" t="s">
        <v>144</v>
      </c>
      <c r="D103" s="3" t="s">
        <v>163</v>
      </c>
      <c r="E103" s="3" t="s">
        <v>622</v>
      </c>
      <c r="F103" s="3"/>
      <c r="G103" s="3"/>
      <c r="H103" s="3" t="s">
        <v>163</v>
      </c>
      <c r="I103" s="8" t="s">
        <v>936</v>
      </c>
      <c r="J103" s="8" t="s">
        <v>396</v>
      </c>
      <c r="K103" s="8"/>
      <c r="L103" s="8" t="s">
        <v>396</v>
      </c>
      <c r="M103" s="8"/>
      <c r="N103" s="52"/>
      <c r="O103" s="8"/>
      <c r="P103" s="10" t="s">
        <v>1095</v>
      </c>
      <c r="Q103" s="10" t="s">
        <v>1092</v>
      </c>
      <c r="R103" s="10" t="s">
        <v>1092</v>
      </c>
      <c r="S103" s="10" t="s">
        <v>1092</v>
      </c>
      <c r="T103" s="10"/>
      <c r="U103" s="10"/>
      <c r="V103" s="10" t="s">
        <v>262</v>
      </c>
      <c r="W103" s="10"/>
      <c r="Z103" s="9" t="s">
        <v>1121</v>
      </c>
    </row>
    <row r="104" spans="2:26" x14ac:dyDescent="0.25">
      <c r="B104" s="3">
        <v>17</v>
      </c>
      <c r="C104" s="88" t="s">
        <v>144</v>
      </c>
      <c r="D104" s="3" t="s">
        <v>164</v>
      </c>
      <c r="E104" s="3" t="s">
        <v>623</v>
      </c>
      <c r="F104" s="3"/>
      <c r="G104" s="3" t="s">
        <v>396</v>
      </c>
      <c r="H104" s="3" t="s">
        <v>164</v>
      </c>
      <c r="I104" s="8" t="s">
        <v>936</v>
      </c>
      <c r="J104" s="8" t="s">
        <v>396</v>
      </c>
      <c r="K104" s="8"/>
      <c r="L104" s="8" t="s">
        <v>396</v>
      </c>
      <c r="M104" s="8"/>
      <c r="N104" s="52"/>
      <c r="O104" s="8"/>
      <c r="P104" s="10" t="s">
        <v>1095</v>
      </c>
      <c r="Q104" s="10" t="s">
        <v>1092</v>
      </c>
      <c r="R104" s="10" t="s">
        <v>1092</v>
      </c>
      <c r="S104" s="10" t="s">
        <v>1092</v>
      </c>
      <c r="T104" s="10"/>
      <c r="U104" s="10"/>
      <c r="V104" s="10" t="s">
        <v>1191</v>
      </c>
      <c r="W104" s="10"/>
      <c r="Y104" s="58"/>
      <c r="Z104" s="9" t="s">
        <v>1127</v>
      </c>
    </row>
    <row r="105" spans="2:26" x14ac:dyDescent="0.25">
      <c r="B105" s="3">
        <v>18</v>
      </c>
      <c r="C105" s="88" t="s">
        <v>144</v>
      </c>
      <c r="D105" s="3" t="s">
        <v>165</v>
      </c>
      <c r="E105" s="3" t="s">
        <v>639</v>
      </c>
      <c r="F105" s="3" t="s">
        <v>396</v>
      </c>
      <c r="G105" s="3"/>
      <c r="H105" s="3" t="s">
        <v>165</v>
      </c>
      <c r="I105" s="8" t="s">
        <v>936</v>
      </c>
      <c r="J105" s="8" t="s">
        <v>396</v>
      </c>
      <c r="K105" s="8"/>
      <c r="L105" s="8" t="s">
        <v>396</v>
      </c>
      <c r="M105" s="8"/>
      <c r="N105" s="52"/>
      <c r="O105" s="8"/>
      <c r="P105" s="10" t="s">
        <v>1095</v>
      </c>
      <c r="Q105" s="10" t="s">
        <v>1092</v>
      </c>
      <c r="R105" s="10" t="s">
        <v>1111</v>
      </c>
      <c r="S105" s="10" t="s">
        <v>1092</v>
      </c>
      <c r="T105" s="10"/>
      <c r="U105" s="10"/>
      <c r="V105" s="10" t="s">
        <v>1191</v>
      </c>
      <c r="W105" s="10"/>
    </row>
    <row r="106" spans="2:26" ht="25.5" x14ac:dyDescent="0.25">
      <c r="B106" s="3">
        <v>19</v>
      </c>
      <c r="C106" s="88" t="s">
        <v>144</v>
      </c>
      <c r="D106" s="3" t="s">
        <v>166</v>
      </c>
      <c r="E106" s="3" t="s">
        <v>640</v>
      </c>
      <c r="F106" s="3"/>
      <c r="G106" s="3"/>
      <c r="H106" s="3" t="s">
        <v>166</v>
      </c>
      <c r="I106" s="8" t="s">
        <v>936</v>
      </c>
      <c r="J106" s="8" t="s">
        <v>396</v>
      </c>
      <c r="K106" s="8"/>
      <c r="L106" s="8" t="s">
        <v>396</v>
      </c>
      <c r="M106" s="8"/>
      <c r="N106" s="52"/>
      <c r="O106" s="8"/>
      <c r="P106" s="10" t="s">
        <v>1095</v>
      </c>
      <c r="Q106" s="10" t="s">
        <v>1092</v>
      </c>
      <c r="R106" s="10" t="s">
        <v>1092</v>
      </c>
      <c r="S106" s="10" t="s">
        <v>1092</v>
      </c>
      <c r="T106" s="10"/>
      <c r="U106" s="10"/>
      <c r="V106" s="10" t="s">
        <v>262</v>
      </c>
      <c r="W106" s="10"/>
      <c r="Z106" s="61" t="s">
        <v>1119</v>
      </c>
    </row>
    <row r="107" spans="2:26" x14ac:dyDescent="0.25">
      <c r="B107" s="3">
        <v>20</v>
      </c>
      <c r="C107" s="88" t="s">
        <v>144</v>
      </c>
      <c r="D107" s="3" t="s">
        <v>167</v>
      </c>
      <c r="E107" s="3" t="s">
        <v>625</v>
      </c>
      <c r="F107" s="3"/>
      <c r="G107" s="3" t="s">
        <v>396</v>
      </c>
      <c r="H107" s="3" t="s">
        <v>167</v>
      </c>
      <c r="I107" s="8" t="s">
        <v>936</v>
      </c>
      <c r="J107" s="8" t="s">
        <v>396</v>
      </c>
      <c r="K107" s="8"/>
      <c r="L107" s="8" t="s">
        <v>396</v>
      </c>
      <c r="M107" s="8"/>
      <c r="N107" s="52"/>
      <c r="O107" s="8"/>
      <c r="P107" s="10" t="s">
        <v>1095</v>
      </c>
      <c r="Q107" s="10" t="s">
        <v>1092</v>
      </c>
      <c r="R107" s="10" t="s">
        <v>1092</v>
      </c>
      <c r="S107" s="10" t="s">
        <v>1092</v>
      </c>
      <c r="T107" s="10"/>
      <c r="U107" s="10"/>
      <c r="V107" s="10" t="s">
        <v>1191</v>
      </c>
      <c r="W107" s="10"/>
      <c r="Z107" s="9" t="s">
        <v>1127</v>
      </c>
    </row>
    <row r="108" spans="2:26" x14ac:dyDescent="0.25">
      <c r="B108" s="3">
        <v>21</v>
      </c>
      <c r="C108" s="88" t="s">
        <v>144</v>
      </c>
      <c r="D108" s="3" t="s">
        <v>157</v>
      </c>
      <c r="E108" s="3" t="s">
        <v>614</v>
      </c>
      <c r="F108" s="3"/>
      <c r="G108" s="3"/>
      <c r="H108" s="3" t="s">
        <v>157</v>
      </c>
      <c r="I108" s="8" t="s">
        <v>936</v>
      </c>
      <c r="J108" s="8" t="s">
        <v>396</v>
      </c>
      <c r="K108" s="8"/>
      <c r="L108" s="8" t="s">
        <v>396</v>
      </c>
      <c r="M108" s="8"/>
      <c r="N108" s="52"/>
      <c r="O108" s="8"/>
      <c r="P108" s="10" t="s">
        <v>1109</v>
      </c>
      <c r="Q108" s="10" t="s">
        <v>1092</v>
      </c>
      <c r="R108" s="10" t="s">
        <v>1109</v>
      </c>
      <c r="S108" s="10" t="s">
        <v>1109</v>
      </c>
      <c r="T108" s="10"/>
      <c r="U108" s="10"/>
      <c r="V108" s="10" t="s">
        <v>1191</v>
      </c>
      <c r="W108" s="10"/>
    </row>
    <row r="109" spans="2:26" x14ac:dyDescent="0.2">
      <c r="B109" s="3"/>
      <c r="C109" s="88" t="s">
        <v>144</v>
      </c>
      <c r="D109" s="18" t="s">
        <v>499</v>
      </c>
      <c r="E109" s="3" t="s">
        <v>642</v>
      </c>
      <c r="F109" s="3"/>
      <c r="G109" s="3"/>
      <c r="H109" s="18" t="s">
        <v>499</v>
      </c>
      <c r="I109" s="8" t="s">
        <v>936</v>
      </c>
      <c r="J109" s="8"/>
      <c r="K109" s="8"/>
      <c r="L109" s="8"/>
      <c r="M109" s="8"/>
      <c r="N109" s="10"/>
      <c r="O109" s="8"/>
      <c r="P109" s="10"/>
      <c r="Q109" s="10"/>
      <c r="R109" s="10"/>
      <c r="S109" s="10"/>
      <c r="T109" s="10"/>
      <c r="U109" s="10"/>
      <c r="V109" s="10" t="s">
        <v>1191</v>
      </c>
      <c r="W109" s="10"/>
    </row>
    <row r="110" spans="2:26" x14ac:dyDescent="0.25">
      <c r="B110" s="3">
        <v>22</v>
      </c>
      <c r="C110" s="88" t="s">
        <v>144</v>
      </c>
      <c r="D110" s="3" t="s">
        <v>158</v>
      </c>
      <c r="E110" s="3" t="s">
        <v>615</v>
      </c>
      <c r="F110" s="3"/>
      <c r="G110" s="3"/>
      <c r="H110" s="3" t="s">
        <v>158</v>
      </c>
      <c r="I110" s="8" t="s">
        <v>936</v>
      </c>
      <c r="J110" s="8" t="s">
        <v>396</v>
      </c>
      <c r="K110" s="8"/>
      <c r="L110" s="8" t="s">
        <v>396</v>
      </c>
      <c r="M110" s="8"/>
      <c r="N110" s="52"/>
      <c r="O110" s="8"/>
      <c r="P110" s="10" t="s">
        <v>1109</v>
      </c>
      <c r="Q110" s="10"/>
      <c r="R110" s="10" t="s">
        <v>1109</v>
      </c>
      <c r="S110" s="10" t="s">
        <v>1109</v>
      </c>
      <c r="T110" s="10"/>
      <c r="U110" s="10"/>
      <c r="V110" s="10" t="s">
        <v>1191</v>
      </c>
      <c r="W110" s="10"/>
    </row>
    <row r="111" spans="2:26" ht="25.5" x14ac:dyDescent="0.25">
      <c r="B111" s="3">
        <v>23</v>
      </c>
      <c r="C111" s="88" t="s">
        <v>144</v>
      </c>
      <c r="D111" s="3" t="s">
        <v>168</v>
      </c>
      <c r="E111" s="3" t="s">
        <v>618</v>
      </c>
      <c r="F111" s="3"/>
      <c r="G111" s="3"/>
      <c r="H111" s="3" t="s">
        <v>168</v>
      </c>
      <c r="I111" s="8" t="s">
        <v>936</v>
      </c>
      <c r="J111" s="8" t="s">
        <v>396</v>
      </c>
      <c r="K111" s="8"/>
      <c r="L111" s="8" t="s">
        <v>396</v>
      </c>
      <c r="M111" s="8"/>
      <c r="N111" s="52"/>
      <c r="O111" s="8"/>
      <c r="P111" s="10" t="s">
        <v>1093</v>
      </c>
      <c r="Q111" s="10" t="s">
        <v>1092</v>
      </c>
      <c r="R111" s="10" t="s">
        <v>1109</v>
      </c>
      <c r="S111" s="10" t="s">
        <v>1109</v>
      </c>
      <c r="T111" s="10"/>
      <c r="U111" s="10"/>
      <c r="V111" s="10" t="s">
        <v>1191</v>
      </c>
      <c r="W111" s="10"/>
      <c r="Z111" s="61" t="s">
        <v>1146</v>
      </c>
    </row>
    <row r="112" spans="2:26" x14ac:dyDescent="0.25">
      <c r="B112" s="3">
        <v>24</v>
      </c>
      <c r="C112" s="88" t="s">
        <v>144</v>
      </c>
      <c r="D112" s="3" t="s">
        <v>172</v>
      </c>
      <c r="E112" s="69" t="s">
        <v>619</v>
      </c>
      <c r="F112" s="69"/>
      <c r="G112" s="69"/>
      <c r="H112" s="3" t="s">
        <v>172</v>
      </c>
      <c r="I112" s="8" t="s">
        <v>936</v>
      </c>
      <c r="J112" s="8" t="s">
        <v>396</v>
      </c>
      <c r="K112" s="8"/>
      <c r="L112" s="8" t="s">
        <v>396</v>
      </c>
      <c r="M112" s="8"/>
      <c r="N112" s="52"/>
      <c r="O112" s="8"/>
      <c r="P112" s="10" t="s">
        <v>1167</v>
      </c>
      <c r="Q112" s="10" t="s">
        <v>1092</v>
      </c>
      <c r="R112" s="10" t="s">
        <v>1109</v>
      </c>
      <c r="S112" s="10" t="s">
        <v>1092</v>
      </c>
      <c r="T112" s="10"/>
      <c r="U112" s="10"/>
      <c r="V112" s="10" t="s">
        <v>1191</v>
      </c>
      <c r="W112" s="10"/>
      <c r="Y112" s="58"/>
    </row>
    <row r="113" spans="2:26" ht="25.5" x14ac:dyDescent="0.25">
      <c r="B113" s="3">
        <v>25</v>
      </c>
      <c r="C113" s="88" t="s">
        <v>144</v>
      </c>
      <c r="D113" s="3" t="s">
        <v>170</v>
      </c>
      <c r="E113" s="3" t="s">
        <v>627</v>
      </c>
      <c r="F113" s="3"/>
      <c r="G113" s="3"/>
      <c r="H113" s="3" t="s">
        <v>170</v>
      </c>
      <c r="I113" s="8" t="s">
        <v>936</v>
      </c>
      <c r="J113" s="8" t="s">
        <v>396</v>
      </c>
      <c r="K113" s="8"/>
      <c r="L113" s="8" t="s">
        <v>396</v>
      </c>
      <c r="M113" s="8"/>
      <c r="N113" s="52"/>
      <c r="O113" s="8"/>
      <c r="P113" s="10" t="s">
        <v>1091</v>
      </c>
      <c r="Q113" s="10" t="s">
        <v>1092</v>
      </c>
      <c r="R113" s="10" t="s">
        <v>1109</v>
      </c>
      <c r="S113" s="10" t="s">
        <v>1092</v>
      </c>
      <c r="T113" s="10"/>
      <c r="U113" s="10"/>
      <c r="V113" s="10" t="s">
        <v>1191</v>
      </c>
      <c r="W113" s="10"/>
      <c r="Y113" s="58"/>
      <c r="Z113" s="61" t="s">
        <v>1143</v>
      </c>
    </row>
    <row r="114" spans="2:26" x14ac:dyDescent="0.25">
      <c r="B114" s="3">
        <v>29</v>
      </c>
      <c r="C114" s="88" t="s">
        <v>144</v>
      </c>
      <c r="D114" s="3" t="s">
        <v>175</v>
      </c>
      <c r="E114" s="3" t="s">
        <v>626</v>
      </c>
      <c r="F114" s="3"/>
      <c r="G114" s="3"/>
      <c r="H114" s="3" t="s">
        <v>175</v>
      </c>
      <c r="I114" s="8" t="s">
        <v>936</v>
      </c>
      <c r="J114" s="8" t="s">
        <v>396</v>
      </c>
      <c r="K114" s="8"/>
      <c r="L114" s="8" t="s">
        <v>396</v>
      </c>
      <c r="M114" s="8"/>
      <c r="N114" s="52"/>
      <c r="O114" s="8"/>
      <c r="P114" s="10" t="s">
        <v>1109</v>
      </c>
      <c r="Q114" s="10"/>
      <c r="R114" s="10" t="s">
        <v>1109</v>
      </c>
      <c r="S114" s="10" t="s">
        <v>1109</v>
      </c>
      <c r="T114" s="10"/>
      <c r="U114" s="10"/>
      <c r="V114" s="10" t="s">
        <v>1191</v>
      </c>
      <c r="W114" s="10"/>
    </row>
    <row r="115" spans="2:26" x14ac:dyDescent="0.25">
      <c r="B115" s="3">
        <v>30</v>
      </c>
      <c r="C115" s="88" t="s">
        <v>144</v>
      </c>
      <c r="D115" s="3" t="s">
        <v>150</v>
      </c>
      <c r="E115" s="3" t="s">
        <v>644</v>
      </c>
      <c r="F115" s="3"/>
      <c r="G115" s="3"/>
      <c r="H115" s="3" t="s">
        <v>150</v>
      </c>
      <c r="I115" s="8" t="s">
        <v>936</v>
      </c>
      <c r="J115" s="8" t="s">
        <v>396</v>
      </c>
      <c r="K115" s="8"/>
      <c r="L115" s="8" t="s">
        <v>396</v>
      </c>
      <c r="M115" s="8"/>
      <c r="N115" s="52"/>
      <c r="O115" s="8"/>
      <c r="P115" s="10" t="s">
        <v>1109</v>
      </c>
      <c r="Q115" s="10"/>
      <c r="R115" s="10" t="s">
        <v>1109</v>
      </c>
      <c r="S115" s="10" t="s">
        <v>1109</v>
      </c>
      <c r="T115" s="10"/>
      <c r="U115" s="10"/>
      <c r="V115" s="10" t="s">
        <v>1191</v>
      </c>
      <c r="W115" s="10"/>
      <c r="Z115" s="9" t="s">
        <v>1124</v>
      </c>
    </row>
    <row r="116" spans="2:26" ht="25.5" x14ac:dyDescent="0.25">
      <c r="B116" s="3">
        <v>31</v>
      </c>
      <c r="C116" s="88" t="s">
        <v>144</v>
      </c>
      <c r="D116" s="3" t="s">
        <v>173</v>
      </c>
      <c r="E116" s="3" t="s">
        <v>646</v>
      </c>
      <c r="F116" s="3"/>
      <c r="G116" s="3"/>
      <c r="H116" s="3" t="s">
        <v>173</v>
      </c>
      <c r="I116" s="8" t="s">
        <v>936</v>
      </c>
      <c r="J116" s="8" t="s">
        <v>396</v>
      </c>
      <c r="K116" s="8"/>
      <c r="L116" s="8" t="s">
        <v>396</v>
      </c>
      <c r="M116" s="8"/>
      <c r="N116" s="52"/>
      <c r="O116" s="8"/>
      <c r="P116" s="10" t="s">
        <v>1109</v>
      </c>
      <c r="Q116" s="10"/>
      <c r="R116" s="10" t="s">
        <v>1109</v>
      </c>
      <c r="S116" s="10" t="s">
        <v>1109</v>
      </c>
      <c r="T116" s="10"/>
      <c r="U116" s="10"/>
      <c r="V116" s="10" t="s">
        <v>1191</v>
      </c>
      <c r="W116" s="10"/>
      <c r="Z116" s="61" t="s">
        <v>1126</v>
      </c>
    </row>
    <row r="117" spans="2:26" x14ac:dyDescent="0.25">
      <c r="B117" s="3">
        <v>32</v>
      </c>
      <c r="C117" s="88" t="s">
        <v>144</v>
      </c>
      <c r="D117" s="3" t="s">
        <v>147</v>
      </c>
      <c r="E117" s="69" t="s">
        <v>634</v>
      </c>
      <c r="F117" s="69"/>
      <c r="G117" s="69"/>
      <c r="H117" s="3" t="s">
        <v>147</v>
      </c>
      <c r="I117" s="8" t="s">
        <v>936</v>
      </c>
      <c r="J117" s="8" t="s">
        <v>396</v>
      </c>
      <c r="K117" s="8"/>
      <c r="L117" s="8" t="s">
        <v>396</v>
      </c>
      <c r="M117" s="8"/>
      <c r="N117" s="52"/>
      <c r="O117" s="8"/>
      <c r="P117" s="10" t="s">
        <v>1096</v>
      </c>
      <c r="Q117" s="10" t="s">
        <v>1092</v>
      </c>
      <c r="R117" s="10" t="s">
        <v>1109</v>
      </c>
      <c r="S117" s="10" t="s">
        <v>1092</v>
      </c>
      <c r="T117" s="10"/>
      <c r="U117" s="10"/>
      <c r="V117" s="10" t="s">
        <v>1191</v>
      </c>
      <c r="W117" s="10"/>
      <c r="Z117" s="9" t="s">
        <v>1124</v>
      </c>
    </row>
    <row r="118" spans="2:26" x14ac:dyDescent="0.25">
      <c r="B118" s="3">
        <v>33</v>
      </c>
      <c r="C118" s="88" t="s">
        <v>144</v>
      </c>
      <c r="D118" s="3" t="s">
        <v>174</v>
      </c>
      <c r="E118" s="69" t="s">
        <v>635</v>
      </c>
      <c r="F118" s="69"/>
      <c r="G118" s="69"/>
      <c r="H118" s="3" t="s">
        <v>174</v>
      </c>
      <c r="I118" s="8" t="s">
        <v>936</v>
      </c>
      <c r="J118" s="8" t="s">
        <v>396</v>
      </c>
      <c r="K118" s="8"/>
      <c r="L118" s="8" t="s">
        <v>396</v>
      </c>
      <c r="M118" s="8"/>
      <c r="N118" s="52"/>
      <c r="O118" s="8"/>
      <c r="P118" s="10" t="s">
        <v>1096</v>
      </c>
      <c r="Q118" s="10" t="s">
        <v>1092</v>
      </c>
      <c r="R118" s="10" t="s">
        <v>1109</v>
      </c>
      <c r="S118" s="10" t="s">
        <v>1092</v>
      </c>
      <c r="T118" s="10"/>
      <c r="U118" s="10"/>
      <c r="V118" s="10" t="s">
        <v>1191</v>
      </c>
      <c r="W118" s="10"/>
    </row>
    <row r="119" spans="2:26" x14ac:dyDescent="0.25">
      <c r="B119" s="3">
        <v>34</v>
      </c>
      <c r="C119" s="88" t="s">
        <v>144</v>
      </c>
      <c r="D119" s="3" t="s">
        <v>171</v>
      </c>
      <c r="E119" s="3" t="s">
        <v>631</v>
      </c>
      <c r="F119" s="3"/>
      <c r="G119" s="3"/>
      <c r="H119" s="3" t="s">
        <v>171</v>
      </c>
      <c r="I119" s="8" t="s">
        <v>936</v>
      </c>
      <c r="J119" s="8" t="s">
        <v>396</v>
      </c>
      <c r="K119" s="8"/>
      <c r="L119" s="8" t="s">
        <v>396</v>
      </c>
      <c r="M119" s="8"/>
      <c r="N119" s="52"/>
      <c r="O119" s="8"/>
      <c r="P119" s="10" t="s">
        <v>1109</v>
      </c>
      <c r="Q119" s="10"/>
      <c r="R119" s="10" t="s">
        <v>1109</v>
      </c>
      <c r="S119" s="10" t="s">
        <v>1092</v>
      </c>
      <c r="T119" s="10"/>
      <c r="U119" s="10"/>
      <c r="V119" s="10" t="s">
        <v>1191</v>
      </c>
      <c r="W119" s="10"/>
      <c r="Z119" s="9" t="s">
        <v>1124</v>
      </c>
    </row>
    <row r="120" spans="2:26" hidden="1" x14ac:dyDescent="0.25">
      <c r="B120" s="3">
        <v>36</v>
      </c>
      <c r="C120" s="3" t="s">
        <v>144</v>
      </c>
      <c r="D120" s="72" t="s">
        <v>496</v>
      </c>
      <c r="E120" s="72" t="s">
        <v>620</v>
      </c>
      <c r="F120" s="72"/>
      <c r="G120" s="72"/>
      <c r="H120" s="72" t="s">
        <v>496</v>
      </c>
      <c r="I120" s="8"/>
      <c r="J120" s="8" t="s">
        <v>396</v>
      </c>
      <c r="K120" s="8" t="s">
        <v>396</v>
      </c>
      <c r="L120" s="8"/>
      <c r="M120" s="8"/>
      <c r="N120" s="10"/>
      <c r="O120" s="8"/>
      <c r="P120" s="10" t="s">
        <v>1109</v>
      </c>
      <c r="Q120" s="10"/>
      <c r="R120" s="10" t="s">
        <v>1109</v>
      </c>
      <c r="S120" s="10" t="s">
        <v>1092</v>
      </c>
      <c r="T120" s="10"/>
      <c r="U120" s="10"/>
      <c r="V120" s="10"/>
      <c r="W120" s="10"/>
    </row>
    <row r="121" spans="2:26" hidden="1" x14ac:dyDescent="0.25">
      <c r="B121" s="3">
        <v>37</v>
      </c>
      <c r="C121" s="3" t="s">
        <v>144</v>
      </c>
      <c r="D121" s="72" t="s">
        <v>497</v>
      </c>
      <c r="E121" s="72" t="s">
        <v>637</v>
      </c>
      <c r="F121" s="72"/>
      <c r="G121" s="72"/>
      <c r="H121" s="72" t="s">
        <v>497</v>
      </c>
      <c r="I121" s="8"/>
      <c r="J121" s="8" t="s">
        <v>396</v>
      </c>
      <c r="K121" s="8" t="s">
        <v>396</v>
      </c>
      <c r="L121" s="8"/>
      <c r="M121" s="8"/>
      <c r="N121" s="10"/>
      <c r="O121" s="8"/>
      <c r="P121" s="10" t="s">
        <v>1109</v>
      </c>
      <c r="Q121" s="10"/>
      <c r="R121" s="10" t="s">
        <v>1109</v>
      </c>
      <c r="S121" s="10" t="s">
        <v>1092</v>
      </c>
      <c r="T121" s="10"/>
      <c r="U121" s="10"/>
      <c r="V121" s="10"/>
      <c r="W121" s="10"/>
    </row>
    <row r="122" spans="2:26" hidden="1" x14ac:dyDescent="0.2">
      <c r="B122" s="3">
        <v>38</v>
      </c>
      <c r="C122" s="3" t="s">
        <v>144</v>
      </c>
      <c r="D122" s="72" t="s">
        <v>493</v>
      </c>
      <c r="E122" s="71" t="s">
        <v>610</v>
      </c>
      <c r="F122" s="71"/>
      <c r="G122" s="71"/>
      <c r="H122" s="73" t="s">
        <v>493</v>
      </c>
      <c r="I122" s="8"/>
      <c r="J122" s="8" t="s">
        <v>396</v>
      </c>
      <c r="K122" s="8" t="s">
        <v>396</v>
      </c>
      <c r="L122" s="8"/>
      <c r="M122" s="8"/>
      <c r="N122" s="10"/>
      <c r="O122" s="8"/>
      <c r="P122" s="10" t="s">
        <v>1109</v>
      </c>
      <c r="Q122" s="10"/>
      <c r="R122" s="10" t="s">
        <v>1109</v>
      </c>
      <c r="S122" s="10" t="s">
        <v>1092</v>
      </c>
      <c r="T122" s="10"/>
      <c r="U122" s="10"/>
      <c r="V122" s="10"/>
      <c r="W122" s="10"/>
    </row>
    <row r="123" spans="2:26" hidden="1" x14ac:dyDescent="0.2">
      <c r="B123" s="3">
        <v>39</v>
      </c>
      <c r="C123" s="3" t="s">
        <v>144</v>
      </c>
      <c r="D123" s="72" t="s">
        <v>494</v>
      </c>
      <c r="E123" s="71" t="s">
        <v>611</v>
      </c>
      <c r="F123" s="71"/>
      <c r="G123" s="71"/>
      <c r="H123" s="73" t="s">
        <v>494</v>
      </c>
      <c r="I123" s="8"/>
      <c r="J123" s="8" t="s">
        <v>396</v>
      </c>
      <c r="K123" s="8" t="s">
        <v>396</v>
      </c>
      <c r="L123" s="8"/>
      <c r="M123" s="8"/>
      <c r="N123" s="10"/>
      <c r="O123" s="8"/>
      <c r="P123" s="10" t="s">
        <v>1109</v>
      </c>
      <c r="Q123" s="10"/>
      <c r="R123" s="10" t="s">
        <v>1109</v>
      </c>
      <c r="S123" s="10" t="s">
        <v>1092</v>
      </c>
      <c r="T123" s="10"/>
      <c r="U123" s="10"/>
      <c r="V123" s="10"/>
      <c r="W123" s="10"/>
    </row>
    <row r="124" spans="2:26" hidden="1" x14ac:dyDescent="0.25">
      <c r="B124" s="3">
        <v>40</v>
      </c>
      <c r="C124" s="3" t="s">
        <v>144</v>
      </c>
      <c r="D124" s="72" t="s">
        <v>498</v>
      </c>
      <c r="E124" s="71" t="s">
        <v>641</v>
      </c>
      <c r="F124" s="71"/>
      <c r="G124" s="71"/>
      <c r="H124" s="72" t="s">
        <v>498</v>
      </c>
      <c r="I124" s="8"/>
      <c r="J124" s="8" t="s">
        <v>396</v>
      </c>
      <c r="K124" s="8" t="s">
        <v>396</v>
      </c>
      <c r="L124" s="8"/>
      <c r="M124" s="8"/>
      <c r="N124" s="10"/>
      <c r="O124" s="8"/>
      <c r="P124" s="10" t="s">
        <v>1109</v>
      </c>
      <c r="Q124" s="10"/>
      <c r="R124" s="10" t="s">
        <v>1109</v>
      </c>
      <c r="S124" s="10" t="s">
        <v>1092</v>
      </c>
      <c r="T124" s="10"/>
      <c r="U124" s="10"/>
      <c r="V124" s="10"/>
      <c r="W124" s="10"/>
    </row>
    <row r="125" spans="2:26" hidden="1" x14ac:dyDescent="0.25">
      <c r="B125" s="3">
        <v>41</v>
      </c>
      <c r="C125" s="3" t="s">
        <v>144</v>
      </c>
      <c r="D125" s="72" t="s">
        <v>495</v>
      </c>
      <c r="E125" s="71" t="s">
        <v>612</v>
      </c>
      <c r="F125" s="71"/>
      <c r="G125" s="71"/>
      <c r="H125" s="72" t="s">
        <v>495</v>
      </c>
      <c r="I125" s="8"/>
      <c r="J125" s="8" t="s">
        <v>396</v>
      </c>
      <c r="K125" s="8" t="s">
        <v>396</v>
      </c>
      <c r="L125" s="8"/>
      <c r="M125" s="8"/>
      <c r="N125" s="10"/>
      <c r="O125" s="8"/>
      <c r="P125" s="10" t="s">
        <v>1109</v>
      </c>
      <c r="Q125" s="10"/>
      <c r="R125" s="10" t="s">
        <v>1109</v>
      </c>
      <c r="S125" s="10" t="s">
        <v>1092</v>
      </c>
      <c r="T125" s="10"/>
      <c r="U125" s="10"/>
      <c r="V125" s="10"/>
      <c r="W125" s="10"/>
    </row>
    <row r="126" spans="2:26" hidden="1" x14ac:dyDescent="0.25">
      <c r="B126" s="3">
        <v>42</v>
      </c>
      <c r="C126" s="3" t="s">
        <v>144</v>
      </c>
      <c r="D126" s="72" t="s">
        <v>500</v>
      </c>
      <c r="E126" s="72" t="s">
        <v>643</v>
      </c>
      <c r="F126" s="72"/>
      <c r="G126" s="72"/>
      <c r="H126" s="72" t="s">
        <v>500</v>
      </c>
      <c r="I126" s="8"/>
      <c r="J126" s="8" t="s">
        <v>396</v>
      </c>
      <c r="K126" s="8" t="s">
        <v>396</v>
      </c>
      <c r="L126" s="8"/>
      <c r="M126" s="8"/>
      <c r="N126" s="10"/>
      <c r="O126" s="8"/>
      <c r="P126" s="10" t="s">
        <v>1109</v>
      </c>
      <c r="Q126" s="10"/>
      <c r="R126" s="10" t="s">
        <v>1109</v>
      </c>
      <c r="S126" s="10" t="s">
        <v>1092</v>
      </c>
      <c r="T126" s="10"/>
      <c r="U126" s="10"/>
      <c r="V126" s="10"/>
      <c r="W126" s="10"/>
    </row>
    <row r="127" spans="2:26" hidden="1" x14ac:dyDescent="0.2">
      <c r="B127" s="3">
        <v>43</v>
      </c>
      <c r="C127" s="3" t="s">
        <v>144</v>
      </c>
      <c r="D127" s="72" t="s">
        <v>501</v>
      </c>
      <c r="E127" s="71" t="s">
        <v>649</v>
      </c>
      <c r="F127" s="71"/>
      <c r="G127" s="71"/>
      <c r="H127" s="73" t="s">
        <v>501</v>
      </c>
      <c r="I127" s="8"/>
      <c r="J127" s="8" t="s">
        <v>396</v>
      </c>
      <c r="K127" s="8" t="s">
        <v>396</v>
      </c>
      <c r="L127" s="8"/>
      <c r="M127" s="8"/>
      <c r="N127" s="10"/>
      <c r="O127" s="8"/>
      <c r="P127" s="10" t="s">
        <v>1109</v>
      </c>
      <c r="Q127" s="10"/>
      <c r="R127" s="10" t="s">
        <v>1109</v>
      </c>
      <c r="S127" s="10" t="s">
        <v>1109</v>
      </c>
      <c r="T127" s="10"/>
      <c r="U127" s="10"/>
      <c r="V127" s="10"/>
      <c r="W127" s="10"/>
    </row>
    <row r="128" spans="2:26" x14ac:dyDescent="0.2">
      <c r="B128" s="3">
        <v>1</v>
      </c>
      <c r="C128" s="88" t="s">
        <v>176</v>
      </c>
      <c r="D128" s="3" t="s">
        <v>177</v>
      </c>
      <c r="E128" s="3" t="s">
        <v>532</v>
      </c>
      <c r="F128" s="3"/>
      <c r="G128" s="3"/>
      <c r="H128" s="24" t="s">
        <v>177</v>
      </c>
      <c r="I128" s="8" t="s">
        <v>936</v>
      </c>
      <c r="J128" s="8" t="s">
        <v>396</v>
      </c>
      <c r="K128" s="8"/>
      <c r="L128" s="8" t="s">
        <v>396</v>
      </c>
      <c r="M128" s="8"/>
      <c r="N128" s="56"/>
      <c r="O128" s="8"/>
      <c r="P128" s="10" t="s">
        <v>1109</v>
      </c>
      <c r="Q128" s="10"/>
      <c r="R128" s="10" t="s">
        <v>1109</v>
      </c>
      <c r="S128" s="10" t="s">
        <v>1109</v>
      </c>
      <c r="T128" s="10"/>
      <c r="U128" s="10"/>
      <c r="V128" s="10" t="s">
        <v>1191</v>
      </c>
      <c r="W128" s="10"/>
    </row>
    <row r="129" spans="2:26" x14ac:dyDescent="0.2">
      <c r="B129" s="3">
        <v>2</v>
      </c>
      <c r="C129" s="88" t="s">
        <v>176</v>
      </c>
      <c r="D129" s="3" t="s">
        <v>178</v>
      </c>
      <c r="E129" s="3" t="s">
        <v>533</v>
      </c>
      <c r="F129" s="3"/>
      <c r="G129" s="3"/>
      <c r="H129" s="24" t="s">
        <v>178</v>
      </c>
      <c r="I129" s="8" t="s">
        <v>936</v>
      </c>
      <c r="J129" s="8" t="s">
        <v>396</v>
      </c>
      <c r="K129" s="8"/>
      <c r="L129" s="8" t="s">
        <v>396</v>
      </c>
      <c r="M129" s="8"/>
      <c r="N129" s="56"/>
      <c r="O129" s="8"/>
      <c r="P129" s="10" t="s">
        <v>1095</v>
      </c>
      <c r="Q129" s="10"/>
      <c r="R129" s="10" t="s">
        <v>1109</v>
      </c>
      <c r="S129" s="10" t="s">
        <v>1109</v>
      </c>
      <c r="T129" s="10"/>
      <c r="U129" s="10"/>
      <c r="V129" s="10" t="s">
        <v>1191</v>
      </c>
      <c r="W129" s="10"/>
    </row>
    <row r="130" spans="2:26" x14ac:dyDescent="0.2">
      <c r="B130" s="3">
        <v>3</v>
      </c>
      <c r="C130" s="88" t="s">
        <v>176</v>
      </c>
      <c r="D130" s="3" t="s">
        <v>179</v>
      </c>
      <c r="E130" s="3" t="s">
        <v>534</v>
      </c>
      <c r="F130" s="3"/>
      <c r="G130" s="3"/>
      <c r="H130" s="24" t="s">
        <v>179</v>
      </c>
      <c r="I130" s="8" t="s">
        <v>936</v>
      </c>
      <c r="J130" s="8" t="s">
        <v>396</v>
      </c>
      <c r="K130" s="8"/>
      <c r="L130" s="8" t="s">
        <v>396</v>
      </c>
      <c r="M130" s="8"/>
      <c r="N130" s="52"/>
      <c r="O130" s="8"/>
      <c r="P130" s="10" t="s">
        <v>1109</v>
      </c>
      <c r="Q130" s="10"/>
      <c r="R130" s="10" t="s">
        <v>1109</v>
      </c>
      <c r="S130" s="10" t="s">
        <v>1109</v>
      </c>
      <c r="T130" s="10"/>
      <c r="U130" s="10"/>
      <c r="V130" s="10" t="s">
        <v>1191</v>
      </c>
      <c r="W130" s="10"/>
      <c r="Y130" s="9" t="s">
        <v>1117</v>
      </c>
    </row>
    <row r="131" spans="2:26" x14ac:dyDescent="0.2">
      <c r="B131" s="3">
        <v>4</v>
      </c>
      <c r="C131" s="88" t="s">
        <v>176</v>
      </c>
      <c r="D131" s="3" t="s">
        <v>180</v>
      </c>
      <c r="E131" s="3" t="s">
        <v>535</v>
      </c>
      <c r="F131" s="3"/>
      <c r="G131" s="3"/>
      <c r="H131" s="24" t="s">
        <v>180</v>
      </c>
      <c r="I131" s="8" t="s">
        <v>936</v>
      </c>
      <c r="J131" s="8" t="s">
        <v>396</v>
      </c>
      <c r="K131" s="8"/>
      <c r="L131" s="8" t="s">
        <v>396</v>
      </c>
      <c r="M131" s="8"/>
      <c r="N131" s="56"/>
      <c r="O131" s="8"/>
      <c r="P131" s="10" t="s">
        <v>1109</v>
      </c>
      <c r="Q131" s="10"/>
      <c r="R131" s="10" t="s">
        <v>1109</v>
      </c>
      <c r="S131" s="10" t="s">
        <v>1109</v>
      </c>
      <c r="T131" s="10"/>
      <c r="U131" s="10"/>
      <c r="V131" s="10" t="s">
        <v>1191</v>
      </c>
      <c r="W131" s="10"/>
      <c r="Y131" s="9" t="s">
        <v>1117</v>
      </c>
    </row>
    <row r="132" spans="2:26" x14ac:dyDescent="0.2">
      <c r="B132" s="3">
        <v>5</v>
      </c>
      <c r="C132" s="88" t="s">
        <v>176</v>
      </c>
      <c r="D132" s="3" t="s">
        <v>181</v>
      </c>
      <c r="E132" s="3" t="s">
        <v>536</v>
      </c>
      <c r="F132" s="3"/>
      <c r="G132" s="3"/>
      <c r="H132" s="24" t="s">
        <v>181</v>
      </c>
      <c r="I132" s="8" t="s">
        <v>936</v>
      </c>
      <c r="J132" s="8" t="s">
        <v>396</v>
      </c>
      <c r="K132" s="8"/>
      <c r="L132" s="8" t="s">
        <v>396</v>
      </c>
      <c r="M132" s="8"/>
      <c r="N132" s="56"/>
      <c r="O132" s="8"/>
      <c r="P132" s="10" t="s">
        <v>1109</v>
      </c>
      <c r="Q132" s="10"/>
      <c r="R132" s="10" t="s">
        <v>1109</v>
      </c>
      <c r="S132" s="10" t="s">
        <v>1109</v>
      </c>
      <c r="T132" s="10"/>
      <c r="U132" s="10"/>
      <c r="V132" s="10" t="s">
        <v>1191</v>
      </c>
      <c r="W132" s="10"/>
    </row>
    <row r="133" spans="2:26" x14ac:dyDescent="0.2">
      <c r="B133" s="3">
        <v>6</v>
      </c>
      <c r="C133" s="88" t="s">
        <v>176</v>
      </c>
      <c r="D133" s="3" t="s">
        <v>182</v>
      </c>
      <c r="E133" s="3" t="s">
        <v>537</v>
      </c>
      <c r="F133" s="3"/>
      <c r="G133" s="3"/>
      <c r="H133" s="24" t="s">
        <v>182</v>
      </c>
      <c r="I133" s="8" t="s">
        <v>936</v>
      </c>
      <c r="J133" s="8" t="s">
        <v>396</v>
      </c>
      <c r="K133" s="8"/>
      <c r="L133" s="8" t="s">
        <v>396</v>
      </c>
      <c r="M133" s="8"/>
      <c r="N133" s="56"/>
      <c r="O133" s="8"/>
      <c r="P133" s="10" t="s">
        <v>1109</v>
      </c>
      <c r="Q133" s="10"/>
      <c r="R133" s="10" t="s">
        <v>1109</v>
      </c>
      <c r="S133" s="10" t="s">
        <v>1109</v>
      </c>
      <c r="T133" s="10"/>
      <c r="U133" s="10"/>
      <c r="V133" s="10" t="s">
        <v>1191</v>
      </c>
      <c r="W133" s="10"/>
    </row>
    <row r="134" spans="2:26" x14ac:dyDescent="0.2">
      <c r="B134" s="3">
        <v>7</v>
      </c>
      <c r="C134" s="88" t="s">
        <v>176</v>
      </c>
      <c r="D134" s="3" t="s">
        <v>183</v>
      </c>
      <c r="E134" s="3" t="s">
        <v>538</v>
      </c>
      <c r="F134" s="3"/>
      <c r="G134" s="3"/>
      <c r="H134" s="24" t="s">
        <v>183</v>
      </c>
      <c r="I134" s="8" t="s">
        <v>936</v>
      </c>
      <c r="J134" s="8" t="s">
        <v>396</v>
      </c>
      <c r="K134" s="8"/>
      <c r="L134" s="8" t="s">
        <v>396</v>
      </c>
      <c r="M134" s="8"/>
      <c r="N134" s="56"/>
      <c r="O134" s="8"/>
      <c r="P134" s="10" t="s">
        <v>1095</v>
      </c>
      <c r="Q134" s="10"/>
      <c r="R134" s="10" t="s">
        <v>1109</v>
      </c>
      <c r="S134" s="10" t="s">
        <v>1109</v>
      </c>
      <c r="T134" s="10"/>
      <c r="U134" s="10"/>
      <c r="V134" s="10" t="s">
        <v>1191</v>
      </c>
      <c r="W134" s="10"/>
    </row>
    <row r="135" spans="2:26" x14ac:dyDescent="0.2">
      <c r="B135" s="3">
        <v>8</v>
      </c>
      <c r="C135" s="88" t="s">
        <v>176</v>
      </c>
      <c r="D135" s="3" t="s">
        <v>184</v>
      </c>
      <c r="E135" s="3" t="s">
        <v>539</v>
      </c>
      <c r="F135" s="3"/>
      <c r="G135" s="3"/>
      <c r="H135" s="69" t="s">
        <v>184</v>
      </c>
      <c r="I135" s="8" t="s">
        <v>936</v>
      </c>
      <c r="J135" s="8" t="s">
        <v>396</v>
      </c>
      <c r="K135" s="8"/>
      <c r="L135" s="8" t="s">
        <v>396</v>
      </c>
      <c r="M135" s="8"/>
      <c r="N135" s="56"/>
      <c r="O135" s="8"/>
      <c r="P135" s="10" t="s">
        <v>1095</v>
      </c>
      <c r="Q135" s="10"/>
      <c r="R135" s="10" t="s">
        <v>1109</v>
      </c>
      <c r="S135" s="10" t="s">
        <v>1109</v>
      </c>
      <c r="T135" s="10"/>
      <c r="U135" s="10"/>
      <c r="V135" s="10" t="s">
        <v>1191</v>
      </c>
      <c r="W135" s="10"/>
    </row>
    <row r="136" spans="2:26" x14ac:dyDescent="0.2">
      <c r="B136" s="3">
        <v>9</v>
      </c>
      <c r="C136" s="88" t="s">
        <v>176</v>
      </c>
      <c r="D136" s="3" t="s">
        <v>185</v>
      </c>
      <c r="E136" s="3" t="s">
        <v>540</v>
      </c>
      <c r="F136" s="3"/>
      <c r="G136" s="3"/>
      <c r="H136" s="24" t="s">
        <v>185</v>
      </c>
      <c r="I136" s="8" t="s">
        <v>936</v>
      </c>
      <c r="J136" s="8" t="s">
        <v>396</v>
      </c>
      <c r="K136" s="8"/>
      <c r="L136" s="8" t="s">
        <v>396</v>
      </c>
      <c r="M136" s="8"/>
      <c r="N136" s="52"/>
      <c r="O136" s="8"/>
      <c r="P136" s="10" t="s">
        <v>1095</v>
      </c>
      <c r="Q136" s="10"/>
      <c r="R136" s="10" t="s">
        <v>1109</v>
      </c>
      <c r="S136" s="10" t="s">
        <v>1109</v>
      </c>
      <c r="T136" s="10"/>
      <c r="U136" s="10"/>
      <c r="V136" s="10" t="s">
        <v>1191</v>
      </c>
      <c r="W136" s="10"/>
    </row>
    <row r="137" spans="2:26" x14ac:dyDescent="0.2">
      <c r="B137" s="3">
        <v>10</v>
      </c>
      <c r="C137" s="88" t="s">
        <v>176</v>
      </c>
      <c r="D137" s="3" t="s">
        <v>186</v>
      </c>
      <c r="E137" s="3" t="s">
        <v>541</v>
      </c>
      <c r="F137" s="3"/>
      <c r="G137" s="3"/>
      <c r="H137" s="24" t="s">
        <v>186</v>
      </c>
      <c r="I137" s="8" t="s">
        <v>936</v>
      </c>
      <c r="J137" s="8" t="s">
        <v>396</v>
      </c>
      <c r="K137" s="8"/>
      <c r="L137" s="8" t="s">
        <v>396</v>
      </c>
      <c r="M137" s="8"/>
      <c r="N137" s="52"/>
      <c r="O137" s="8"/>
      <c r="P137" s="10" t="s">
        <v>1095</v>
      </c>
      <c r="Q137" s="10"/>
      <c r="R137" s="10" t="s">
        <v>1109</v>
      </c>
      <c r="S137" s="10" t="s">
        <v>1109</v>
      </c>
      <c r="T137" s="10"/>
      <c r="U137" s="10"/>
      <c r="V137" s="10" t="s">
        <v>1191</v>
      </c>
      <c r="W137" s="10"/>
    </row>
    <row r="138" spans="2:26" hidden="1" x14ac:dyDescent="0.2">
      <c r="B138" s="3">
        <v>11</v>
      </c>
      <c r="C138" s="3" t="s">
        <v>176</v>
      </c>
      <c r="D138" s="81" t="s">
        <v>187</v>
      </c>
      <c r="E138" s="79" t="s">
        <v>542</v>
      </c>
      <c r="F138" s="79"/>
      <c r="G138" s="79"/>
      <c r="H138" s="81" t="s">
        <v>187</v>
      </c>
      <c r="I138" s="8"/>
      <c r="J138" s="8" t="s">
        <v>396</v>
      </c>
      <c r="K138" s="8"/>
      <c r="L138" s="8" t="s">
        <v>396</v>
      </c>
      <c r="M138" s="8"/>
      <c r="N138" s="10"/>
      <c r="O138" s="8"/>
      <c r="P138" s="10" t="s">
        <v>1095</v>
      </c>
      <c r="Q138" s="10"/>
      <c r="R138" s="10" t="s">
        <v>1109</v>
      </c>
      <c r="S138" s="10" t="s">
        <v>1109</v>
      </c>
      <c r="T138" s="10"/>
      <c r="U138" s="10"/>
      <c r="V138" s="10" t="s">
        <v>1191</v>
      </c>
      <c r="W138" s="10"/>
    </row>
    <row r="139" spans="2:26" x14ac:dyDescent="0.2">
      <c r="B139" s="3">
        <v>12</v>
      </c>
      <c r="C139" s="88" t="s">
        <v>176</v>
      </c>
      <c r="D139" s="3" t="s">
        <v>188</v>
      </c>
      <c r="E139" s="3" t="s">
        <v>543</v>
      </c>
      <c r="F139" s="3"/>
      <c r="G139" s="3"/>
      <c r="H139" s="24" t="s">
        <v>188</v>
      </c>
      <c r="I139" s="8" t="s">
        <v>936</v>
      </c>
      <c r="J139" s="8" t="s">
        <v>396</v>
      </c>
      <c r="K139" s="8"/>
      <c r="L139" s="8" t="s">
        <v>396</v>
      </c>
      <c r="M139" s="8"/>
      <c r="N139" s="52"/>
      <c r="O139" s="8"/>
      <c r="P139" s="10" t="s">
        <v>1109</v>
      </c>
      <c r="Q139" s="10"/>
      <c r="R139" s="10" t="s">
        <v>1109</v>
      </c>
      <c r="S139" s="10" t="s">
        <v>1109</v>
      </c>
      <c r="T139" s="10"/>
      <c r="U139" s="10"/>
      <c r="V139" s="10" t="s">
        <v>1191</v>
      </c>
      <c r="W139" s="10"/>
    </row>
    <row r="140" spans="2:26" hidden="1" x14ac:dyDescent="0.2">
      <c r="B140" s="3">
        <v>13</v>
      </c>
      <c r="C140" s="3" t="s">
        <v>176</v>
      </c>
      <c r="D140" s="81" t="s">
        <v>503</v>
      </c>
      <c r="E140" s="79" t="s">
        <v>521</v>
      </c>
      <c r="F140" s="79"/>
      <c r="G140" s="79"/>
      <c r="H140" s="81" t="s">
        <v>503</v>
      </c>
      <c r="I140" s="8"/>
      <c r="J140" s="8" t="s">
        <v>396</v>
      </c>
      <c r="K140" s="8"/>
      <c r="L140" s="8" t="s">
        <v>396</v>
      </c>
      <c r="M140" s="8"/>
      <c r="N140" s="52"/>
      <c r="O140" s="8"/>
      <c r="P140" s="10" t="s">
        <v>1109</v>
      </c>
      <c r="Q140" s="10"/>
      <c r="R140" s="10" t="s">
        <v>1109</v>
      </c>
      <c r="S140" s="10" t="s">
        <v>1109</v>
      </c>
      <c r="T140" s="10"/>
      <c r="U140" s="10"/>
      <c r="V140" s="10" t="s">
        <v>1191</v>
      </c>
      <c r="W140" s="10"/>
      <c r="Y140" s="10" t="s">
        <v>1118</v>
      </c>
    </row>
    <row r="141" spans="2:26" hidden="1" x14ac:dyDescent="0.2">
      <c r="B141" s="3">
        <v>14</v>
      </c>
      <c r="C141" s="3" t="s">
        <v>176</v>
      </c>
      <c r="D141" s="81" t="s">
        <v>502</v>
      </c>
      <c r="E141" s="79" t="s">
        <v>520</v>
      </c>
      <c r="F141" s="79"/>
      <c r="G141" s="79"/>
      <c r="H141" s="81" t="s">
        <v>502</v>
      </c>
      <c r="I141" s="8"/>
      <c r="J141" s="8" t="s">
        <v>396</v>
      </c>
      <c r="K141" s="8"/>
      <c r="L141" s="8" t="s">
        <v>396</v>
      </c>
      <c r="M141" s="8"/>
      <c r="N141" s="52"/>
      <c r="O141" s="8"/>
      <c r="P141" s="10" t="s">
        <v>1109</v>
      </c>
      <c r="Q141" s="10"/>
      <c r="R141" s="10" t="s">
        <v>1109</v>
      </c>
      <c r="S141" s="10" t="s">
        <v>1109</v>
      </c>
      <c r="T141" s="10"/>
      <c r="U141" s="10"/>
      <c r="V141" s="10" t="s">
        <v>1191</v>
      </c>
      <c r="W141" s="10"/>
      <c r="Y141" s="10" t="s">
        <v>1118</v>
      </c>
      <c r="Z141" s="9" t="s">
        <v>1157</v>
      </c>
    </row>
    <row r="142" spans="2:26" x14ac:dyDescent="0.2">
      <c r="B142" s="3">
        <v>1</v>
      </c>
      <c r="C142" s="88" t="s">
        <v>197</v>
      </c>
      <c r="D142" s="3" t="s">
        <v>198</v>
      </c>
      <c r="E142" s="3" t="s">
        <v>603</v>
      </c>
      <c r="F142" s="3" t="s">
        <v>396</v>
      </c>
      <c r="G142" s="3"/>
      <c r="H142" s="10" t="s">
        <v>198</v>
      </c>
      <c r="I142" s="8" t="s">
        <v>936</v>
      </c>
      <c r="J142" s="8" t="s">
        <v>396</v>
      </c>
      <c r="K142" s="8"/>
      <c r="L142" s="8" t="s">
        <v>396</v>
      </c>
      <c r="M142" s="8"/>
      <c r="N142" s="64"/>
      <c r="O142" s="8"/>
      <c r="P142" s="10" t="s">
        <v>1109</v>
      </c>
      <c r="Q142" s="10" t="s">
        <v>1092</v>
      </c>
      <c r="R142" s="10" t="s">
        <v>1109</v>
      </c>
      <c r="S142" s="10" t="s">
        <v>1109</v>
      </c>
      <c r="T142" s="10" t="s">
        <v>1092</v>
      </c>
      <c r="U142" s="10"/>
      <c r="V142" s="10" t="s">
        <v>1191</v>
      </c>
      <c r="W142" s="10"/>
    </row>
    <row r="143" spans="2:26" x14ac:dyDescent="0.2">
      <c r="B143" s="3">
        <v>2</v>
      </c>
      <c r="C143" s="3" t="s">
        <v>197</v>
      </c>
      <c r="D143" s="3" t="s">
        <v>199</v>
      </c>
      <c r="E143" s="3" t="s">
        <v>1071</v>
      </c>
      <c r="F143" s="3"/>
      <c r="G143" s="3"/>
      <c r="H143" s="10" t="s">
        <v>199</v>
      </c>
      <c r="I143" s="8" t="s">
        <v>936</v>
      </c>
      <c r="J143" s="8" t="s">
        <v>396</v>
      </c>
      <c r="K143" s="8"/>
      <c r="L143" s="8" t="s">
        <v>396</v>
      </c>
      <c r="M143" s="8"/>
      <c r="N143" s="64"/>
      <c r="O143" s="8"/>
      <c r="P143" s="10" t="s">
        <v>1141</v>
      </c>
      <c r="Q143" s="10" t="s">
        <v>1092</v>
      </c>
      <c r="R143" s="10" t="s">
        <v>1109</v>
      </c>
      <c r="S143" s="10" t="s">
        <v>1109</v>
      </c>
      <c r="T143" s="10" t="s">
        <v>1092</v>
      </c>
      <c r="U143" s="10"/>
      <c r="V143" s="10" t="s">
        <v>1191</v>
      </c>
      <c r="W143" s="10"/>
      <c r="Y143" s="10" t="s">
        <v>1070</v>
      </c>
    </row>
    <row r="144" spans="2:26" x14ac:dyDescent="0.2">
      <c r="B144" s="3">
        <v>3</v>
      </c>
      <c r="C144" s="88" t="s">
        <v>197</v>
      </c>
      <c r="D144" s="3" t="s">
        <v>1184</v>
      </c>
      <c r="E144" s="3" t="s">
        <v>1189</v>
      </c>
      <c r="F144" s="3" t="s">
        <v>396</v>
      </c>
      <c r="G144" s="3"/>
      <c r="H144" s="10" t="s">
        <v>1184</v>
      </c>
      <c r="I144" s="8" t="s">
        <v>936</v>
      </c>
      <c r="J144" s="8" t="s">
        <v>396</v>
      </c>
      <c r="K144" s="8"/>
      <c r="L144" s="8" t="s">
        <v>396</v>
      </c>
      <c r="M144" s="8"/>
      <c r="N144" s="64"/>
      <c r="O144" s="8"/>
      <c r="P144" s="10" t="s">
        <v>1109</v>
      </c>
      <c r="Q144" s="10" t="s">
        <v>1092</v>
      </c>
      <c r="R144" s="10" t="s">
        <v>1109</v>
      </c>
      <c r="S144" s="10" t="s">
        <v>1109</v>
      </c>
      <c r="T144" s="10" t="s">
        <v>1092</v>
      </c>
      <c r="U144" s="10"/>
      <c r="V144" s="10" t="s">
        <v>1191</v>
      </c>
      <c r="W144" s="10"/>
    </row>
    <row r="145" spans="2:26" x14ac:dyDescent="0.2">
      <c r="B145" s="3">
        <v>1</v>
      </c>
      <c r="C145" s="88" t="s">
        <v>200</v>
      </c>
      <c r="D145" s="3" t="s">
        <v>201</v>
      </c>
      <c r="E145" s="3" t="s">
        <v>594</v>
      </c>
      <c r="F145" s="3"/>
      <c r="G145" s="3"/>
      <c r="H145" s="70" t="s">
        <v>201</v>
      </c>
      <c r="I145" s="8" t="s">
        <v>936</v>
      </c>
      <c r="J145" s="8" t="s">
        <v>396</v>
      </c>
      <c r="K145" s="8"/>
      <c r="L145" s="8" t="s">
        <v>396</v>
      </c>
      <c r="M145" s="8"/>
      <c r="N145" s="60"/>
      <c r="O145" s="8"/>
      <c r="P145" s="10" t="s">
        <v>1109</v>
      </c>
      <c r="Q145" s="10"/>
      <c r="R145" s="10" t="s">
        <v>1109</v>
      </c>
      <c r="S145" s="10" t="s">
        <v>1109</v>
      </c>
      <c r="T145" s="10"/>
      <c r="U145" s="10"/>
      <c r="V145" s="10" t="s">
        <v>1191</v>
      </c>
      <c r="W145" s="10"/>
      <c r="Y145" s="58"/>
    </row>
    <row r="146" spans="2:26" x14ac:dyDescent="0.2">
      <c r="B146" s="3">
        <v>2</v>
      </c>
      <c r="C146" s="88" t="s">
        <v>200</v>
      </c>
      <c r="D146" s="3" t="s">
        <v>202</v>
      </c>
      <c r="E146" s="3" t="s">
        <v>595</v>
      </c>
      <c r="F146" s="3" t="s">
        <v>396</v>
      </c>
      <c r="G146" s="3"/>
      <c r="H146" s="70" t="s">
        <v>202</v>
      </c>
      <c r="I146" s="8" t="s">
        <v>936</v>
      </c>
      <c r="J146" s="8" t="s">
        <v>396</v>
      </c>
      <c r="K146" s="8"/>
      <c r="L146" s="8" t="s">
        <v>396</v>
      </c>
      <c r="M146" s="8"/>
      <c r="N146" s="60"/>
      <c r="O146" s="8"/>
      <c r="P146" s="10" t="s">
        <v>1094</v>
      </c>
      <c r="Q146" s="10" t="s">
        <v>1092</v>
      </c>
      <c r="R146" s="10" t="s">
        <v>1109</v>
      </c>
      <c r="S146" s="10" t="s">
        <v>1092</v>
      </c>
      <c r="T146" s="10"/>
      <c r="U146" s="10"/>
      <c r="V146" s="10" t="s">
        <v>1191</v>
      </c>
      <c r="W146" s="10"/>
      <c r="Y146" s="58" t="s">
        <v>1159</v>
      </c>
    </row>
    <row r="147" spans="2:26" x14ac:dyDescent="0.2">
      <c r="B147" s="3">
        <v>3</v>
      </c>
      <c r="C147" s="88" t="s">
        <v>200</v>
      </c>
      <c r="D147" s="3" t="s">
        <v>203</v>
      </c>
      <c r="E147" s="3" t="s">
        <v>596</v>
      </c>
      <c r="F147" s="3"/>
      <c r="G147" s="3"/>
      <c r="H147" s="70" t="s">
        <v>203</v>
      </c>
      <c r="I147" s="8" t="s">
        <v>936</v>
      </c>
      <c r="J147" s="8" t="s">
        <v>396</v>
      </c>
      <c r="K147" s="8"/>
      <c r="L147" s="8" t="s">
        <v>396</v>
      </c>
      <c r="M147" s="8"/>
      <c r="N147" s="60"/>
      <c r="O147" s="8"/>
      <c r="P147" s="10" t="s">
        <v>1095</v>
      </c>
      <c r="Q147" s="10" t="s">
        <v>1092</v>
      </c>
      <c r="R147" s="10" t="s">
        <v>1109</v>
      </c>
      <c r="S147" s="10" t="s">
        <v>1092</v>
      </c>
      <c r="T147" s="10"/>
      <c r="U147" s="10"/>
      <c r="V147" s="10" t="s">
        <v>262</v>
      </c>
      <c r="W147" s="10"/>
      <c r="Y147" s="58" t="s">
        <v>1159</v>
      </c>
      <c r="Z147" s="9" t="s">
        <v>1124</v>
      </c>
    </row>
    <row r="148" spans="2:26" x14ac:dyDescent="0.2">
      <c r="B148" s="3">
        <v>4</v>
      </c>
      <c r="C148" s="88" t="s">
        <v>200</v>
      </c>
      <c r="D148" s="3" t="s">
        <v>204</v>
      </c>
      <c r="E148" s="3" t="s">
        <v>597</v>
      </c>
      <c r="F148" s="3"/>
      <c r="G148" s="3" t="s">
        <v>396</v>
      </c>
      <c r="H148" s="70" t="s">
        <v>204</v>
      </c>
      <c r="I148" s="8" t="s">
        <v>936</v>
      </c>
      <c r="J148" s="8" t="s">
        <v>396</v>
      </c>
      <c r="K148" s="8"/>
      <c r="L148" s="8" t="s">
        <v>396</v>
      </c>
      <c r="M148" s="8"/>
      <c r="N148" s="60"/>
      <c r="O148" s="8"/>
      <c r="P148" s="10" t="s">
        <v>1094</v>
      </c>
      <c r="Q148" s="10" t="s">
        <v>1092</v>
      </c>
      <c r="R148" s="10" t="s">
        <v>1109</v>
      </c>
      <c r="S148" s="10" t="s">
        <v>1092</v>
      </c>
      <c r="T148" s="10"/>
      <c r="U148" s="10"/>
      <c r="V148" s="10" t="s">
        <v>1191</v>
      </c>
      <c r="W148" s="10"/>
      <c r="Y148" s="58" t="s">
        <v>1159</v>
      </c>
    </row>
    <row r="149" spans="2:26" x14ac:dyDescent="0.2">
      <c r="B149" s="3">
        <v>5</v>
      </c>
      <c r="C149" s="88" t="s">
        <v>200</v>
      </c>
      <c r="D149" s="3" t="s">
        <v>205</v>
      </c>
      <c r="E149" s="3" t="s">
        <v>598</v>
      </c>
      <c r="F149" s="3" t="s">
        <v>396</v>
      </c>
      <c r="G149" s="3"/>
      <c r="H149" s="70" t="s">
        <v>205</v>
      </c>
      <c r="I149" s="8" t="s">
        <v>936</v>
      </c>
      <c r="J149" s="8" t="s">
        <v>396</v>
      </c>
      <c r="K149" s="8"/>
      <c r="L149" s="8" t="s">
        <v>396</v>
      </c>
      <c r="M149" s="8"/>
      <c r="N149" s="60"/>
      <c r="O149" s="8"/>
      <c r="P149" s="10" t="s">
        <v>1094</v>
      </c>
      <c r="Q149" s="10" t="s">
        <v>1092</v>
      </c>
      <c r="R149" s="10" t="s">
        <v>1109</v>
      </c>
      <c r="S149" s="10" t="s">
        <v>1092</v>
      </c>
      <c r="T149" s="10"/>
      <c r="U149" s="10"/>
      <c r="V149" s="10" t="s">
        <v>1191</v>
      </c>
      <c r="W149" s="10"/>
      <c r="Y149" s="58" t="s">
        <v>1159</v>
      </c>
    </row>
    <row r="150" spans="2:26" x14ac:dyDescent="0.2">
      <c r="B150" s="3">
        <v>6</v>
      </c>
      <c r="C150" s="88" t="s">
        <v>200</v>
      </c>
      <c r="D150" s="3" t="s">
        <v>206</v>
      </c>
      <c r="E150" s="3" t="s">
        <v>599</v>
      </c>
      <c r="F150" s="3"/>
      <c r="G150" s="3"/>
      <c r="H150" s="70" t="s">
        <v>206</v>
      </c>
      <c r="I150" s="8" t="s">
        <v>936</v>
      </c>
      <c r="J150" s="8" t="s">
        <v>396</v>
      </c>
      <c r="K150" s="8"/>
      <c r="L150" s="8" t="s">
        <v>396</v>
      </c>
      <c r="M150" s="8"/>
      <c r="N150" s="60"/>
      <c r="O150" s="8"/>
      <c r="P150" s="10" t="s">
        <v>1094</v>
      </c>
      <c r="Q150" s="10" t="s">
        <v>1092</v>
      </c>
      <c r="R150" s="10" t="s">
        <v>1109</v>
      </c>
      <c r="S150" s="10" t="s">
        <v>1092</v>
      </c>
      <c r="T150" s="10"/>
      <c r="U150" s="10"/>
      <c r="V150" s="10" t="s">
        <v>262</v>
      </c>
      <c r="W150" s="10"/>
      <c r="Y150" s="58" t="s">
        <v>1159</v>
      </c>
    </row>
    <row r="151" spans="2:26" x14ac:dyDescent="0.2">
      <c r="B151" s="3">
        <v>7</v>
      </c>
      <c r="C151" s="88" t="s">
        <v>200</v>
      </c>
      <c r="D151" s="3" t="s">
        <v>207</v>
      </c>
      <c r="E151" s="3" t="s">
        <v>600</v>
      </c>
      <c r="F151" s="3"/>
      <c r="G151" s="3" t="s">
        <v>396</v>
      </c>
      <c r="H151" s="70" t="s">
        <v>207</v>
      </c>
      <c r="I151" s="8" t="s">
        <v>936</v>
      </c>
      <c r="J151" s="8" t="s">
        <v>396</v>
      </c>
      <c r="K151" s="8"/>
      <c r="L151" s="8" t="s">
        <v>396</v>
      </c>
      <c r="M151" s="8"/>
      <c r="N151" s="60"/>
      <c r="O151" s="8"/>
      <c r="P151" s="10" t="s">
        <v>1094</v>
      </c>
      <c r="Q151" s="10" t="s">
        <v>1092</v>
      </c>
      <c r="R151" s="10" t="s">
        <v>1109</v>
      </c>
      <c r="S151" s="10" t="s">
        <v>1092</v>
      </c>
      <c r="T151" s="10"/>
      <c r="U151" s="10"/>
      <c r="V151" s="10" t="s">
        <v>1191</v>
      </c>
      <c r="W151" s="10"/>
      <c r="Y151" s="58" t="s">
        <v>1159</v>
      </c>
    </row>
    <row r="152" spans="2:26" x14ac:dyDescent="0.2">
      <c r="B152" s="3">
        <v>8</v>
      </c>
      <c r="C152" s="88" t="s">
        <v>200</v>
      </c>
      <c r="D152" s="3" t="s">
        <v>208</v>
      </c>
      <c r="E152" s="3" t="s">
        <v>601</v>
      </c>
      <c r="F152" s="3"/>
      <c r="G152" s="3"/>
      <c r="H152" s="70" t="s">
        <v>208</v>
      </c>
      <c r="I152" s="8" t="s">
        <v>936</v>
      </c>
      <c r="J152" s="8" t="s">
        <v>396</v>
      </c>
      <c r="K152" s="8"/>
      <c r="L152" s="8" t="s">
        <v>396</v>
      </c>
      <c r="M152" s="8"/>
      <c r="N152" s="60"/>
      <c r="O152" s="8"/>
      <c r="P152" s="10" t="s">
        <v>1094</v>
      </c>
      <c r="Q152" s="10" t="s">
        <v>1092</v>
      </c>
      <c r="R152" s="10" t="s">
        <v>1109</v>
      </c>
      <c r="S152" s="10" t="s">
        <v>1092</v>
      </c>
      <c r="T152" s="10"/>
      <c r="U152" s="10"/>
      <c r="V152" s="10" t="s">
        <v>1191</v>
      </c>
      <c r="W152" s="10"/>
      <c r="Y152" s="58" t="s">
        <v>1159</v>
      </c>
    </row>
    <row r="153" spans="2:26" x14ac:dyDescent="0.2">
      <c r="B153" s="3">
        <v>9</v>
      </c>
      <c r="C153" s="88" t="s">
        <v>200</v>
      </c>
      <c r="D153" s="3" t="s">
        <v>209</v>
      </c>
      <c r="E153" s="3" t="s">
        <v>602</v>
      </c>
      <c r="F153" s="3"/>
      <c r="G153" s="3"/>
      <c r="H153" s="70" t="s">
        <v>209</v>
      </c>
      <c r="I153" s="8" t="s">
        <v>936</v>
      </c>
      <c r="J153" s="8" t="s">
        <v>396</v>
      </c>
      <c r="K153" s="8"/>
      <c r="L153" s="8" t="s">
        <v>396</v>
      </c>
      <c r="M153" s="8"/>
      <c r="N153" s="60"/>
      <c r="O153" s="8"/>
      <c r="P153" s="10" t="s">
        <v>1094</v>
      </c>
      <c r="Q153" s="10" t="s">
        <v>1092</v>
      </c>
      <c r="R153" s="10" t="s">
        <v>1109</v>
      </c>
      <c r="S153" s="10" t="s">
        <v>1092</v>
      </c>
      <c r="T153" s="10"/>
      <c r="U153" s="10"/>
      <c r="V153" s="10" t="s">
        <v>1191</v>
      </c>
      <c r="W153" s="10"/>
      <c r="Y153" s="58" t="s">
        <v>1159</v>
      </c>
    </row>
    <row r="154" spans="2:26" x14ac:dyDescent="0.25">
      <c r="B154" s="3">
        <v>1</v>
      </c>
      <c r="C154" s="88" t="s">
        <v>210</v>
      </c>
      <c r="D154" s="3" t="s">
        <v>211</v>
      </c>
      <c r="E154" s="3" t="s">
        <v>212</v>
      </c>
      <c r="F154" s="84"/>
      <c r="G154" s="84"/>
      <c r="H154" s="20" t="s">
        <v>211</v>
      </c>
      <c r="I154" s="8" t="s">
        <v>936</v>
      </c>
      <c r="J154" s="8" t="s">
        <v>396</v>
      </c>
      <c r="K154" s="8"/>
      <c r="L154" s="8" t="s">
        <v>396</v>
      </c>
      <c r="M154" s="8"/>
      <c r="N154" s="60"/>
      <c r="O154" s="8"/>
      <c r="P154" s="10" t="s">
        <v>1095</v>
      </c>
      <c r="Q154" s="10" t="s">
        <v>1092</v>
      </c>
      <c r="R154" s="10" t="s">
        <v>1109</v>
      </c>
      <c r="S154" s="10" t="s">
        <v>1092</v>
      </c>
      <c r="T154" s="10"/>
      <c r="U154" s="10"/>
      <c r="V154" s="10" t="s">
        <v>1191</v>
      </c>
      <c r="W154" s="10"/>
    </row>
    <row r="155" spans="2:26" x14ac:dyDescent="0.2">
      <c r="B155" s="3">
        <v>1</v>
      </c>
      <c r="C155" s="88" t="s">
        <v>217</v>
      </c>
      <c r="D155" s="3" t="s">
        <v>218</v>
      </c>
      <c r="E155" s="3" t="s">
        <v>219</v>
      </c>
      <c r="F155" s="3" t="s">
        <v>396</v>
      </c>
      <c r="G155" s="3"/>
      <c r="H155" s="3" t="s">
        <v>218</v>
      </c>
      <c r="I155" s="8" t="s">
        <v>936</v>
      </c>
      <c r="J155" s="8" t="s">
        <v>396</v>
      </c>
      <c r="K155" s="8"/>
      <c r="L155" s="8" t="s">
        <v>396</v>
      </c>
      <c r="M155" s="8"/>
      <c r="N155" s="64"/>
      <c r="O155" s="8"/>
      <c r="P155" s="10" t="s">
        <v>1098</v>
      </c>
      <c r="Q155" s="10" t="s">
        <v>1092</v>
      </c>
      <c r="R155" s="10" t="s">
        <v>1092</v>
      </c>
      <c r="S155" s="10" t="s">
        <v>1092</v>
      </c>
      <c r="T155" s="10"/>
      <c r="U155" s="10"/>
      <c r="V155" s="10" t="s">
        <v>1191</v>
      </c>
      <c r="W155" s="10"/>
    </row>
    <row r="156" spans="2:26" x14ac:dyDescent="0.2">
      <c r="B156" s="3">
        <v>2</v>
      </c>
      <c r="C156" s="88" t="s">
        <v>217</v>
      </c>
      <c r="D156" s="3" t="s">
        <v>220</v>
      </c>
      <c r="E156" s="3" t="s">
        <v>221</v>
      </c>
      <c r="F156" s="3" t="s">
        <v>396</v>
      </c>
      <c r="G156" s="3"/>
      <c r="H156" s="3" t="s">
        <v>220</v>
      </c>
      <c r="I156" s="8" t="s">
        <v>936</v>
      </c>
      <c r="J156" s="8" t="s">
        <v>396</v>
      </c>
      <c r="K156" s="8"/>
      <c r="L156" s="8" t="s">
        <v>396</v>
      </c>
      <c r="M156" s="8"/>
      <c r="N156" s="64"/>
      <c r="O156" s="8"/>
      <c r="P156" s="10" t="s">
        <v>1098</v>
      </c>
      <c r="Q156" s="10" t="s">
        <v>1092</v>
      </c>
      <c r="R156" s="10" t="s">
        <v>1092</v>
      </c>
      <c r="S156" s="10" t="s">
        <v>1092</v>
      </c>
      <c r="T156" s="10"/>
      <c r="U156" s="10"/>
      <c r="V156" s="10" t="s">
        <v>262</v>
      </c>
      <c r="W156" s="10"/>
    </row>
    <row r="157" spans="2:26" x14ac:dyDescent="0.2">
      <c r="B157" s="3">
        <v>3</v>
      </c>
      <c r="C157" s="88" t="s">
        <v>217</v>
      </c>
      <c r="D157" s="3" t="s">
        <v>222</v>
      </c>
      <c r="E157" s="3" t="s">
        <v>223</v>
      </c>
      <c r="F157" s="3" t="s">
        <v>396</v>
      </c>
      <c r="G157" s="3" t="s">
        <v>396</v>
      </c>
      <c r="H157" s="3" t="s">
        <v>222</v>
      </c>
      <c r="I157" s="8" t="s">
        <v>936</v>
      </c>
      <c r="J157" s="8" t="s">
        <v>396</v>
      </c>
      <c r="K157" s="8"/>
      <c r="L157" s="8" t="s">
        <v>396</v>
      </c>
      <c r="M157" s="8"/>
      <c r="N157" s="64"/>
      <c r="O157" s="8"/>
      <c r="P157" s="10" t="s">
        <v>1098</v>
      </c>
      <c r="Q157" s="10" t="s">
        <v>1092</v>
      </c>
      <c r="R157" s="10" t="s">
        <v>1111</v>
      </c>
      <c r="S157" s="10" t="s">
        <v>1092</v>
      </c>
      <c r="T157" s="10"/>
      <c r="U157" s="10"/>
      <c r="V157" s="10" t="s">
        <v>1191</v>
      </c>
      <c r="W157" s="10"/>
      <c r="Y157" s="58"/>
    </row>
    <row r="158" spans="2:26" x14ac:dyDescent="0.2">
      <c r="B158" s="3">
        <v>4</v>
      </c>
      <c r="C158" s="88" t="s">
        <v>217</v>
      </c>
      <c r="D158" s="3" t="s">
        <v>224</v>
      </c>
      <c r="E158" s="3" t="s">
        <v>225</v>
      </c>
      <c r="F158" s="3" t="s">
        <v>396</v>
      </c>
      <c r="G158" s="3"/>
      <c r="H158" s="3" t="s">
        <v>224</v>
      </c>
      <c r="I158" s="8" t="s">
        <v>936</v>
      </c>
      <c r="J158" s="8" t="s">
        <v>396</v>
      </c>
      <c r="K158" s="8"/>
      <c r="L158" s="8" t="s">
        <v>396</v>
      </c>
      <c r="M158" s="8"/>
      <c r="N158" s="64"/>
      <c r="O158" s="8"/>
      <c r="P158" s="10" t="s">
        <v>1098</v>
      </c>
      <c r="Q158" s="10" t="s">
        <v>1092</v>
      </c>
      <c r="R158" s="10" t="s">
        <v>1111</v>
      </c>
      <c r="S158" s="10" t="s">
        <v>1092</v>
      </c>
      <c r="T158" s="10"/>
      <c r="U158" s="10"/>
      <c r="V158" s="10" t="s">
        <v>262</v>
      </c>
      <c r="W158" s="10"/>
    </row>
    <row r="159" spans="2:26" x14ac:dyDescent="0.2">
      <c r="B159" s="3">
        <v>5</v>
      </c>
      <c r="C159" s="88" t="s">
        <v>217</v>
      </c>
      <c r="D159" s="3" t="s">
        <v>226</v>
      </c>
      <c r="E159" s="3" t="s">
        <v>227</v>
      </c>
      <c r="F159" s="3"/>
      <c r="G159" s="3"/>
      <c r="H159" s="3" t="s">
        <v>226</v>
      </c>
      <c r="I159" s="8" t="s">
        <v>936</v>
      </c>
      <c r="J159" s="8" t="s">
        <v>396</v>
      </c>
      <c r="K159" s="8"/>
      <c r="L159" s="8" t="s">
        <v>396</v>
      </c>
      <c r="M159" s="8"/>
      <c r="N159" s="64"/>
      <c r="O159" s="8"/>
      <c r="P159" s="10" t="s">
        <v>1098</v>
      </c>
      <c r="Q159" s="10" t="s">
        <v>1092</v>
      </c>
      <c r="R159" s="10" t="s">
        <v>1111</v>
      </c>
      <c r="S159" s="10" t="s">
        <v>1092</v>
      </c>
      <c r="T159" s="10"/>
      <c r="U159" s="10"/>
      <c r="V159" s="10" t="s">
        <v>262</v>
      </c>
      <c r="W159" s="10"/>
    </row>
    <row r="160" spans="2:26" x14ac:dyDescent="0.2">
      <c r="B160" s="3">
        <v>6</v>
      </c>
      <c r="C160" s="88" t="s">
        <v>217</v>
      </c>
      <c r="D160" s="3" t="s">
        <v>228</v>
      </c>
      <c r="E160" s="3" t="s">
        <v>229</v>
      </c>
      <c r="F160" s="3"/>
      <c r="G160" s="3" t="s">
        <v>396</v>
      </c>
      <c r="H160" s="3" t="s">
        <v>228</v>
      </c>
      <c r="I160" s="8" t="s">
        <v>936</v>
      </c>
      <c r="J160" s="8" t="s">
        <v>396</v>
      </c>
      <c r="K160" s="8"/>
      <c r="L160" s="8" t="s">
        <v>396</v>
      </c>
      <c r="M160" s="8"/>
      <c r="N160" s="64"/>
      <c r="O160" s="8"/>
      <c r="P160" s="10" t="s">
        <v>1098</v>
      </c>
      <c r="Q160" s="10" t="s">
        <v>1092</v>
      </c>
      <c r="R160" s="10" t="s">
        <v>1092</v>
      </c>
      <c r="S160" s="10" t="s">
        <v>1092</v>
      </c>
      <c r="T160" s="10"/>
      <c r="U160" s="10"/>
      <c r="V160" s="10" t="s">
        <v>262</v>
      </c>
      <c r="W160" s="10"/>
    </row>
    <row r="161" spans="2:25" x14ac:dyDescent="0.2">
      <c r="B161" s="3">
        <v>7</v>
      </c>
      <c r="C161" s="88" t="s">
        <v>217</v>
      </c>
      <c r="D161" s="3" t="s">
        <v>230</v>
      </c>
      <c r="E161" s="3" t="s">
        <v>231</v>
      </c>
      <c r="F161" s="3" t="s">
        <v>396</v>
      </c>
      <c r="G161" s="3" t="s">
        <v>396</v>
      </c>
      <c r="H161" s="3" t="s">
        <v>230</v>
      </c>
      <c r="I161" s="8" t="s">
        <v>936</v>
      </c>
      <c r="J161" s="8" t="s">
        <v>396</v>
      </c>
      <c r="K161" s="8"/>
      <c r="L161" s="8" t="s">
        <v>396</v>
      </c>
      <c r="M161" s="8"/>
      <c r="N161" s="64"/>
      <c r="O161" s="8"/>
      <c r="P161" s="10" t="s">
        <v>1098</v>
      </c>
      <c r="Q161" s="10" t="s">
        <v>1092</v>
      </c>
      <c r="R161" s="10" t="s">
        <v>1111</v>
      </c>
      <c r="S161" s="10" t="s">
        <v>1092</v>
      </c>
      <c r="T161" s="10"/>
      <c r="U161" s="10"/>
      <c r="V161" s="10" t="s">
        <v>1191</v>
      </c>
      <c r="W161" s="10"/>
      <c r="Y161" s="58"/>
    </row>
    <row r="162" spans="2:25" x14ac:dyDescent="0.2">
      <c r="B162" s="3">
        <v>8</v>
      </c>
      <c r="C162" s="88" t="s">
        <v>217</v>
      </c>
      <c r="D162" s="3" t="s">
        <v>232</v>
      </c>
      <c r="E162" s="3" t="s">
        <v>233</v>
      </c>
      <c r="F162" s="3"/>
      <c r="G162" s="3" t="s">
        <v>396</v>
      </c>
      <c r="H162" s="3" t="s">
        <v>232</v>
      </c>
      <c r="I162" s="8" t="s">
        <v>936</v>
      </c>
      <c r="J162" s="8" t="s">
        <v>396</v>
      </c>
      <c r="K162" s="8"/>
      <c r="L162" s="8" t="s">
        <v>396</v>
      </c>
      <c r="M162" s="8"/>
      <c r="N162" s="64"/>
      <c r="O162" s="8"/>
      <c r="P162" s="10" t="s">
        <v>1098</v>
      </c>
      <c r="Q162" s="10" t="s">
        <v>1092</v>
      </c>
      <c r="R162" s="10" t="s">
        <v>1111</v>
      </c>
      <c r="S162" s="10" t="s">
        <v>1092</v>
      </c>
      <c r="T162" s="10"/>
      <c r="U162" s="10"/>
      <c r="V162" s="10" t="s">
        <v>262</v>
      </c>
      <c r="W162" s="10"/>
    </row>
    <row r="163" spans="2:25" x14ac:dyDescent="0.2">
      <c r="B163" s="3">
        <v>9</v>
      </c>
      <c r="C163" s="88" t="s">
        <v>217</v>
      </c>
      <c r="D163" s="3" t="s">
        <v>234</v>
      </c>
      <c r="E163" s="3" t="s">
        <v>235</v>
      </c>
      <c r="F163" s="3"/>
      <c r="G163" s="3" t="s">
        <v>396</v>
      </c>
      <c r="H163" s="3" t="s">
        <v>234</v>
      </c>
      <c r="I163" s="8" t="s">
        <v>936</v>
      </c>
      <c r="J163" s="8" t="s">
        <v>396</v>
      </c>
      <c r="K163" s="8"/>
      <c r="L163" s="8" t="s">
        <v>396</v>
      </c>
      <c r="M163" s="8"/>
      <c r="N163" s="64"/>
      <c r="O163" s="8"/>
      <c r="P163" s="10" t="s">
        <v>1098</v>
      </c>
      <c r="Q163" s="10" t="s">
        <v>1092</v>
      </c>
      <c r="R163" s="10" t="s">
        <v>1111</v>
      </c>
      <c r="S163" s="10" t="s">
        <v>1092</v>
      </c>
      <c r="T163" s="10"/>
      <c r="U163" s="10"/>
      <c r="V163" s="10" t="s">
        <v>1191</v>
      </c>
      <c r="W163" s="10"/>
    </row>
    <row r="164" spans="2:25" x14ac:dyDescent="0.25">
      <c r="B164" s="3">
        <v>1</v>
      </c>
      <c r="C164" s="3" t="s">
        <v>236</v>
      </c>
      <c r="D164" s="57" t="s">
        <v>237</v>
      </c>
      <c r="E164" s="3" t="s">
        <v>238</v>
      </c>
      <c r="F164" s="3"/>
      <c r="G164" s="3"/>
      <c r="H164" s="3" t="s">
        <v>237</v>
      </c>
      <c r="I164" s="8" t="s">
        <v>936</v>
      </c>
      <c r="J164" s="8" t="s">
        <v>396</v>
      </c>
      <c r="K164" s="8"/>
      <c r="L164" s="8" t="s">
        <v>396</v>
      </c>
      <c r="M164" s="8"/>
      <c r="N164" s="52"/>
      <c r="O164" s="8"/>
      <c r="P164" s="10" t="s">
        <v>1109</v>
      </c>
      <c r="Q164" s="10"/>
      <c r="R164" s="10" t="s">
        <v>1109</v>
      </c>
      <c r="S164" s="10" t="s">
        <v>1109</v>
      </c>
      <c r="T164" s="10"/>
      <c r="U164" s="10"/>
      <c r="V164" s="10" t="s">
        <v>1191</v>
      </c>
      <c r="W164" s="10"/>
    </row>
    <row r="165" spans="2:25" x14ac:dyDescent="0.2">
      <c r="B165" s="3"/>
      <c r="C165" s="3" t="s">
        <v>189</v>
      </c>
      <c r="D165" s="3" t="s">
        <v>191</v>
      </c>
      <c r="E165" s="3" t="s">
        <v>523</v>
      </c>
      <c r="F165" s="3" t="s">
        <v>396</v>
      </c>
      <c r="G165" s="3" t="s">
        <v>396</v>
      </c>
      <c r="H165" s="24" t="s">
        <v>191</v>
      </c>
      <c r="I165" s="8" t="s">
        <v>936</v>
      </c>
      <c r="J165" s="8"/>
      <c r="K165" s="8"/>
      <c r="L165" s="8"/>
      <c r="M165" s="8"/>
      <c r="N165" s="10"/>
      <c r="O165" s="8"/>
      <c r="P165" s="10" t="s">
        <v>1095</v>
      </c>
      <c r="Q165" s="10" t="s">
        <v>1092</v>
      </c>
      <c r="R165" s="10"/>
      <c r="S165" s="10"/>
      <c r="T165" s="10"/>
      <c r="U165" s="10"/>
      <c r="V165" s="10" t="s">
        <v>262</v>
      </c>
      <c r="W165" s="10"/>
    </row>
    <row r="166" spans="2:25" hidden="1" x14ac:dyDescent="0.2">
      <c r="B166" s="3"/>
      <c r="C166" s="3" t="s">
        <v>189</v>
      </c>
      <c r="D166" s="79" t="s">
        <v>192</v>
      </c>
      <c r="E166" s="79" t="s">
        <v>524</v>
      </c>
      <c r="F166" s="79"/>
      <c r="G166" s="79"/>
      <c r="H166" s="80" t="s">
        <v>192</v>
      </c>
      <c r="I166" s="8"/>
      <c r="J166" s="8"/>
      <c r="K166" s="8"/>
      <c r="L166" s="8"/>
      <c r="M166" s="8"/>
      <c r="N166" s="10"/>
      <c r="O166" s="8"/>
      <c r="P166" s="10"/>
      <c r="Q166" s="10"/>
      <c r="R166" s="10"/>
      <c r="S166" s="10"/>
      <c r="T166" s="10"/>
      <c r="U166" s="10"/>
      <c r="V166" s="10" t="s">
        <v>262</v>
      </c>
      <c r="W166" s="10"/>
    </row>
    <row r="167" spans="2:25" x14ac:dyDescent="0.2">
      <c r="B167" s="3"/>
      <c r="C167" s="3" t="s">
        <v>189</v>
      </c>
      <c r="D167" s="3" t="s">
        <v>193</v>
      </c>
      <c r="E167" s="3" t="s">
        <v>1183</v>
      </c>
      <c r="F167" s="3" t="s">
        <v>396</v>
      </c>
      <c r="G167" s="3" t="s">
        <v>396</v>
      </c>
      <c r="H167" s="24" t="s">
        <v>193</v>
      </c>
      <c r="I167" s="8" t="s">
        <v>936</v>
      </c>
      <c r="J167" s="8"/>
      <c r="K167" s="8"/>
      <c r="L167" s="8"/>
      <c r="M167" s="8"/>
      <c r="N167" s="10"/>
      <c r="O167" s="8"/>
      <c r="P167" s="10" t="s">
        <v>1095</v>
      </c>
      <c r="Q167" s="10" t="s">
        <v>1092</v>
      </c>
      <c r="R167" s="10"/>
      <c r="S167" s="10"/>
      <c r="T167" s="10"/>
      <c r="U167" s="10"/>
      <c r="V167" s="10" t="s">
        <v>262</v>
      </c>
      <c r="W167" s="10"/>
    </row>
    <row r="168" spans="2:25" x14ac:dyDescent="0.2">
      <c r="B168" s="3"/>
      <c r="C168" s="3" t="s">
        <v>189</v>
      </c>
      <c r="D168" s="3" t="s">
        <v>190</v>
      </c>
      <c r="E168" s="3" t="s">
        <v>525</v>
      </c>
      <c r="F168" s="3" t="s">
        <v>396</v>
      </c>
      <c r="G168" s="3" t="s">
        <v>396</v>
      </c>
      <c r="H168" s="24" t="s">
        <v>190</v>
      </c>
      <c r="I168" s="8" t="s">
        <v>936</v>
      </c>
      <c r="J168" s="8"/>
      <c r="K168" s="8"/>
      <c r="L168" s="8"/>
      <c r="M168" s="8"/>
      <c r="N168" s="10"/>
      <c r="O168" s="8"/>
      <c r="P168" s="10" t="s">
        <v>1095</v>
      </c>
      <c r="Q168" s="10" t="s">
        <v>1092</v>
      </c>
      <c r="R168" s="10"/>
      <c r="S168" s="10"/>
      <c r="T168" s="10"/>
      <c r="U168" s="10"/>
      <c r="V168" s="10" t="s">
        <v>262</v>
      </c>
      <c r="W168" s="10"/>
    </row>
    <row r="169" spans="2:25" hidden="1" x14ac:dyDescent="0.2">
      <c r="B169" s="3"/>
      <c r="C169" s="3" t="s">
        <v>189</v>
      </c>
      <c r="D169" s="79" t="s">
        <v>195</v>
      </c>
      <c r="E169" s="79" t="s">
        <v>526</v>
      </c>
      <c r="F169" s="79"/>
      <c r="G169" s="79"/>
      <c r="H169" s="80" t="s">
        <v>195</v>
      </c>
      <c r="I169" s="8"/>
      <c r="J169" s="8"/>
      <c r="K169" s="8"/>
      <c r="L169" s="8"/>
      <c r="M169" s="8"/>
      <c r="N169" s="10"/>
      <c r="O169" s="8"/>
      <c r="P169" s="10"/>
      <c r="Q169" s="10"/>
      <c r="R169" s="10"/>
      <c r="S169" s="10"/>
      <c r="T169" s="10"/>
      <c r="U169" s="10"/>
      <c r="V169" s="10" t="s">
        <v>262</v>
      </c>
      <c r="W169" s="10"/>
    </row>
    <row r="170" spans="2:25" x14ac:dyDescent="0.2">
      <c r="B170" s="3"/>
      <c r="C170" s="3" t="s">
        <v>189</v>
      </c>
      <c r="D170" s="3" t="s">
        <v>196</v>
      </c>
      <c r="E170" s="3" t="s">
        <v>527</v>
      </c>
      <c r="F170" s="3" t="s">
        <v>396</v>
      </c>
      <c r="G170" s="3" t="s">
        <v>396</v>
      </c>
      <c r="H170" s="24" t="s">
        <v>196</v>
      </c>
      <c r="I170" s="8" t="s">
        <v>936</v>
      </c>
      <c r="J170" s="8"/>
      <c r="K170" s="8"/>
      <c r="L170" s="8"/>
      <c r="M170" s="8"/>
      <c r="N170" s="10"/>
      <c r="O170" s="8"/>
      <c r="P170" s="10" t="s">
        <v>1095</v>
      </c>
      <c r="Q170" s="10" t="s">
        <v>1092</v>
      </c>
      <c r="R170" s="10"/>
      <c r="S170" s="10"/>
      <c r="T170" s="10"/>
      <c r="U170" s="10"/>
      <c r="V170" s="10" t="s">
        <v>262</v>
      </c>
      <c r="W170" s="10"/>
    </row>
    <row r="171" spans="2:25" x14ac:dyDescent="0.25">
      <c r="B171" s="3"/>
      <c r="C171" s="3" t="s">
        <v>189</v>
      </c>
      <c r="D171" s="21" t="s">
        <v>194</v>
      </c>
      <c r="E171" s="3" t="s">
        <v>528</v>
      </c>
      <c r="F171" s="3" t="s">
        <v>396</v>
      </c>
      <c r="G171" s="3" t="s">
        <v>396</v>
      </c>
      <c r="H171" s="69" t="s">
        <v>194</v>
      </c>
      <c r="I171" s="8" t="s">
        <v>936</v>
      </c>
      <c r="J171" s="8"/>
      <c r="K171" s="8"/>
      <c r="L171" s="8"/>
      <c r="M171" s="8"/>
      <c r="N171" s="10"/>
      <c r="O171" s="8"/>
      <c r="P171" s="10" t="s">
        <v>1095</v>
      </c>
      <c r="Q171" s="10" t="s">
        <v>1092</v>
      </c>
      <c r="R171" s="10"/>
      <c r="S171" s="10"/>
      <c r="T171" s="10"/>
      <c r="U171" s="10"/>
      <c r="V171" s="10" t="s">
        <v>262</v>
      </c>
      <c r="W171" s="10"/>
    </row>
    <row r="172" spans="2:25" hidden="1" x14ac:dyDescent="0.2">
      <c r="B172" s="3"/>
      <c r="C172" s="3" t="s">
        <v>189</v>
      </c>
      <c r="D172" s="24" t="s">
        <v>504</v>
      </c>
      <c r="E172" s="3" t="s">
        <v>522</v>
      </c>
      <c r="F172" s="3"/>
      <c r="G172" s="3"/>
      <c r="H172" s="24" t="s">
        <v>504</v>
      </c>
      <c r="I172" s="8"/>
      <c r="J172" s="8"/>
      <c r="K172" s="8"/>
      <c r="L172" s="8"/>
      <c r="M172" s="8"/>
      <c r="N172" s="10"/>
      <c r="O172" s="8"/>
      <c r="P172" s="10"/>
      <c r="Q172" s="10"/>
      <c r="R172" s="10"/>
      <c r="S172" s="10"/>
      <c r="T172" s="10"/>
      <c r="U172" s="10"/>
      <c r="V172" s="10" t="s">
        <v>1191</v>
      </c>
      <c r="W172" s="10"/>
    </row>
    <row r="173" spans="2:25" hidden="1" x14ac:dyDescent="0.2">
      <c r="B173" s="3"/>
      <c r="C173" s="3" t="s">
        <v>189</v>
      </c>
      <c r="D173" s="24" t="s">
        <v>530</v>
      </c>
      <c r="E173" s="3" t="s">
        <v>531</v>
      </c>
      <c r="F173" s="3"/>
      <c r="G173" s="3"/>
      <c r="H173" s="24" t="s">
        <v>530</v>
      </c>
      <c r="I173" s="8"/>
      <c r="J173" s="8"/>
      <c r="K173" s="8"/>
      <c r="L173" s="8"/>
      <c r="M173" s="8"/>
      <c r="N173" s="10"/>
      <c r="O173" s="8"/>
      <c r="P173" s="10"/>
      <c r="Q173" s="10"/>
      <c r="R173" s="10"/>
      <c r="S173" s="10"/>
      <c r="T173" s="10"/>
      <c r="U173" s="10"/>
      <c r="V173" s="10" t="s">
        <v>1191</v>
      </c>
      <c r="W173" s="10"/>
    </row>
    <row r="174" spans="2:25" hidden="1" x14ac:dyDescent="0.2">
      <c r="B174" s="3"/>
      <c r="C174" s="3" t="s">
        <v>189</v>
      </c>
      <c r="D174" s="24" t="s">
        <v>529</v>
      </c>
      <c r="E174" s="3" t="s">
        <v>544</v>
      </c>
      <c r="F174" s="3"/>
      <c r="G174" s="3"/>
      <c r="H174" s="24" t="s">
        <v>529</v>
      </c>
      <c r="I174" s="8"/>
      <c r="J174" s="8"/>
      <c r="K174" s="8"/>
      <c r="L174" s="8"/>
      <c r="M174" s="8"/>
      <c r="N174" s="10"/>
      <c r="O174" s="8"/>
      <c r="P174" s="10"/>
      <c r="Q174" s="10"/>
      <c r="R174" s="10"/>
      <c r="S174" s="10"/>
      <c r="T174" s="10"/>
      <c r="U174" s="10"/>
      <c r="V174" s="10" t="s">
        <v>1191</v>
      </c>
      <c r="W174" s="10"/>
    </row>
    <row r="183" spans="3:5" x14ac:dyDescent="0.25">
      <c r="C183" s="9" t="s">
        <v>239</v>
      </c>
      <c r="D183" s="9" t="s">
        <v>240</v>
      </c>
      <c r="E183" s="9" t="s">
        <v>241</v>
      </c>
    </row>
    <row r="184" spans="3:5" x14ac:dyDescent="0.25">
      <c r="C184" s="9" t="s">
        <v>239</v>
      </c>
      <c r="D184" s="9" t="s">
        <v>240</v>
      </c>
      <c r="E184" s="9" t="s">
        <v>242</v>
      </c>
    </row>
    <row r="185" spans="3:5" x14ac:dyDescent="0.25">
      <c r="C185" s="9" t="s">
        <v>239</v>
      </c>
      <c r="D185" s="9" t="s">
        <v>240</v>
      </c>
      <c r="E185" s="9" t="s">
        <v>243</v>
      </c>
    </row>
    <row r="186" spans="3:5" x14ac:dyDescent="0.25">
      <c r="C186" s="9" t="s">
        <v>239</v>
      </c>
      <c r="D186" s="9" t="s">
        <v>240</v>
      </c>
      <c r="E186" s="9" t="s">
        <v>244</v>
      </c>
    </row>
    <row r="187" spans="3:5" x14ac:dyDescent="0.25">
      <c r="C187" s="9" t="s">
        <v>239</v>
      </c>
      <c r="D187" s="9" t="s">
        <v>240</v>
      </c>
      <c r="E187" s="9" t="s">
        <v>245</v>
      </c>
    </row>
    <row r="188" spans="3:5" x14ac:dyDescent="0.25">
      <c r="C188" s="9" t="s">
        <v>239</v>
      </c>
      <c r="D188" s="9" t="s">
        <v>240</v>
      </c>
      <c r="E188" s="9" t="s">
        <v>246</v>
      </c>
    </row>
    <row r="189" spans="3:5" x14ac:dyDescent="0.25">
      <c r="C189" s="9" t="s">
        <v>239</v>
      </c>
      <c r="D189" s="9" t="s">
        <v>240</v>
      </c>
      <c r="E189" s="9" t="s">
        <v>247</v>
      </c>
    </row>
    <row r="190" spans="3:5" x14ac:dyDescent="0.25">
      <c r="C190" s="9" t="s">
        <v>239</v>
      </c>
      <c r="D190" s="9" t="s">
        <v>240</v>
      </c>
      <c r="E190" s="9" t="s">
        <v>248</v>
      </c>
    </row>
    <row r="191" spans="3:5" x14ac:dyDescent="0.25">
      <c r="C191" s="9" t="s">
        <v>249</v>
      </c>
      <c r="D191" s="9" t="s">
        <v>250</v>
      </c>
      <c r="E191" s="9" t="s">
        <v>251</v>
      </c>
    </row>
    <row r="192" spans="3:5" x14ac:dyDescent="0.25">
      <c r="C192" s="9" t="s">
        <v>249</v>
      </c>
      <c r="D192" s="9" t="s">
        <v>252</v>
      </c>
      <c r="E192" s="9" t="s">
        <v>253</v>
      </c>
    </row>
    <row r="193" spans="3:20" x14ac:dyDescent="0.25">
      <c r="C193" s="9" t="s">
        <v>249</v>
      </c>
      <c r="D193" s="9" t="s">
        <v>254</v>
      </c>
      <c r="E193" s="9" t="s">
        <v>255</v>
      </c>
      <c r="J193" s="66"/>
    </row>
    <row r="194" spans="3:20" x14ac:dyDescent="0.25">
      <c r="C194" s="9" t="s">
        <v>249</v>
      </c>
      <c r="D194" s="9" t="s">
        <v>256</v>
      </c>
      <c r="E194" s="9" t="s">
        <v>257</v>
      </c>
      <c r="J194" s="66"/>
    </row>
    <row r="195" spans="3:20" x14ac:dyDescent="0.25">
      <c r="C195" s="9" t="s">
        <v>249</v>
      </c>
      <c r="D195" s="9" t="s">
        <v>258</v>
      </c>
      <c r="E195" s="9" t="s">
        <v>259</v>
      </c>
      <c r="J195" s="67"/>
    </row>
    <row r="196" spans="3:20" x14ac:dyDescent="0.25">
      <c r="T196" s="63"/>
    </row>
    <row r="197" spans="3:20" x14ac:dyDescent="0.25">
      <c r="J197" s="66"/>
    </row>
    <row r="198" spans="3:20" x14ac:dyDescent="0.25">
      <c r="D198" s="3" t="s">
        <v>106</v>
      </c>
      <c r="E198" s="3" t="s">
        <v>549</v>
      </c>
      <c r="F198" s="85"/>
      <c r="G198" s="85"/>
      <c r="T198" s="63"/>
    </row>
    <row r="199" spans="3:20" x14ac:dyDescent="0.25">
      <c r="D199" s="3" t="s">
        <v>109</v>
      </c>
      <c r="E199" s="3" t="s">
        <v>552</v>
      </c>
      <c r="F199" s="85"/>
      <c r="G199" s="85"/>
      <c r="J199" s="67"/>
      <c r="T199" s="63"/>
    </row>
    <row r="200" spans="3:20" x14ac:dyDescent="0.25">
      <c r="D200" s="3" t="s">
        <v>115</v>
      </c>
      <c r="E200" s="3" t="s">
        <v>557</v>
      </c>
      <c r="F200" s="85"/>
      <c r="G200" s="85"/>
    </row>
    <row r="201" spans="3:20" x14ac:dyDescent="0.25">
      <c r="D201" s="3" t="s">
        <v>123</v>
      </c>
      <c r="E201" s="3" t="s">
        <v>577</v>
      </c>
      <c r="F201" s="85"/>
    </row>
    <row r="202" spans="3:20" x14ac:dyDescent="0.25">
      <c r="D202" s="57" t="s">
        <v>136</v>
      </c>
      <c r="E202" s="3" t="s">
        <v>553</v>
      </c>
      <c r="F202" s="85"/>
    </row>
    <row r="203" spans="3:20" x14ac:dyDescent="0.25">
      <c r="D203" s="76" t="s">
        <v>143</v>
      </c>
      <c r="E203" s="77" t="s">
        <v>580</v>
      </c>
      <c r="F203" s="90"/>
    </row>
    <row r="204" spans="3:20" x14ac:dyDescent="0.25">
      <c r="D204" s="69" t="s">
        <v>510</v>
      </c>
      <c r="E204" s="3" t="s">
        <v>1181</v>
      </c>
      <c r="F204" s="85"/>
    </row>
    <row r="205" spans="3:20" x14ac:dyDescent="0.25">
      <c r="D205" s="69" t="s">
        <v>1067</v>
      </c>
      <c r="E205" s="3" t="s">
        <v>1182</v>
      </c>
      <c r="F205" s="85"/>
    </row>
    <row r="206" spans="3:20" x14ac:dyDescent="0.25">
      <c r="D206" s="69" t="s">
        <v>1178</v>
      </c>
      <c r="E206" s="3" t="s">
        <v>1175</v>
      </c>
      <c r="F206" s="85"/>
    </row>
    <row r="207" spans="3:20" x14ac:dyDescent="0.25">
      <c r="D207" s="69" t="s">
        <v>1179</v>
      </c>
      <c r="E207" s="3" t="s">
        <v>1176</v>
      </c>
      <c r="F207" s="85"/>
    </row>
    <row r="208" spans="3:20" x14ac:dyDescent="0.25">
      <c r="D208" s="3" t="s">
        <v>155</v>
      </c>
      <c r="E208" s="69" t="s">
        <v>629</v>
      </c>
      <c r="F208" s="91"/>
    </row>
    <row r="209" spans="4:6" x14ac:dyDescent="0.25">
      <c r="D209" s="3" t="s">
        <v>159</v>
      </c>
      <c r="E209" s="69" t="s">
        <v>630</v>
      </c>
      <c r="F209" s="91"/>
    </row>
    <row r="210" spans="4:6" x14ac:dyDescent="0.25">
      <c r="D210" s="3" t="s">
        <v>164</v>
      </c>
      <c r="E210" s="3" t="s">
        <v>623</v>
      </c>
      <c r="F210" s="85"/>
    </row>
    <row r="211" spans="4:6" x14ac:dyDescent="0.25">
      <c r="D211" s="3" t="s">
        <v>167</v>
      </c>
      <c r="E211" s="3" t="s">
        <v>625</v>
      </c>
      <c r="F211" s="85"/>
    </row>
    <row r="212" spans="4:6" x14ac:dyDescent="0.25">
      <c r="D212" s="3" t="s">
        <v>204</v>
      </c>
      <c r="E212" s="3" t="s">
        <v>597</v>
      </c>
      <c r="F212" s="85"/>
    </row>
    <row r="213" spans="4:6" x14ac:dyDescent="0.25">
      <c r="D213" s="3" t="s">
        <v>207</v>
      </c>
      <c r="E213" s="3" t="s">
        <v>600</v>
      </c>
      <c r="F213" s="85"/>
    </row>
    <row r="214" spans="4:6" x14ac:dyDescent="0.25">
      <c r="D214" s="3" t="s">
        <v>215</v>
      </c>
      <c r="E214" s="3" t="s">
        <v>216</v>
      </c>
      <c r="F214" s="85"/>
    </row>
    <row r="215" spans="4:6" x14ac:dyDescent="0.25">
      <c r="D215" s="3" t="s">
        <v>222</v>
      </c>
      <c r="E215" s="3" t="s">
        <v>223</v>
      </c>
      <c r="F215" s="85"/>
    </row>
    <row r="216" spans="4:6" x14ac:dyDescent="0.25">
      <c r="D216" s="3" t="s">
        <v>228</v>
      </c>
      <c r="E216" s="3" t="s">
        <v>229</v>
      </c>
      <c r="F216" s="85"/>
    </row>
    <row r="217" spans="4:6" x14ac:dyDescent="0.25">
      <c r="D217" s="3" t="s">
        <v>230</v>
      </c>
      <c r="E217" s="3" t="s">
        <v>231</v>
      </c>
      <c r="F217" s="85"/>
    </row>
    <row r="218" spans="4:6" x14ac:dyDescent="0.25">
      <c r="D218" s="3" t="s">
        <v>232</v>
      </c>
      <c r="E218" s="3" t="s">
        <v>233</v>
      </c>
      <c r="F218" s="85"/>
    </row>
    <row r="219" spans="4:6" x14ac:dyDescent="0.25">
      <c r="D219" s="3" t="s">
        <v>234</v>
      </c>
      <c r="E219" s="3" t="s">
        <v>235</v>
      </c>
      <c r="F219" s="85"/>
    </row>
    <row r="220" spans="4:6" x14ac:dyDescent="0.25">
      <c r="D220" s="3" t="s">
        <v>191</v>
      </c>
      <c r="E220" s="3" t="s">
        <v>523</v>
      </c>
      <c r="F220" s="85"/>
    </row>
    <row r="221" spans="4:6" x14ac:dyDescent="0.25">
      <c r="D221" s="3" t="s">
        <v>193</v>
      </c>
      <c r="E221" s="3" t="s">
        <v>1183</v>
      </c>
      <c r="F221" s="85"/>
    </row>
    <row r="222" spans="4:6" x14ac:dyDescent="0.25">
      <c r="D222" s="3" t="s">
        <v>190</v>
      </c>
      <c r="E222" s="3" t="s">
        <v>525</v>
      </c>
      <c r="F222" s="85"/>
    </row>
    <row r="223" spans="4:6" x14ac:dyDescent="0.25">
      <c r="D223" s="3" t="s">
        <v>196</v>
      </c>
      <c r="E223" s="3" t="s">
        <v>527</v>
      </c>
      <c r="F223" s="85"/>
    </row>
    <row r="224" spans="4:6" x14ac:dyDescent="0.25">
      <c r="D224" s="21" t="s">
        <v>194</v>
      </c>
      <c r="E224" s="3" t="s">
        <v>528</v>
      </c>
      <c r="F224" s="85"/>
    </row>
    <row r="228" spans="4:5" x14ac:dyDescent="0.25">
      <c r="D228" s="88" t="s">
        <v>105</v>
      </c>
      <c r="E228" s="3" t="s">
        <v>547</v>
      </c>
    </row>
    <row r="229" spans="4:5" x14ac:dyDescent="0.25">
      <c r="D229" s="88" t="s">
        <v>108</v>
      </c>
      <c r="E229" s="3" t="s">
        <v>550</v>
      </c>
    </row>
    <row r="230" spans="4:5" x14ac:dyDescent="0.25">
      <c r="D230" s="88" t="s">
        <v>119</v>
      </c>
      <c r="E230" s="3" t="s">
        <v>571</v>
      </c>
    </row>
    <row r="231" spans="4:5" x14ac:dyDescent="0.25">
      <c r="D231" s="88" t="s">
        <v>121</v>
      </c>
      <c r="E231" s="3" t="s">
        <v>578</v>
      </c>
    </row>
    <row r="232" spans="4:5" x14ac:dyDescent="0.25">
      <c r="D232" s="88" t="s">
        <v>213</v>
      </c>
      <c r="E232" s="3" t="s">
        <v>214</v>
      </c>
    </row>
    <row r="233" spans="4:5" x14ac:dyDescent="0.25">
      <c r="D233" s="57" t="s">
        <v>135</v>
      </c>
      <c r="E233" s="3" t="s">
        <v>551</v>
      </c>
    </row>
    <row r="234" spans="4:5" x14ac:dyDescent="0.25">
      <c r="D234" s="76" t="s">
        <v>142</v>
      </c>
      <c r="E234" s="77" t="s">
        <v>579</v>
      </c>
    </row>
    <row r="235" spans="4:5" x14ac:dyDescent="0.25">
      <c r="D235" s="69" t="s">
        <v>508</v>
      </c>
      <c r="E235" s="3" t="s">
        <v>1180</v>
      </c>
    </row>
    <row r="236" spans="4:5" x14ac:dyDescent="0.25">
      <c r="D236" s="69" t="s">
        <v>510</v>
      </c>
      <c r="E236" s="3" t="s">
        <v>1181</v>
      </c>
    </row>
    <row r="237" spans="4:5" x14ac:dyDescent="0.25">
      <c r="D237" s="69" t="s">
        <v>1067</v>
      </c>
      <c r="E237" s="3" t="s">
        <v>1182</v>
      </c>
    </row>
    <row r="238" spans="4:5" x14ac:dyDescent="0.25">
      <c r="D238" s="69" t="s">
        <v>1177</v>
      </c>
      <c r="E238" s="3" t="s">
        <v>1174</v>
      </c>
    </row>
    <row r="239" spans="4:5" x14ac:dyDescent="0.25">
      <c r="D239" s="69" t="s">
        <v>1178</v>
      </c>
      <c r="E239" s="3" t="s">
        <v>1175</v>
      </c>
    </row>
    <row r="240" spans="4:5" x14ac:dyDescent="0.25">
      <c r="D240" s="69" t="s">
        <v>1179</v>
      </c>
      <c r="E240" s="3" t="s">
        <v>1176</v>
      </c>
    </row>
    <row r="241" spans="4:5" x14ac:dyDescent="0.25">
      <c r="D241" s="3" t="s">
        <v>154</v>
      </c>
      <c r="E241" s="69" t="s">
        <v>616</v>
      </c>
    </row>
    <row r="242" spans="4:5" x14ac:dyDescent="0.25">
      <c r="D242" s="21" t="s">
        <v>160</v>
      </c>
      <c r="E242" s="69" t="s">
        <v>617</v>
      </c>
    </row>
    <row r="243" spans="4:5" x14ac:dyDescent="0.25">
      <c r="D243" s="3" t="s">
        <v>162</v>
      </c>
      <c r="E243" s="3" t="s">
        <v>624</v>
      </c>
    </row>
    <row r="244" spans="4:5" x14ac:dyDescent="0.25">
      <c r="D244" s="3" t="s">
        <v>165</v>
      </c>
      <c r="E244" s="3" t="s">
        <v>639</v>
      </c>
    </row>
    <row r="245" spans="4:5" x14ac:dyDescent="0.25">
      <c r="D245" s="3" t="s">
        <v>198</v>
      </c>
      <c r="E245" s="3" t="s">
        <v>603</v>
      </c>
    </row>
    <row r="246" spans="4:5" x14ac:dyDescent="0.25">
      <c r="D246" s="3" t="s">
        <v>1184</v>
      </c>
      <c r="E246" s="3" t="s">
        <v>1189</v>
      </c>
    </row>
    <row r="247" spans="4:5" x14ac:dyDescent="0.25">
      <c r="D247" s="3" t="s">
        <v>202</v>
      </c>
      <c r="E247" s="3" t="s">
        <v>595</v>
      </c>
    </row>
    <row r="248" spans="4:5" x14ac:dyDescent="0.25">
      <c r="D248" s="3" t="s">
        <v>205</v>
      </c>
      <c r="E248" s="3" t="s">
        <v>598</v>
      </c>
    </row>
    <row r="249" spans="4:5" x14ac:dyDescent="0.25">
      <c r="D249" s="3" t="s">
        <v>218</v>
      </c>
      <c r="E249" s="3" t="s">
        <v>219</v>
      </c>
    </row>
    <row r="250" spans="4:5" x14ac:dyDescent="0.25">
      <c r="D250" s="3" t="s">
        <v>220</v>
      </c>
      <c r="E250" s="3" t="s">
        <v>221</v>
      </c>
    </row>
    <row r="251" spans="4:5" x14ac:dyDescent="0.25">
      <c r="D251" s="3" t="s">
        <v>222</v>
      </c>
      <c r="E251" s="3" t="s">
        <v>223</v>
      </c>
    </row>
    <row r="252" spans="4:5" x14ac:dyDescent="0.25">
      <c r="D252" s="3" t="s">
        <v>224</v>
      </c>
      <c r="E252" s="3" t="s">
        <v>225</v>
      </c>
    </row>
    <row r="253" spans="4:5" x14ac:dyDescent="0.25">
      <c r="D253" s="3" t="s">
        <v>230</v>
      </c>
      <c r="E253" s="3" t="s">
        <v>231</v>
      </c>
    </row>
    <row r="254" spans="4:5" x14ac:dyDescent="0.25">
      <c r="D254" s="3" t="s">
        <v>191</v>
      </c>
      <c r="E254" s="3" t="s">
        <v>523</v>
      </c>
    </row>
    <row r="255" spans="4:5" x14ac:dyDescent="0.25">
      <c r="D255" s="3" t="s">
        <v>193</v>
      </c>
      <c r="E255" s="3" t="s">
        <v>1183</v>
      </c>
    </row>
    <row r="256" spans="4:5" x14ac:dyDescent="0.25">
      <c r="D256" s="3" t="s">
        <v>190</v>
      </c>
      <c r="E256" s="3" t="s">
        <v>525</v>
      </c>
    </row>
    <row r="257" spans="4:5" x14ac:dyDescent="0.25">
      <c r="D257" s="3" t="s">
        <v>196</v>
      </c>
      <c r="E257" s="3" t="s">
        <v>527</v>
      </c>
    </row>
    <row r="258" spans="4:5" x14ac:dyDescent="0.25">
      <c r="D258" s="21" t="s">
        <v>194</v>
      </c>
      <c r="E258" s="3" t="s">
        <v>528</v>
      </c>
    </row>
    <row r="261" spans="4:5" x14ac:dyDescent="0.25">
      <c r="D261" s="3" t="s">
        <v>191</v>
      </c>
      <c r="E261" s="3" t="s">
        <v>523</v>
      </c>
    </row>
    <row r="262" spans="4:5" x14ac:dyDescent="0.25">
      <c r="D262" s="3" t="s">
        <v>193</v>
      </c>
      <c r="E262" s="3" t="s">
        <v>1183</v>
      </c>
    </row>
    <row r="263" spans="4:5" x14ac:dyDescent="0.25">
      <c r="D263" s="3" t="s">
        <v>190</v>
      </c>
      <c r="E263" s="3" t="s">
        <v>525</v>
      </c>
    </row>
    <row r="264" spans="4:5" x14ac:dyDescent="0.25">
      <c r="D264" s="3" t="s">
        <v>196</v>
      </c>
      <c r="E264" s="3" t="s">
        <v>527</v>
      </c>
    </row>
    <row r="265" spans="4:5" x14ac:dyDescent="0.25">
      <c r="D265" s="21" t="s">
        <v>194</v>
      </c>
      <c r="E265" s="3" t="s">
        <v>528</v>
      </c>
    </row>
    <row r="1048526" spans="24:24" x14ac:dyDescent="0.25">
      <c r="X1048526" s="58"/>
    </row>
    <row r="1048527" spans="24:24" x14ac:dyDescent="0.25">
      <c r="X1048527" s="58"/>
    </row>
    <row r="1048528" spans="24:24" x14ac:dyDescent="0.25">
      <c r="X1048528" s="10"/>
    </row>
    <row r="1048529" spans="24:24" x14ac:dyDescent="0.25">
      <c r="X1048529" s="10"/>
    </row>
    <row r="1048530" spans="24:24" x14ac:dyDescent="0.25">
      <c r="X1048530" s="10"/>
    </row>
    <row r="1048531" spans="24:24" x14ac:dyDescent="0.25">
      <c r="X1048531" s="10"/>
    </row>
    <row r="1048532" spans="24:24" x14ac:dyDescent="0.25">
      <c r="X1048532" s="10"/>
    </row>
    <row r="1048533" spans="24:24" x14ac:dyDescent="0.25">
      <c r="X1048533" s="10"/>
    </row>
    <row r="1048534" spans="24:24" x14ac:dyDescent="0.25">
      <c r="X1048534" s="10"/>
    </row>
  </sheetData>
  <autoFilter ref="B15:W174" xr:uid="{00000000-0009-0000-0000-000001000000}">
    <filterColumn colId="7">
      <customFilters>
        <customFilter operator="notEqual" val=" "/>
      </customFilters>
    </filterColumn>
  </autoFilter>
  <conditionalFormatting sqref="T97:V99 R97:R99 O155:O164 N145:Q153 O154:Q163 N164:Q164 O143:Q144 O142:V142 O97:Q97 W23:W60 B165:V174 R100:V141 N98:Q141 B143:M164 R155:V164 R143:W154 W155:W174 B43:W44 B65:M141 W62:W68 W73:W141 B23:V64 N65:V96 B16:V18 B20:V21">
    <cfRule type="cellIs" dxfId="51" priority="71" operator="equal">
      <formula>"Retest"</formula>
    </cfRule>
    <cfRule type="cellIs" dxfId="50" priority="72" operator="equal">
      <formula>"Failed"</formula>
    </cfRule>
  </conditionalFormatting>
  <conditionalFormatting sqref="N73:O73">
    <cfRule type="cellIs" dxfId="49" priority="61" operator="equal">
      <formula>"Retest"</formula>
    </cfRule>
    <cfRule type="cellIs" dxfId="48" priority="62" operator="equal">
      <formula>"Failed"</formula>
    </cfRule>
  </conditionalFormatting>
  <conditionalFormatting sqref="N69:O70">
    <cfRule type="cellIs" dxfId="47" priority="59" operator="equal">
      <formula>"Retest"</formula>
    </cfRule>
    <cfRule type="cellIs" dxfId="46" priority="60" operator="equal">
      <formula>"Failed"</formula>
    </cfRule>
  </conditionalFormatting>
  <conditionalFormatting sqref="N97:O99">
    <cfRule type="cellIs" dxfId="45" priority="57" operator="equal">
      <formula>"Retest"</formula>
    </cfRule>
    <cfRule type="cellIs" dxfId="44" priority="58" operator="equal">
      <formula>"Failed"</formula>
    </cfRule>
  </conditionalFormatting>
  <conditionalFormatting sqref="S97:S99">
    <cfRule type="cellIs" dxfId="43" priority="53" operator="equal">
      <formula>"Retest"</formula>
    </cfRule>
    <cfRule type="cellIs" dxfId="42" priority="54" operator="equal">
      <formula>"Failed"</formula>
    </cfRule>
  </conditionalFormatting>
  <conditionalFormatting sqref="N154">
    <cfRule type="cellIs" dxfId="41" priority="51" operator="equal">
      <formula>"Retest"</formula>
    </cfRule>
    <cfRule type="cellIs" dxfId="40" priority="52" operator="equal">
      <formula>"Failed"</formula>
    </cfRule>
  </conditionalFormatting>
  <conditionalFormatting sqref="W16:W18 W69:W70 W20:W21">
    <cfRule type="cellIs" dxfId="39" priority="45" operator="equal">
      <formula>"Retest"</formula>
    </cfRule>
    <cfRule type="cellIs" dxfId="38" priority="46" operator="equal">
      <formula>"Failed"</formula>
    </cfRule>
  </conditionalFormatting>
  <conditionalFormatting sqref="W61">
    <cfRule type="cellIs" dxfId="37" priority="41" operator="equal">
      <formula>"Retest"</formula>
    </cfRule>
    <cfRule type="cellIs" dxfId="36" priority="42" operator="equal">
      <formula>"Failed"</formula>
    </cfRule>
  </conditionalFormatting>
  <conditionalFormatting sqref="B142:M142">
    <cfRule type="cellIs" dxfId="35" priority="39" operator="equal">
      <formula>"Retest"</formula>
    </cfRule>
    <cfRule type="cellIs" dxfId="34" priority="40" operator="equal">
      <formula>"Failed"</formula>
    </cfRule>
  </conditionalFormatting>
  <conditionalFormatting sqref="W142">
    <cfRule type="cellIs" dxfId="33" priority="37" operator="equal">
      <formula>"Retest"</formula>
    </cfRule>
    <cfRule type="cellIs" dxfId="32" priority="38" operator="equal">
      <formula>"Failed"</formula>
    </cfRule>
  </conditionalFormatting>
  <conditionalFormatting sqref="R71:V72 N72:Q72 O71:Q71 B71:M72">
    <cfRule type="cellIs" dxfId="31" priority="35" operator="equal">
      <formula>"Retest"</formula>
    </cfRule>
    <cfRule type="cellIs" dxfId="30" priority="36" operator="equal">
      <formula>"Failed"</formula>
    </cfRule>
  </conditionalFormatting>
  <conditionalFormatting sqref="N71:O71">
    <cfRule type="cellIs" dxfId="29" priority="33" operator="equal">
      <formula>"Retest"</formula>
    </cfRule>
    <cfRule type="cellIs" dxfId="28" priority="34" operator="equal">
      <formula>"Failed"</formula>
    </cfRule>
  </conditionalFormatting>
  <conditionalFormatting sqref="W71:W72">
    <cfRule type="cellIs" dxfId="27" priority="31" operator="equal">
      <formula>"Retest"</formula>
    </cfRule>
    <cfRule type="cellIs" dxfId="26" priority="32" operator="equal">
      <formula>"Failed"</formula>
    </cfRule>
  </conditionalFormatting>
  <conditionalFormatting sqref="B22:V22">
    <cfRule type="cellIs" dxfId="25" priority="29" operator="equal">
      <formula>"Retest"</formula>
    </cfRule>
    <cfRule type="cellIs" dxfId="24" priority="30" operator="equal">
      <formula>"Failed"</formula>
    </cfRule>
  </conditionalFormatting>
  <conditionalFormatting sqref="W22">
    <cfRule type="cellIs" dxfId="23" priority="27" operator="equal">
      <formula>"Retest"</formula>
    </cfRule>
    <cfRule type="cellIs" dxfId="22" priority="28" operator="equal">
      <formula>"Failed"</formula>
    </cfRule>
  </conditionalFormatting>
  <conditionalFormatting sqref="G198">
    <cfRule type="cellIs" dxfId="21" priority="25" operator="equal">
      <formula>"Retest"</formula>
    </cfRule>
    <cfRule type="cellIs" dxfId="20" priority="26" operator="equal">
      <formula>"Failed"</formula>
    </cfRule>
  </conditionalFormatting>
  <conditionalFormatting sqref="G199">
    <cfRule type="cellIs" dxfId="19" priority="23" operator="equal">
      <formula>"Retest"</formula>
    </cfRule>
    <cfRule type="cellIs" dxfId="18" priority="24" operator="equal">
      <formula>"Failed"</formula>
    </cfRule>
  </conditionalFormatting>
  <conditionalFormatting sqref="G200">
    <cfRule type="cellIs" dxfId="17" priority="21" operator="equal">
      <formula>"Retest"</formula>
    </cfRule>
    <cfRule type="cellIs" dxfId="16" priority="22" operator="equal">
      <formula>"Failed"</formula>
    </cfRule>
  </conditionalFormatting>
  <conditionalFormatting sqref="D204:F224 D198:F202">
    <cfRule type="cellIs" dxfId="15" priority="15" operator="equal">
      <formula>"Retest"</formula>
    </cfRule>
    <cfRule type="cellIs" dxfId="14" priority="16" operator="equal">
      <formula>"Failed"</formula>
    </cfRule>
  </conditionalFormatting>
  <conditionalFormatting sqref="D203:F203">
    <cfRule type="cellIs" dxfId="13" priority="13" operator="equal">
      <formula>"Retest"</formula>
    </cfRule>
    <cfRule type="cellIs" dxfId="12" priority="14" operator="equal">
      <formula>"Failed"</formula>
    </cfRule>
  </conditionalFormatting>
  <conditionalFormatting sqref="D246:E258 D235:E244 D228:E233">
    <cfRule type="cellIs" dxfId="11" priority="11" operator="equal">
      <formula>"Retest"</formula>
    </cfRule>
    <cfRule type="cellIs" dxfId="10" priority="12" operator="equal">
      <formula>"Failed"</formula>
    </cfRule>
  </conditionalFormatting>
  <conditionalFormatting sqref="D234:E234">
    <cfRule type="cellIs" dxfId="9" priority="9" operator="equal">
      <formula>"Retest"</formula>
    </cfRule>
    <cfRule type="cellIs" dxfId="8" priority="10" operator="equal">
      <formula>"Failed"</formula>
    </cfRule>
  </conditionalFormatting>
  <conditionalFormatting sqref="D245:E245">
    <cfRule type="cellIs" dxfId="7" priority="7" operator="equal">
      <formula>"Retest"</formula>
    </cfRule>
    <cfRule type="cellIs" dxfId="6" priority="8" operator="equal">
      <formula>"Failed"</formula>
    </cfRule>
  </conditionalFormatting>
  <conditionalFormatting sqref="D261:E265">
    <cfRule type="cellIs" dxfId="5" priority="5" operator="equal">
      <formula>"Retest"</formula>
    </cfRule>
    <cfRule type="cellIs" dxfId="4" priority="6" operator="equal">
      <formula>"Failed"</formula>
    </cfRule>
  </conditionalFormatting>
  <conditionalFormatting sqref="B19:V19">
    <cfRule type="cellIs" dxfId="3" priority="3" operator="equal">
      <formula>"Retest"</formula>
    </cfRule>
    <cfRule type="cellIs" dxfId="2" priority="4" operator="equal">
      <formula>"Failed"</formula>
    </cfRule>
  </conditionalFormatting>
  <conditionalFormatting sqref="W19">
    <cfRule type="cellIs" dxfId="1" priority="1" operator="equal">
      <formula>"Retest"</formula>
    </cfRule>
    <cfRule type="cellIs" dxfId="0" priority="2" operator="equal">
      <formula>"Failed"</formula>
    </cfRule>
  </conditionalFormatting>
  <dataValidations count="3">
    <dataValidation type="list" allowBlank="1" showInputMessage="1" showErrorMessage="1" sqref="I16:I174" xr:uid="{00000000-0002-0000-0100-000000000000}">
      <formula1>"Yes,Not yet"</formula1>
    </dataValidation>
    <dataValidation type="list" allowBlank="1" showInputMessage="1" showErrorMessage="1" sqref="M16:M174 O16:O174" xr:uid="{00000000-0002-0000-0100-000001000000}">
      <formula1>"Passed, Failed, Retest, Pending, Cancel,Testing"</formula1>
    </dataValidation>
    <dataValidation type="list" allowBlank="1" showInputMessage="1" showErrorMessage="1" sqref="J16:L174" xr:uid="{00000000-0002-0000-0100-000002000000}">
      <formula1>"x"</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146"/>
  <sheetViews>
    <sheetView workbookViewId="0">
      <pane ySplit="10" topLeftCell="A11" activePane="bottomLeft" state="frozen"/>
      <selection pane="bottomLeft" activeCell="E31" sqref="E31"/>
    </sheetView>
  </sheetViews>
  <sheetFormatPr defaultColWidth="9.140625" defaultRowHeight="12.75" x14ac:dyDescent="0.2"/>
  <cols>
    <col min="1" max="1" width="9.140625" style="41"/>
    <col min="2" max="2" width="35" style="43" bestFit="1" customWidth="1"/>
    <col min="3" max="3" width="13.140625" style="40" bestFit="1" customWidth="1"/>
    <col min="4" max="4" width="17.28515625" style="40" bestFit="1" customWidth="1"/>
    <col min="5" max="5" width="37.42578125" style="41" customWidth="1"/>
    <col min="6" max="6" width="9.140625" style="40"/>
    <col min="7" max="16384" width="9.140625" style="41"/>
  </cols>
  <sheetData>
    <row r="2" spans="2:6" x14ac:dyDescent="0.2">
      <c r="B2" s="39" t="s">
        <v>961</v>
      </c>
    </row>
    <row r="3" spans="2:6" s="32" customFormat="1" x14ac:dyDescent="0.25">
      <c r="B3" s="32" t="s">
        <v>932</v>
      </c>
      <c r="C3" s="32">
        <f>COUNTA($B$11:$B$144)</f>
        <v>134</v>
      </c>
      <c r="F3" s="42"/>
    </row>
    <row r="4" spans="2:6" s="32" customFormat="1" x14ac:dyDescent="0.25">
      <c r="B4" s="32" t="s">
        <v>958</v>
      </c>
      <c r="C4" s="32">
        <f>COUNTIF($C$11:$C$144, "Yes")</f>
        <v>133</v>
      </c>
      <c r="D4" s="34">
        <f>ROUND(C4/$C$3,2)</f>
        <v>0.99</v>
      </c>
      <c r="E4" s="32" t="s">
        <v>959</v>
      </c>
      <c r="F4" s="42"/>
    </row>
    <row r="5" spans="2:6" s="32" customFormat="1" x14ac:dyDescent="0.25">
      <c r="B5" s="32" t="s">
        <v>693</v>
      </c>
      <c r="C5" s="32">
        <f>COUNTIF($D$11:$D$144, B5)</f>
        <v>127</v>
      </c>
      <c r="D5" s="34">
        <f>ROUND(C5/$C$3,2)</f>
        <v>0.95</v>
      </c>
      <c r="F5" s="42"/>
    </row>
    <row r="6" spans="2:6" s="32" customFormat="1" x14ac:dyDescent="0.25">
      <c r="B6" s="32" t="s">
        <v>690</v>
      </c>
      <c r="C6" s="32">
        <f>COUNTIF($D$11:$D$144, B6)</f>
        <v>1</v>
      </c>
      <c r="D6" s="34">
        <f>ROUND(C6/$C$3,2)</f>
        <v>0.01</v>
      </c>
      <c r="F6" s="42"/>
    </row>
    <row r="7" spans="2:6" s="32" customFormat="1" x14ac:dyDescent="0.25">
      <c r="B7" s="32" t="s">
        <v>934</v>
      </c>
      <c r="C7" s="32">
        <f>COUNTIF($D$11:$D$144, B7)</f>
        <v>5</v>
      </c>
      <c r="D7" s="34">
        <f>ROUND(C7/$C$3,2)</f>
        <v>0.04</v>
      </c>
      <c r="F7" s="42"/>
    </row>
    <row r="10" spans="2:6" x14ac:dyDescent="0.2">
      <c r="B10" s="40" t="s">
        <v>96</v>
      </c>
      <c r="C10" s="40" t="s">
        <v>957</v>
      </c>
      <c r="D10" s="40" t="s">
        <v>669</v>
      </c>
      <c r="F10" s="40" t="s">
        <v>421</v>
      </c>
    </row>
    <row r="11" spans="2:6" x14ac:dyDescent="0.2">
      <c r="B11" s="43" t="s">
        <v>962</v>
      </c>
      <c r="C11" s="40" t="s">
        <v>936</v>
      </c>
      <c r="D11" s="40" t="s">
        <v>693</v>
      </c>
      <c r="F11" s="40" t="s">
        <v>396</v>
      </c>
    </row>
    <row r="12" spans="2:6" x14ac:dyDescent="0.2">
      <c r="B12" s="43" t="s">
        <v>963</v>
      </c>
      <c r="C12" s="40" t="s">
        <v>936</v>
      </c>
      <c r="D12" s="40" t="s">
        <v>693</v>
      </c>
      <c r="F12" s="40" t="s">
        <v>396</v>
      </c>
    </row>
    <row r="13" spans="2:6" x14ac:dyDescent="0.2">
      <c r="B13" s="43" t="s">
        <v>964</v>
      </c>
      <c r="C13" s="40" t="s">
        <v>936</v>
      </c>
      <c r="D13" s="40" t="s">
        <v>693</v>
      </c>
      <c r="F13" s="40" t="s">
        <v>396</v>
      </c>
    </row>
    <row r="14" spans="2:6" x14ac:dyDescent="0.2">
      <c r="B14" s="43" t="s">
        <v>965</v>
      </c>
      <c r="C14" s="40" t="s">
        <v>936</v>
      </c>
      <c r="D14" s="40" t="s">
        <v>693</v>
      </c>
      <c r="F14" s="40" t="s">
        <v>396</v>
      </c>
    </row>
    <row r="15" spans="2:6" x14ac:dyDescent="0.2">
      <c r="B15" s="43" t="s">
        <v>966</v>
      </c>
      <c r="C15" s="40" t="s">
        <v>936</v>
      </c>
      <c r="D15" s="40" t="s">
        <v>693</v>
      </c>
      <c r="F15" s="40" t="s">
        <v>396</v>
      </c>
    </row>
    <row r="16" spans="2:6" x14ac:dyDescent="0.2">
      <c r="B16" s="44" t="s">
        <v>937</v>
      </c>
      <c r="C16" s="40" t="s">
        <v>936</v>
      </c>
      <c r="D16" s="40" t="s">
        <v>693</v>
      </c>
      <c r="F16" s="40" t="s">
        <v>396</v>
      </c>
    </row>
    <row r="17" spans="2:6" x14ac:dyDescent="0.2">
      <c r="B17" s="43" t="s">
        <v>967</v>
      </c>
      <c r="C17" s="40" t="s">
        <v>936</v>
      </c>
      <c r="D17" s="40" t="s">
        <v>693</v>
      </c>
      <c r="F17" s="40" t="s">
        <v>396</v>
      </c>
    </row>
    <row r="18" spans="2:6" x14ac:dyDescent="0.2">
      <c r="B18" s="43" t="s">
        <v>968</v>
      </c>
      <c r="C18" s="40" t="s">
        <v>936</v>
      </c>
      <c r="D18" s="40" t="s">
        <v>693</v>
      </c>
      <c r="F18" s="40" t="s">
        <v>396</v>
      </c>
    </row>
    <row r="19" spans="2:6" x14ac:dyDescent="0.2">
      <c r="B19" s="43" t="s">
        <v>969</v>
      </c>
      <c r="C19" s="40" t="s">
        <v>936</v>
      </c>
      <c r="D19" s="40" t="s">
        <v>693</v>
      </c>
      <c r="F19" s="40" t="s">
        <v>396</v>
      </c>
    </row>
    <row r="20" spans="2:6" x14ac:dyDescent="0.2">
      <c r="B20" s="43" t="s">
        <v>970</v>
      </c>
      <c r="C20" s="40" t="s">
        <v>936</v>
      </c>
      <c r="D20" s="40" t="s">
        <v>693</v>
      </c>
      <c r="F20" s="40" t="s">
        <v>396</v>
      </c>
    </row>
    <row r="21" spans="2:6" x14ac:dyDescent="0.2">
      <c r="B21" s="43" t="s">
        <v>971</v>
      </c>
      <c r="C21" s="40" t="s">
        <v>936</v>
      </c>
      <c r="D21" s="40" t="s">
        <v>693</v>
      </c>
      <c r="F21" s="40" t="s">
        <v>396</v>
      </c>
    </row>
    <row r="22" spans="2:6" x14ac:dyDescent="0.2">
      <c r="B22" s="43" t="s">
        <v>972</v>
      </c>
      <c r="C22" s="40" t="s">
        <v>936</v>
      </c>
      <c r="D22" s="40" t="s">
        <v>693</v>
      </c>
      <c r="F22" s="40" t="s">
        <v>396</v>
      </c>
    </row>
    <row r="23" spans="2:6" x14ac:dyDescent="0.2">
      <c r="B23" s="43" t="s">
        <v>973</v>
      </c>
      <c r="C23" s="40" t="s">
        <v>936</v>
      </c>
      <c r="D23" s="40" t="s">
        <v>693</v>
      </c>
      <c r="F23" s="40" t="s">
        <v>396</v>
      </c>
    </row>
    <row r="24" spans="2:6" x14ac:dyDescent="0.2">
      <c r="B24" s="43" t="s">
        <v>1083</v>
      </c>
      <c r="C24" s="40" t="s">
        <v>936</v>
      </c>
      <c r="D24" s="40" t="s">
        <v>693</v>
      </c>
      <c r="F24" s="40" t="s">
        <v>396</v>
      </c>
    </row>
    <row r="25" spans="2:6" x14ac:dyDescent="0.2">
      <c r="B25" s="43" t="s">
        <v>1079</v>
      </c>
      <c r="C25" s="40" t="s">
        <v>936</v>
      </c>
      <c r="D25" s="40" t="s">
        <v>693</v>
      </c>
      <c r="F25" s="40" t="s">
        <v>396</v>
      </c>
    </row>
    <row r="26" spans="2:6" x14ac:dyDescent="0.2">
      <c r="B26" s="43" t="s">
        <v>1077</v>
      </c>
      <c r="C26" s="40" t="s">
        <v>936</v>
      </c>
      <c r="D26" s="40" t="s">
        <v>693</v>
      </c>
      <c r="F26" s="40" t="s">
        <v>396</v>
      </c>
    </row>
    <row r="27" spans="2:6" x14ac:dyDescent="0.2">
      <c r="B27" s="43" t="s">
        <v>974</v>
      </c>
      <c r="C27" s="40" t="s">
        <v>936</v>
      </c>
      <c r="D27" s="40" t="s">
        <v>693</v>
      </c>
      <c r="F27" s="40" t="s">
        <v>396</v>
      </c>
    </row>
    <row r="28" spans="2:6" x14ac:dyDescent="0.2">
      <c r="B28" s="43" t="s">
        <v>975</v>
      </c>
      <c r="C28" s="40" t="s">
        <v>936</v>
      </c>
      <c r="D28" s="40" t="s">
        <v>693</v>
      </c>
      <c r="F28" s="40" t="s">
        <v>396</v>
      </c>
    </row>
    <row r="29" spans="2:6" x14ac:dyDescent="0.2">
      <c r="B29" s="43" t="s">
        <v>976</v>
      </c>
      <c r="C29" s="40" t="s">
        <v>936</v>
      </c>
      <c r="D29" s="40" t="s">
        <v>693</v>
      </c>
      <c r="F29" s="40" t="s">
        <v>396</v>
      </c>
    </row>
    <row r="30" spans="2:6" x14ac:dyDescent="0.2">
      <c r="B30" s="43" t="s">
        <v>977</v>
      </c>
      <c r="C30" s="40" t="s">
        <v>936</v>
      </c>
      <c r="D30" s="40" t="s">
        <v>693</v>
      </c>
      <c r="F30" s="40" t="s">
        <v>396</v>
      </c>
    </row>
    <row r="31" spans="2:6" x14ac:dyDescent="0.2">
      <c r="B31" s="43" t="s">
        <v>978</v>
      </c>
      <c r="C31" s="40" t="s">
        <v>936</v>
      </c>
      <c r="D31" s="40" t="s">
        <v>693</v>
      </c>
      <c r="E31" s="49"/>
      <c r="F31" s="40" t="s">
        <v>396</v>
      </c>
    </row>
    <row r="32" spans="2:6" x14ac:dyDescent="0.2">
      <c r="B32" s="43" t="s">
        <v>979</v>
      </c>
      <c r="C32" s="40" t="s">
        <v>936</v>
      </c>
      <c r="D32" s="40" t="s">
        <v>693</v>
      </c>
      <c r="F32" s="40" t="s">
        <v>396</v>
      </c>
    </row>
    <row r="33" spans="2:6" x14ac:dyDescent="0.2">
      <c r="B33" s="43" t="s">
        <v>980</v>
      </c>
      <c r="C33" s="40" t="s">
        <v>936</v>
      </c>
      <c r="D33" s="40" t="s">
        <v>693</v>
      </c>
      <c r="F33" s="40" t="s">
        <v>396</v>
      </c>
    </row>
    <row r="34" spans="2:6" x14ac:dyDescent="0.2">
      <c r="B34" s="43" t="s">
        <v>981</v>
      </c>
      <c r="C34" s="40" t="s">
        <v>936</v>
      </c>
      <c r="D34" s="40" t="s">
        <v>693</v>
      </c>
      <c r="F34" s="40" t="s">
        <v>396</v>
      </c>
    </row>
    <row r="35" spans="2:6" x14ac:dyDescent="0.2">
      <c r="B35" s="43" t="s">
        <v>982</v>
      </c>
      <c r="C35" s="40" t="s">
        <v>936</v>
      </c>
      <c r="D35" s="40" t="s">
        <v>693</v>
      </c>
      <c r="F35" s="40" t="s">
        <v>396</v>
      </c>
    </row>
    <row r="36" spans="2:6" x14ac:dyDescent="0.2">
      <c r="B36" s="43" t="s">
        <v>983</v>
      </c>
      <c r="C36" s="40" t="s">
        <v>936</v>
      </c>
      <c r="D36" s="40" t="s">
        <v>693</v>
      </c>
      <c r="F36" s="40" t="s">
        <v>396</v>
      </c>
    </row>
    <row r="37" spans="2:6" x14ac:dyDescent="0.2">
      <c r="B37" s="43" t="s">
        <v>984</v>
      </c>
      <c r="C37" s="40" t="s">
        <v>936</v>
      </c>
      <c r="D37" s="40" t="s">
        <v>693</v>
      </c>
      <c r="F37" s="40" t="s">
        <v>396</v>
      </c>
    </row>
    <row r="38" spans="2:6" x14ac:dyDescent="0.2">
      <c r="B38" s="43" t="s">
        <v>985</v>
      </c>
      <c r="C38" s="40" t="s">
        <v>936</v>
      </c>
      <c r="D38" s="40" t="s">
        <v>693</v>
      </c>
      <c r="F38" s="40" t="s">
        <v>396</v>
      </c>
    </row>
    <row r="39" spans="2:6" x14ac:dyDescent="0.2">
      <c r="B39" s="43" t="s">
        <v>1082</v>
      </c>
      <c r="C39" s="40" t="s">
        <v>936</v>
      </c>
      <c r="D39" s="40" t="s">
        <v>693</v>
      </c>
      <c r="F39" s="40" t="s">
        <v>396</v>
      </c>
    </row>
    <row r="40" spans="2:6" x14ac:dyDescent="0.2">
      <c r="B40" s="43" t="s">
        <v>1081</v>
      </c>
      <c r="C40" s="40" t="s">
        <v>936</v>
      </c>
      <c r="D40" s="40" t="s">
        <v>693</v>
      </c>
      <c r="F40" s="40" t="s">
        <v>396</v>
      </c>
    </row>
    <row r="41" spans="2:6" x14ac:dyDescent="0.2">
      <c r="B41" s="43" t="s">
        <v>986</v>
      </c>
      <c r="C41" s="40" t="s">
        <v>936</v>
      </c>
      <c r="D41" s="40" t="s">
        <v>693</v>
      </c>
      <c r="F41" s="40" t="s">
        <v>396</v>
      </c>
    </row>
    <row r="42" spans="2:6" x14ac:dyDescent="0.2">
      <c r="B42" s="43" t="s">
        <v>987</v>
      </c>
      <c r="C42" s="40" t="s">
        <v>936</v>
      </c>
      <c r="D42" s="40" t="s">
        <v>693</v>
      </c>
      <c r="F42" s="40" t="s">
        <v>396</v>
      </c>
    </row>
    <row r="43" spans="2:6" x14ac:dyDescent="0.2">
      <c r="B43" s="43" t="s">
        <v>988</v>
      </c>
      <c r="C43" s="40" t="s">
        <v>936</v>
      </c>
      <c r="D43" s="40" t="s">
        <v>693</v>
      </c>
      <c r="F43" s="40" t="s">
        <v>396</v>
      </c>
    </row>
    <row r="44" spans="2:6" x14ac:dyDescent="0.2">
      <c r="B44" s="43" t="s">
        <v>989</v>
      </c>
      <c r="C44" s="40" t="s">
        <v>936</v>
      </c>
      <c r="D44" s="40" t="s">
        <v>693</v>
      </c>
      <c r="F44" s="40" t="s">
        <v>396</v>
      </c>
    </row>
    <row r="45" spans="2:6" x14ac:dyDescent="0.2">
      <c r="B45" s="43" t="s">
        <v>990</v>
      </c>
      <c r="C45" s="40" t="s">
        <v>936</v>
      </c>
      <c r="D45" s="40" t="s">
        <v>693</v>
      </c>
      <c r="F45" s="40" t="s">
        <v>396</v>
      </c>
    </row>
    <row r="46" spans="2:6" x14ac:dyDescent="0.2">
      <c r="B46" s="43" t="s">
        <v>991</v>
      </c>
      <c r="C46" s="40" t="s">
        <v>936</v>
      </c>
      <c r="D46" s="40" t="s">
        <v>693</v>
      </c>
      <c r="F46" s="40" t="s">
        <v>396</v>
      </c>
    </row>
    <row r="47" spans="2:6" x14ac:dyDescent="0.2">
      <c r="B47" s="44" t="s">
        <v>938</v>
      </c>
      <c r="C47" s="40" t="s">
        <v>936</v>
      </c>
      <c r="D47" s="40" t="s">
        <v>693</v>
      </c>
      <c r="F47" s="40" t="s">
        <v>396</v>
      </c>
    </row>
    <row r="48" spans="2:6" x14ac:dyDescent="0.2">
      <c r="B48" s="43" t="s">
        <v>992</v>
      </c>
      <c r="C48" s="40" t="s">
        <v>936</v>
      </c>
      <c r="D48" s="40" t="s">
        <v>693</v>
      </c>
      <c r="F48" s="40" t="s">
        <v>396</v>
      </c>
    </row>
    <row r="49" spans="2:6" x14ac:dyDescent="0.2">
      <c r="B49" s="45" t="s">
        <v>993</v>
      </c>
      <c r="C49" s="40" t="s">
        <v>936</v>
      </c>
      <c r="D49" s="40" t="s">
        <v>693</v>
      </c>
      <c r="F49" s="40" t="s">
        <v>396</v>
      </c>
    </row>
    <row r="50" spans="2:6" x14ac:dyDescent="0.2">
      <c r="B50" s="43" t="s">
        <v>1074</v>
      </c>
      <c r="C50" s="40" t="s">
        <v>936</v>
      </c>
      <c r="D50" s="40" t="s">
        <v>693</v>
      </c>
      <c r="F50" s="40" t="s">
        <v>396</v>
      </c>
    </row>
    <row r="51" spans="2:6" x14ac:dyDescent="0.2">
      <c r="B51" s="44" t="s">
        <v>944</v>
      </c>
      <c r="C51" s="40" t="s">
        <v>936</v>
      </c>
      <c r="D51" s="40" t="s">
        <v>693</v>
      </c>
      <c r="F51" s="40" t="s">
        <v>396</v>
      </c>
    </row>
    <row r="52" spans="2:6" x14ac:dyDescent="0.2">
      <c r="B52" s="43" t="s">
        <v>994</v>
      </c>
      <c r="C52" s="40" t="s">
        <v>936</v>
      </c>
      <c r="D52" s="40" t="s">
        <v>693</v>
      </c>
      <c r="F52" s="40" t="s">
        <v>396</v>
      </c>
    </row>
    <row r="53" spans="2:6" x14ac:dyDescent="0.2">
      <c r="B53" s="43" t="s">
        <v>1129</v>
      </c>
      <c r="C53" s="40" t="s">
        <v>936</v>
      </c>
      <c r="D53" s="40" t="s">
        <v>693</v>
      </c>
      <c r="F53" s="40" t="s">
        <v>396</v>
      </c>
    </row>
    <row r="54" spans="2:6" x14ac:dyDescent="0.2">
      <c r="B54" s="43" t="s">
        <v>995</v>
      </c>
      <c r="C54" s="40" t="s">
        <v>936</v>
      </c>
      <c r="D54" s="40" t="s">
        <v>693</v>
      </c>
      <c r="F54" s="40" t="s">
        <v>396</v>
      </c>
    </row>
    <row r="55" spans="2:6" x14ac:dyDescent="0.2">
      <c r="B55" s="43" t="s">
        <v>996</v>
      </c>
      <c r="C55" s="40" t="s">
        <v>936</v>
      </c>
      <c r="D55" s="40" t="s">
        <v>693</v>
      </c>
      <c r="F55" s="40" t="s">
        <v>396</v>
      </c>
    </row>
    <row r="56" spans="2:6" x14ac:dyDescent="0.2">
      <c r="B56" s="43" t="s">
        <v>997</v>
      </c>
      <c r="C56" s="40" t="s">
        <v>936</v>
      </c>
      <c r="D56" s="40" t="s">
        <v>693</v>
      </c>
      <c r="F56" s="40" t="s">
        <v>396</v>
      </c>
    </row>
    <row r="57" spans="2:6" x14ac:dyDescent="0.2">
      <c r="B57" s="43" t="s">
        <v>1144</v>
      </c>
      <c r="C57" s="40" t="s">
        <v>936</v>
      </c>
      <c r="D57" s="40" t="s">
        <v>693</v>
      </c>
      <c r="F57" s="40" t="s">
        <v>396</v>
      </c>
    </row>
    <row r="58" spans="2:6" x14ac:dyDescent="0.2">
      <c r="B58" s="43" t="s">
        <v>1145</v>
      </c>
      <c r="C58" s="40" t="s">
        <v>936</v>
      </c>
      <c r="D58" s="40" t="s">
        <v>693</v>
      </c>
      <c r="F58" s="40" t="s">
        <v>396</v>
      </c>
    </row>
    <row r="59" spans="2:6" x14ac:dyDescent="0.2">
      <c r="B59" s="43" t="s">
        <v>998</v>
      </c>
      <c r="C59" s="40" t="s">
        <v>936</v>
      </c>
      <c r="D59" s="40" t="s">
        <v>693</v>
      </c>
      <c r="F59" s="40" t="s">
        <v>396</v>
      </c>
    </row>
    <row r="60" spans="2:6" x14ac:dyDescent="0.2">
      <c r="B60" s="43" t="s">
        <v>999</v>
      </c>
      <c r="C60" s="40" t="s">
        <v>936</v>
      </c>
      <c r="D60" s="40" t="s">
        <v>693</v>
      </c>
      <c r="F60" s="40" t="s">
        <v>396</v>
      </c>
    </row>
    <row r="61" spans="2:6" x14ac:dyDescent="0.2">
      <c r="B61" s="43" t="s">
        <v>1084</v>
      </c>
      <c r="C61" s="40" t="s">
        <v>936</v>
      </c>
      <c r="D61" s="40" t="s">
        <v>693</v>
      </c>
      <c r="F61" s="40" t="s">
        <v>396</v>
      </c>
    </row>
    <row r="62" spans="2:6" x14ac:dyDescent="0.2">
      <c r="B62" s="43" t="s">
        <v>1000</v>
      </c>
      <c r="C62" s="40" t="s">
        <v>936</v>
      </c>
      <c r="D62" s="40" t="s">
        <v>934</v>
      </c>
      <c r="F62" s="40" t="s">
        <v>396</v>
      </c>
    </row>
    <row r="63" spans="2:6" x14ac:dyDescent="0.2">
      <c r="B63" s="43" t="s">
        <v>1001</v>
      </c>
      <c r="C63" s="40" t="s">
        <v>936</v>
      </c>
      <c r="D63" s="40" t="s">
        <v>934</v>
      </c>
      <c r="F63" s="40" t="s">
        <v>396</v>
      </c>
    </row>
    <row r="64" spans="2:6" x14ac:dyDescent="0.2">
      <c r="B64" s="43" t="s">
        <v>1002</v>
      </c>
      <c r="C64" s="40" t="s">
        <v>936</v>
      </c>
      <c r="D64" s="40" t="s">
        <v>934</v>
      </c>
      <c r="F64" s="40" t="s">
        <v>396</v>
      </c>
    </row>
    <row r="65" spans="2:6" x14ac:dyDescent="0.2">
      <c r="B65" s="43" t="s">
        <v>1003</v>
      </c>
      <c r="C65" s="40" t="s">
        <v>936</v>
      </c>
      <c r="D65" s="40" t="s">
        <v>693</v>
      </c>
      <c r="F65" s="40" t="s">
        <v>396</v>
      </c>
    </row>
    <row r="66" spans="2:6" x14ac:dyDescent="0.2">
      <c r="B66" s="43" t="s">
        <v>1102</v>
      </c>
      <c r="C66" s="40" t="s">
        <v>936</v>
      </c>
      <c r="D66" s="40" t="s">
        <v>693</v>
      </c>
      <c r="F66" s="40" t="s">
        <v>396</v>
      </c>
    </row>
    <row r="67" spans="2:6" x14ac:dyDescent="0.2">
      <c r="B67" s="43" t="s">
        <v>1004</v>
      </c>
      <c r="C67" s="40" t="s">
        <v>936</v>
      </c>
      <c r="D67" s="40" t="s">
        <v>693</v>
      </c>
      <c r="F67" s="40" t="s">
        <v>396</v>
      </c>
    </row>
    <row r="68" spans="2:6" x14ac:dyDescent="0.2">
      <c r="B68" s="43" t="s">
        <v>1005</v>
      </c>
      <c r="C68" s="40" t="s">
        <v>936</v>
      </c>
      <c r="D68" s="40" t="s">
        <v>693</v>
      </c>
      <c r="F68" s="40" t="s">
        <v>396</v>
      </c>
    </row>
    <row r="69" spans="2:6" x14ac:dyDescent="0.2">
      <c r="B69" s="43" t="s">
        <v>1006</v>
      </c>
      <c r="C69" s="40" t="s">
        <v>936</v>
      </c>
      <c r="D69" s="40" t="s">
        <v>693</v>
      </c>
      <c r="F69" s="40" t="s">
        <v>396</v>
      </c>
    </row>
    <row r="70" spans="2:6" x14ac:dyDescent="0.2">
      <c r="B70" s="43" t="s">
        <v>1007</v>
      </c>
      <c r="C70" s="40" t="s">
        <v>936</v>
      </c>
      <c r="D70" s="40" t="s">
        <v>693</v>
      </c>
      <c r="F70" s="40" t="s">
        <v>396</v>
      </c>
    </row>
    <row r="71" spans="2:6" x14ac:dyDescent="0.2">
      <c r="B71" s="43" t="s">
        <v>1008</v>
      </c>
      <c r="C71" s="40" t="s">
        <v>936</v>
      </c>
      <c r="D71" s="40" t="s">
        <v>693</v>
      </c>
      <c r="F71" s="40" t="s">
        <v>396</v>
      </c>
    </row>
    <row r="72" spans="2:6" x14ac:dyDescent="0.2">
      <c r="B72" s="43" t="s">
        <v>1009</v>
      </c>
      <c r="C72" s="40" t="s">
        <v>936</v>
      </c>
      <c r="D72" s="40" t="s">
        <v>693</v>
      </c>
      <c r="F72" s="40" t="s">
        <v>396</v>
      </c>
    </row>
    <row r="73" spans="2:6" x14ac:dyDescent="0.2">
      <c r="B73" s="43" t="s">
        <v>1010</v>
      </c>
      <c r="C73" s="40" t="s">
        <v>936</v>
      </c>
      <c r="D73" s="40" t="s">
        <v>693</v>
      </c>
      <c r="F73" s="40" t="s">
        <v>396</v>
      </c>
    </row>
    <row r="74" spans="2:6" x14ac:dyDescent="0.2">
      <c r="B74" s="43" t="s">
        <v>1011</v>
      </c>
      <c r="C74" s="40" t="s">
        <v>936</v>
      </c>
      <c r="D74" s="40" t="s">
        <v>934</v>
      </c>
      <c r="F74" s="40" t="s">
        <v>396</v>
      </c>
    </row>
    <row r="75" spans="2:6" x14ac:dyDescent="0.2">
      <c r="B75" s="43" t="s">
        <v>1012</v>
      </c>
      <c r="C75" s="40" t="s">
        <v>936</v>
      </c>
      <c r="D75" s="40" t="s">
        <v>693</v>
      </c>
      <c r="F75" s="40" t="s">
        <v>396</v>
      </c>
    </row>
    <row r="76" spans="2:6" x14ac:dyDescent="0.2">
      <c r="B76" s="43" t="s">
        <v>1013</v>
      </c>
      <c r="C76" s="40" t="s">
        <v>936</v>
      </c>
      <c r="D76" s="40" t="s">
        <v>934</v>
      </c>
      <c r="F76" s="40" t="s">
        <v>396</v>
      </c>
    </row>
    <row r="77" spans="2:6" x14ac:dyDescent="0.2">
      <c r="B77" s="43" t="s">
        <v>1014</v>
      </c>
      <c r="C77" s="40" t="s">
        <v>936</v>
      </c>
      <c r="D77" s="40" t="s">
        <v>693</v>
      </c>
      <c r="F77" s="40" t="s">
        <v>396</v>
      </c>
    </row>
    <row r="78" spans="2:6" x14ac:dyDescent="0.2">
      <c r="B78" s="43" t="s">
        <v>1015</v>
      </c>
      <c r="C78" s="40" t="s">
        <v>936</v>
      </c>
      <c r="D78" s="40" t="s">
        <v>693</v>
      </c>
      <c r="F78" s="40" t="s">
        <v>396</v>
      </c>
    </row>
    <row r="79" spans="2:6" x14ac:dyDescent="0.2">
      <c r="B79" s="43" t="s">
        <v>1016</v>
      </c>
      <c r="C79" s="40" t="s">
        <v>936</v>
      </c>
      <c r="D79" s="40" t="s">
        <v>693</v>
      </c>
      <c r="F79" s="40" t="s">
        <v>396</v>
      </c>
    </row>
    <row r="80" spans="2:6" x14ac:dyDescent="0.2">
      <c r="B80" s="43" t="s">
        <v>1017</v>
      </c>
      <c r="C80" s="40" t="s">
        <v>936</v>
      </c>
      <c r="D80" s="40" t="s">
        <v>693</v>
      </c>
      <c r="F80" s="40" t="s">
        <v>396</v>
      </c>
    </row>
    <row r="81" spans="2:6" x14ac:dyDescent="0.2">
      <c r="B81" s="43" t="s">
        <v>1018</v>
      </c>
      <c r="C81" s="40" t="s">
        <v>936</v>
      </c>
      <c r="D81" s="40" t="s">
        <v>693</v>
      </c>
      <c r="F81" s="40" t="s">
        <v>396</v>
      </c>
    </row>
    <row r="82" spans="2:6" x14ac:dyDescent="0.2">
      <c r="B82" s="43" t="s">
        <v>1068</v>
      </c>
      <c r="C82" s="40" t="s">
        <v>936</v>
      </c>
      <c r="D82" s="40" t="s">
        <v>693</v>
      </c>
      <c r="F82" s="40" t="s">
        <v>396</v>
      </c>
    </row>
    <row r="83" spans="2:6" x14ac:dyDescent="0.2">
      <c r="B83" s="43" t="s">
        <v>1019</v>
      </c>
      <c r="C83" s="40" t="s">
        <v>936</v>
      </c>
      <c r="D83" s="55" t="s">
        <v>690</v>
      </c>
      <c r="E83" s="41" t="s">
        <v>1085</v>
      </c>
      <c r="F83" s="40" t="s">
        <v>396</v>
      </c>
    </row>
    <row r="84" spans="2:6" x14ac:dyDescent="0.2">
      <c r="B84" s="43" t="s">
        <v>1020</v>
      </c>
      <c r="C84" s="40" t="s">
        <v>936</v>
      </c>
      <c r="D84" s="40" t="s">
        <v>693</v>
      </c>
      <c r="F84" s="40" t="s">
        <v>396</v>
      </c>
    </row>
    <row r="85" spans="2:6" x14ac:dyDescent="0.2">
      <c r="B85" s="43" t="s">
        <v>1021</v>
      </c>
      <c r="C85" s="40" t="s">
        <v>936</v>
      </c>
      <c r="D85" s="40" t="s">
        <v>693</v>
      </c>
      <c r="F85" s="40" t="s">
        <v>396</v>
      </c>
    </row>
    <row r="86" spans="2:6" x14ac:dyDescent="0.2">
      <c r="B86" s="43" t="s">
        <v>1022</v>
      </c>
      <c r="C86" s="40" t="s">
        <v>936</v>
      </c>
      <c r="D86" s="40" t="s">
        <v>693</v>
      </c>
      <c r="F86" s="40" t="s">
        <v>396</v>
      </c>
    </row>
    <row r="87" spans="2:6" x14ac:dyDescent="0.2">
      <c r="B87" s="43" t="s">
        <v>1023</v>
      </c>
      <c r="C87" s="40" t="s">
        <v>936</v>
      </c>
      <c r="D87" s="40" t="s">
        <v>693</v>
      </c>
      <c r="F87" s="40" t="s">
        <v>396</v>
      </c>
    </row>
    <row r="88" spans="2:6" x14ac:dyDescent="0.2">
      <c r="B88" s="43" t="s">
        <v>1024</v>
      </c>
      <c r="C88" s="40" t="s">
        <v>936</v>
      </c>
      <c r="D88" s="40" t="s">
        <v>693</v>
      </c>
      <c r="F88" s="40" t="s">
        <v>396</v>
      </c>
    </row>
    <row r="89" spans="2:6" x14ac:dyDescent="0.2">
      <c r="B89" s="43" t="s">
        <v>1025</v>
      </c>
      <c r="C89" s="40" t="s">
        <v>936</v>
      </c>
      <c r="D89" s="40" t="s">
        <v>693</v>
      </c>
      <c r="E89" s="49"/>
      <c r="F89" s="40" t="s">
        <v>396</v>
      </c>
    </row>
    <row r="90" spans="2:6" x14ac:dyDescent="0.2">
      <c r="B90" s="46" t="s">
        <v>1026</v>
      </c>
      <c r="C90" s="40" t="s">
        <v>936</v>
      </c>
      <c r="D90" s="40" t="s">
        <v>693</v>
      </c>
      <c r="F90" s="40" t="s">
        <v>396</v>
      </c>
    </row>
    <row r="91" spans="2:6" x14ac:dyDescent="0.2">
      <c r="B91" s="43" t="s">
        <v>1027</v>
      </c>
      <c r="C91" s="40" t="s">
        <v>936</v>
      </c>
      <c r="D91" s="40" t="s">
        <v>693</v>
      </c>
      <c r="F91" s="40" t="s">
        <v>396</v>
      </c>
    </row>
    <row r="92" spans="2:6" x14ac:dyDescent="0.2">
      <c r="B92" s="43" t="s">
        <v>1028</v>
      </c>
      <c r="C92" s="40" t="s">
        <v>936</v>
      </c>
      <c r="D92" s="40" t="s">
        <v>693</v>
      </c>
      <c r="F92" s="40" t="s">
        <v>396</v>
      </c>
    </row>
    <row r="93" spans="2:6" x14ac:dyDescent="0.2">
      <c r="B93" s="43" t="s">
        <v>1029</v>
      </c>
      <c r="C93" s="40" t="s">
        <v>936</v>
      </c>
      <c r="D93" s="40" t="s">
        <v>693</v>
      </c>
      <c r="F93" s="40" t="s">
        <v>396</v>
      </c>
    </row>
    <row r="94" spans="2:6" x14ac:dyDescent="0.2">
      <c r="B94" s="43" t="s">
        <v>1030</v>
      </c>
      <c r="C94" s="40" t="s">
        <v>936</v>
      </c>
      <c r="D94" s="40" t="s">
        <v>693</v>
      </c>
      <c r="F94" s="40" t="s">
        <v>396</v>
      </c>
    </row>
    <row r="95" spans="2:6" x14ac:dyDescent="0.2">
      <c r="B95" s="43" t="s">
        <v>1031</v>
      </c>
      <c r="C95" s="40" t="s">
        <v>936</v>
      </c>
      <c r="D95" s="40" t="s">
        <v>693</v>
      </c>
      <c r="F95" s="40" t="s">
        <v>396</v>
      </c>
    </row>
    <row r="96" spans="2:6" x14ac:dyDescent="0.2">
      <c r="B96" s="43" t="s">
        <v>1032</v>
      </c>
      <c r="C96" s="40" t="s">
        <v>936</v>
      </c>
      <c r="D96" s="40" t="s">
        <v>693</v>
      </c>
      <c r="F96" s="40" t="s">
        <v>396</v>
      </c>
    </row>
    <row r="97" spans="2:6" x14ac:dyDescent="0.2">
      <c r="B97" s="43" t="s">
        <v>1033</v>
      </c>
      <c r="C97" s="40" t="s">
        <v>936</v>
      </c>
      <c r="D97" s="40" t="s">
        <v>693</v>
      </c>
      <c r="F97" s="40" t="s">
        <v>396</v>
      </c>
    </row>
    <row r="98" spans="2:6" x14ac:dyDescent="0.2">
      <c r="B98" s="43" t="s">
        <v>1034</v>
      </c>
      <c r="C98" s="40" t="s">
        <v>936</v>
      </c>
      <c r="D98" s="40" t="s">
        <v>693</v>
      </c>
      <c r="F98" s="40" t="s">
        <v>396</v>
      </c>
    </row>
    <row r="99" spans="2:6" x14ac:dyDescent="0.2">
      <c r="B99" s="43" t="s">
        <v>1035</v>
      </c>
      <c r="C99" s="40" t="s">
        <v>936</v>
      </c>
      <c r="D99" s="40" t="s">
        <v>693</v>
      </c>
      <c r="F99" s="40" t="s">
        <v>396</v>
      </c>
    </row>
    <row r="100" spans="2:6" x14ac:dyDescent="0.2">
      <c r="B100" s="43" t="s">
        <v>1036</v>
      </c>
      <c r="C100" s="40" t="s">
        <v>936</v>
      </c>
      <c r="D100" s="40" t="s">
        <v>693</v>
      </c>
      <c r="F100" s="40" t="s">
        <v>396</v>
      </c>
    </row>
    <row r="101" spans="2:6" x14ac:dyDescent="0.2">
      <c r="B101" s="43" t="s">
        <v>1037</v>
      </c>
      <c r="C101" s="40" t="s">
        <v>936</v>
      </c>
      <c r="D101" s="40" t="s">
        <v>693</v>
      </c>
      <c r="F101" s="40" t="s">
        <v>396</v>
      </c>
    </row>
    <row r="102" spans="2:6" x14ac:dyDescent="0.2">
      <c r="B102" s="43" t="s">
        <v>1038</v>
      </c>
      <c r="C102" s="40" t="s">
        <v>936</v>
      </c>
      <c r="D102" s="40" t="s">
        <v>693</v>
      </c>
      <c r="F102" s="40" t="s">
        <v>396</v>
      </c>
    </row>
    <row r="103" spans="2:6" x14ac:dyDescent="0.2">
      <c r="B103" s="45" t="s">
        <v>930</v>
      </c>
      <c r="C103" s="40" t="s">
        <v>936</v>
      </c>
      <c r="D103" s="40" t="s">
        <v>693</v>
      </c>
      <c r="F103" s="40" t="s">
        <v>396</v>
      </c>
    </row>
    <row r="104" spans="2:6" x14ac:dyDescent="0.2">
      <c r="B104" s="43" t="s">
        <v>1039</v>
      </c>
      <c r="C104" s="40" t="s">
        <v>936</v>
      </c>
      <c r="D104" s="40" t="s">
        <v>693</v>
      </c>
      <c r="F104" s="40" t="s">
        <v>396</v>
      </c>
    </row>
    <row r="105" spans="2:6" x14ac:dyDescent="0.2">
      <c r="B105" s="43" t="s">
        <v>1040</v>
      </c>
      <c r="C105" s="40" t="s">
        <v>936</v>
      </c>
      <c r="D105" s="40" t="s">
        <v>693</v>
      </c>
      <c r="F105" s="40" t="s">
        <v>396</v>
      </c>
    </row>
    <row r="106" spans="2:6" x14ac:dyDescent="0.2">
      <c r="B106" s="43" t="s">
        <v>1041</v>
      </c>
      <c r="C106" s="40" t="s">
        <v>936</v>
      </c>
      <c r="D106" s="40" t="s">
        <v>693</v>
      </c>
      <c r="F106" s="40" t="s">
        <v>396</v>
      </c>
    </row>
    <row r="107" spans="2:6" x14ac:dyDescent="0.2">
      <c r="B107" s="43" t="s">
        <v>1042</v>
      </c>
      <c r="C107" s="40" t="s">
        <v>936</v>
      </c>
      <c r="D107" s="40" t="s">
        <v>693</v>
      </c>
      <c r="F107" s="40" t="s">
        <v>396</v>
      </c>
    </row>
    <row r="108" spans="2:6" x14ac:dyDescent="0.2">
      <c r="B108" s="43" t="s">
        <v>1043</v>
      </c>
      <c r="C108" s="40" t="s">
        <v>936</v>
      </c>
      <c r="D108" s="40" t="s">
        <v>693</v>
      </c>
      <c r="F108" s="40" t="s">
        <v>396</v>
      </c>
    </row>
    <row r="109" spans="2:6" x14ac:dyDescent="0.2">
      <c r="B109" s="43" t="s">
        <v>1044</v>
      </c>
      <c r="C109" s="40" t="s">
        <v>936</v>
      </c>
      <c r="D109" s="40" t="s">
        <v>693</v>
      </c>
      <c r="F109" s="40" t="s">
        <v>396</v>
      </c>
    </row>
    <row r="110" spans="2:6" x14ac:dyDescent="0.2">
      <c r="B110" s="43" t="s">
        <v>1045</v>
      </c>
      <c r="C110" s="40" t="s">
        <v>936</v>
      </c>
      <c r="D110" s="40" t="s">
        <v>693</v>
      </c>
      <c r="F110" s="40" t="s">
        <v>396</v>
      </c>
    </row>
    <row r="111" spans="2:6" x14ac:dyDescent="0.2">
      <c r="B111" s="43" t="s">
        <v>1046</v>
      </c>
      <c r="C111" s="40" t="s">
        <v>936</v>
      </c>
      <c r="D111" s="40" t="s">
        <v>693</v>
      </c>
      <c r="F111" s="40" t="s">
        <v>396</v>
      </c>
    </row>
    <row r="112" spans="2:6" x14ac:dyDescent="0.2">
      <c r="B112" s="43" t="s">
        <v>1047</v>
      </c>
      <c r="C112" s="40" t="s">
        <v>936</v>
      </c>
      <c r="D112" s="40" t="s">
        <v>693</v>
      </c>
      <c r="F112" s="40" t="s">
        <v>396</v>
      </c>
    </row>
    <row r="113" spans="2:6" x14ac:dyDescent="0.2">
      <c r="B113" s="43" t="s">
        <v>1048</v>
      </c>
      <c r="C113" s="40" t="s">
        <v>936</v>
      </c>
      <c r="D113" s="40" t="s">
        <v>693</v>
      </c>
      <c r="F113" s="40" t="s">
        <v>396</v>
      </c>
    </row>
    <row r="114" spans="2:6" x14ac:dyDescent="0.2">
      <c r="B114" s="43" t="s">
        <v>1107</v>
      </c>
      <c r="C114" s="40" t="s">
        <v>936</v>
      </c>
      <c r="D114" s="40" t="s">
        <v>693</v>
      </c>
      <c r="F114" s="40" t="s">
        <v>396</v>
      </c>
    </row>
    <row r="115" spans="2:6" x14ac:dyDescent="0.2">
      <c r="B115" s="43" t="s">
        <v>1116</v>
      </c>
      <c r="C115" s="40" t="s">
        <v>936</v>
      </c>
      <c r="D115" s="40" t="s">
        <v>693</v>
      </c>
      <c r="F115" s="40" t="s">
        <v>396</v>
      </c>
    </row>
    <row r="116" spans="2:6" x14ac:dyDescent="0.2">
      <c r="B116" s="43" t="s">
        <v>1108</v>
      </c>
      <c r="C116" s="40" t="s">
        <v>936</v>
      </c>
      <c r="D116" s="40" t="s">
        <v>693</v>
      </c>
      <c r="F116" s="40" t="s">
        <v>396</v>
      </c>
    </row>
    <row r="117" spans="2:6" x14ac:dyDescent="0.2">
      <c r="B117" s="43" t="s">
        <v>1114</v>
      </c>
      <c r="C117" s="40" t="s">
        <v>936</v>
      </c>
      <c r="D117" s="40" t="s">
        <v>693</v>
      </c>
      <c r="F117" s="40" t="s">
        <v>396</v>
      </c>
    </row>
    <row r="118" spans="2:6" x14ac:dyDescent="0.2">
      <c r="B118" s="43" t="s">
        <v>1115</v>
      </c>
      <c r="C118" s="40" t="s">
        <v>936</v>
      </c>
      <c r="D118" s="40" t="s">
        <v>693</v>
      </c>
      <c r="F118" s="40" t="s">
        <v>396</v>
      </c>
    </row>
    <row r="119" spans="2:6" x14ac:dyDescent="0.2">
      <c r="B119" s="43" t="s">
        <v>1072</v>
      </c>
      <c r="C119" s="40" t="s">
        <v>936</v>
      </c>
      <c r="D119" s="40" t="s">
        <v>693</v>
      </c>
      <c r="F119" s="40" t="s">
        <v>396</v>
      </c>
    </row>
    <row r="120" spans="2:6" x14ac:dyDescent="0.2">
      <c r="B120" s="43" t="s">
        <v>1049</v>
      </c>
      <c r="C120" s="40" t="s">
        <v>936</v>
      </c>
      <c r="D120" s="40" t="s">
        <v>693</v>
      </c>
      <c r="F120" s="40" t="s">
        <v>396</v>
      </c>
    </row>
    <row r="121" spans="2:6" x14ac:dyDescent="0.2">
      <c r="B121" s="43" t="s">
        <v>1103</v>
      </c>
      <c r="C121" s="40" t="s">
        <v>936</v>
      </c>
      <c r="D121" s="40" t="s">
        <v>693</v>
      </c>
      <c r="F121" s="40" t="s">
        <v>396</v>
      </c>
    </row>
    <row r="122" spans="2:6" x14ac:dyDescent="0.2">
      <c r="B122" s="43" t="s">
        <v>1073</v>
      </c>
      <c r="C122" s="40" t="s">
        <v>936</v>
      </c>
      <c r="D122" s="40" t="s">
        <v>693</v>
      </c>
      <c r="F122" s="40" t="s">
        <v>396</v>
      </c>
    </row>
    <row r="123" spans="2:6" x14ac:dyDescent="0.2">
      <c r="B123" s="45" t="s">
        <v>1050</v>
      </c>
      <c r="C123" s="40" t="s">
        <v>936</v>
      </c>
      <c r="D123" s="40" t="s">
        <v>693</v>
      </c>
      <c r="F123" s="40" t="s">
        <v>396</v>
      </c>
    </row>
    <row r="124" spans="2:6" x14ac:dyDescent="0.2">
      <c r="B124" s="43" t="s">
        <v>1080</v>
      </c>
      <c r="C124" s="40" t="s">
        <v>936</v>
      </c>
      <c r="D124" s="40" t="s">
        <v>693</v>
      </c>
      <c r="F124" s="40" t="s">
        <v>396</v>
      </c>
    </row>
    <row r="125" spans="2:6" x14ac:dyDescent="0.2">
      <c r="B125" s="43" t="s">
        <v>1110</v>
      </c>
      <c r="C125" s="40" t="s">
        <v>936</v>
      </c>
      <c r="D125" s="40" t="s">
        <v>693</v>
      </c>
      <c r="F125" s="40" t="s">
        <v>396</v>
      </c>
    </row>
    <row r="126" spans="2:6" x14ac:dyDescent="0.2">
      <c r="B126" s="43" t="s">
        <v>1140</v>
      </c>
      <c r="C126" s="40" t="s">
        <v>936</v>
      </c>
      <c r="D126" s="40" t="s">
        <v>693</v>
      </c>
      <c r="F126" s="40" t="s">
        <v>396</v>
      </c>
    </row>
    <row r="127" spans="2:6" x14ac:dyDescent="0.2">
      <c r="B127" s="43" t="s">
        <v>1162</v>
      </c>
      <c r="C127" s="40" t="s">
        <v>936</v>
      </c>
      <c r="D127" s="40" t="s">
        <v>693</v>
      </c>
      <c r="F127" s="40" t="s">
        <v>396</v>
      </c>
    </row>
    <row r="128" spans="2:6" x14ac:dyDescent="0.2">
      <c r="B128" s="43" t="s">
        <v>1051</v>
      </c>
      <c r="C128" s="40" t="s">
        <v>936</v>
      </c>
      <c r="D128" s="40" t="s">
        <v>693</v>
      </c>
      <c r="F128" s="40" t="s">
        <v>396</v>
      </c>
    </row>
    <row r="129" spans="2:6" x14ac:dyDescent="0.2">
      <c r="B129" s="43" t="s">
        <v>1052</v>
      </c>
      <c r="C129" s="40" t="s">
        <v>936</v>
      </c>
      <c r="D129" s="40" t="s">
        <v>693</v>
      </c>
      <c r="F129" s="40" t="s">
        <v>396</v>
      </c>
    </row>
    <row r="130" spans="2:6" x14ac:dyDescent="0.2">
      <c r="B130" s="43" t="s">
        <v>1053</v>
      </c>
      <c r="C130" s="40" t="s">
        <v>936</v>
      </c>
      <c r="D130" s="40" t="s">
        <v>693</v>
      </c>
      <c r="F130" s="40" t="s">
        <v>396</v>
      </c>
    </row>
    <row r="131" spans="2:6" x14ac:dyDescent="0.2">
      <c r="B131" s="43" t="s">
        <v>1054</v>
      </c>
      <c r="C131" s="40" t="s">
        <v>936</v>
      </c>
      <c r="D131" s="40" t="s">
        <v>693</v>
      </c>
      <c r="F131" s="40" t="s">
        <v>396</v>
      </c>
    </row>
    <row r="132" spans="2:6" x14ac:dyDescent="0.2">
      <c r="B132" s="45" t="s">
        <v>1055</v>
      </c>
      <c r="C132" s="40" t="s">
        <v>936</v>
      </c>
      <c r="D132" s="40" t="s">
        <v>693</v>
      </c>
      <c r="F132" s="40" t="s">
        <v>396</v>
      </c>
    </row>
    <row r="133" spans="2:6" x14ac:dyDescent="0.2">
      <c r="B133" s="43" t="s">
        <v>1056</v>
      </c>
      <c r="C133" s="40" t="s">
        <v>936</v>
      </c>
      <c r="D133" s="40" t="s">
        <v>693</v>
      </c>
      <c r="F133" s="40" t="s">
        <v>396</v>
      </c>
    </row>
    <row r="134" spans="2:6" x14ac:dyDescent="0.2">
      <c r="B134" s="43" t="s">
        <v>1057</v>
      </c>
      <c r="C134" s="40" t="s">
        <v>936</v>
      </c>
      <c r="D134" s="40" t="s">
        <v>693</v>
      </c>
      <c r="F134" s="40" t="s">
        <v>396</v>
      </c>
    </row>
    <row r="135" spans="2:6" x14ac:dyDescent="0.2">
      <c r="B135" s="43" t="s">
        <v>1058</v>
      </c>
      <c r="C135" s="40" t="s">
        <v>936</v>
      </c>
      <c r="D135" s="40" t="s">
        <v>693</v>
      </c>
      <c r="E135" s="48"/>
      <c r="F135" s="40" t="s">
        <v>396</v>
      </c>
    </row>
    <row r="136" spans="2:6" x14ac:dyDescent="0.2">
      <c r="B136" s="43" t="s">
        <v>1059</v>
      </c>
      <c r="C136" s="40" t="s">
        <v>936</v>
      </c>
      <c r="D136" s="40" t="s">
        <v>693</v>
      </c>
      <c r="F136" s="40" t="s">
        <v>396</v>
      </c>
    </row>
    <row r="137" spans="2:6" x14ac:dyDescent="0.2">
      <c r="B137" s="43" t="s">
        <v>1060</v>
      </c>
      <c r="C137" s="40" t="s">
        <v>936</v>
      </c>
      <c r="D137" s="40" t="s">
        <v>693</v>
      </c>
      <c r="F137" s="40" t="s">
        <v>396</v>
      </c>
    </row>
    <row r="138" spans="2:6" x14ac:dyDescent="0.2">
      <c r="B138" s="43" t="s">
        <v>1061</v>
      </c>
      <c r="C138" s="40" t="s">
        <v>936</v>
      </c>
      <c r="D138" s="40" t="s">
        <v>693</v>
      </c>
      <c r="F138" s="40" t="s">
        <v>396</v>
      </c>
    </row>
    <row r="139" spans="2:6" x14ac:dyDescent="0.2">
      <c r="B139" s="43" t="s">
        <v>1062</v>
      </c>
      <c r="C139" s="40" t="s">
        <v>936</v>
      </c>
      <c r="D139" s="40" t="s">
        <v>693</v>
      </c>
      <c r="F139" s="40" t="s">
        <v>396</v>
      </c>
    </row>
    <row r="140" spans="2:6" x14ac:dyDescent="0.2">
      <c r="B140" s="43" t="s">
        <v>1063</v>
      </c>
      <c r="C140" s="40" t="s">
        <v>936</v>
      </c>
      <c r="D140" s="40" t="s">
        <v>693</v>
      </c>
      <c r="F140" s="40" t="s">
        <v>396</v>
      </c>
    </row>
    <row r="141" spans="2:6" x14ac:dyDescent="0.2">
      <c r="B141" s="43" t="s">
        <v>1064</v>
      </c>
      <c r="C141" s="40" t="s">
        <v>936</v>
      </c>
      <c r="D141" s="40" t="s">
        <v>693</v>
      </c>
      <c r="F141" s="40" t="s">
        <v>396</v>
      </c>
    </row>
    <row r="142" spans="2:6" x14ac:dyDescent="0.2">
      <c r="B142" s="43" t="s">
        <v>1065</v>
      </c>
      <c r="C142" s="40" t="s">
        <v>936</v>
      </c>
      <c r="D142" s="40" t="s">
        <v>693</v>
      </c>
      <c r="F142" s="40" t="s">
        <v>396</v>
      </c>
    </row>
    <row r="143" spans="2:6" x14ac:dyDescent="0.2">
      <c r="B143" s="43" t="s">
        <v>1066</v>
      </c>
      <c r="C143" s="40" t="s">
        <v>936</v>
      </c>
      <c r="D143" s="40" t="s">
        <v>693</v>
      </c>
      <c r="F143" s="40" t="s">
        <v>396</v>
      </c>
    </row>
    <row r="144" spans="2:6" x14ac:dyDescent="0.2">
      <c r="B144" s="43" t="s">
        <v>1163</v>
      </c>
      <c r="F144" s="40" t="s">
        <v>396</v>
      </c>
    </row>
    <row r="145" spans="2:2" x14ac:dyDescent="0.2">
      <c r="B145" s="41"/>
    </row>
    <row r="146" spans="2:2" x14ac:dyDescent="0.2">
      <c r="B146" s="41"/>
    </row>
  </sheetData>
  <autoFilter ref="B10:F144" xr:uid="{00000000-0009-0000-0000-000002000000}"/>
  <dataValidations count="2">
    <dataValidation type="list" allowBlank="1" showInputMessage="1" showErrorMessage="1" sqref="D11:D144" xr:uid="{00000000-0002-0000-0200-000000000000}">
      <formula1>"Passed, Failed, Pending, Cancel"</formula1>
    </dataValidation>
    <dataValidation type="list" allowBlank="1" showInputMessage="1" showErrorMessage="1" sqref="C11:C144" xr:uid="{00000000-0002-0000-0200-000001000000}">
      <formula1>"Yes,Not yet"</formula1>
    </dataValidation>
  </dataValidations>
  <pageMargins left="0.7" right="0.7" top="0.75" bottom="0.75" header="0.3" footer="0.3"/>
  <pageSetup orientation="portrait" horizontalDpi="72" verticalDpi="7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7"/>
  <sheetViews>
    <sheetView workbookViewId="0">
      <selection activeCell="C24" sqref="C24"/>
    </sheetView>
  </sheetViews>
  <sheetFormatPr defaultRowHeight="15" x14ac:dyDescent="0.25"/>
  <cols>
    <col min="1" max="1" width="11.28515625" bestFit="1" customWidth="1"/>
    <col min="2" max="2" width="9.5703125" bestFit="1" customWidth="1"/>
    <col min="3" max="3" width="15.42578125" bestFit="1" customWidth="1"/>
    <col min="4" max="4" width="18.42578125" bestFit="1" customWidth="1"/>
    <col min="5" max="5" width="10" customWidth="1"/>
    <col min="6" max="6" width="5.42578125" bestFit="1" customWidth="1"/>
    <col min="7" max="7" width="41.42578125" bestFit="1" customWidth="1"/>
    <col min="8" max="8" width="43.28515625" bestFit="1" customWidth="1"/>
  </cols>
  <sheetData>
    <row r="1" spans="1:8" x14ac:dyDescent="0.25">
      <c r="A1" t="s">
        <v>1223</v>
      </c>
      <c r="B1" t="s">
        <v>1221</v>
      </c>
      <c r="C1" t="s">
        <v>1222</v>
      </c>
      <c r="F1" t="s">
        <v>1280</v>
      </c>
      <c r="G1" t="s">
        <v>1226</v>
      </c>
      <c r="H1" t="s">
        <v>1279</v>
      </c>
    </row>
    <row r="2" spans="1:8" x14ac:dyDescent="0.25">
      <c r="B2" t="s">
        <v>1281</v>
      </c>
      <c r="C2" t="s">
        <v>1287</v>
      </c>
      <c r="D2" t="s">
        <v>1285</v>
      </c>
      <c r="F2" s="54" t="s">
        <v>1227</v>
      </c>
      <c r="G2" t="str">
        <f>$F$1&amp;F2&amp;"_"&amp;LOWER(B2)&amp;"_"&amp;LOWER(D2)&amp;"_"&amp;LOWER(C2)</f>
        <v>test_001_ctm_simple search_profile</v>
      </c>
      <c r="H2" t="str">
        <f>SUBSTITUTE(G2," ","_")</f>
        <v>test_001_ctm_simple_search_profile</v>
      </c>
    </row>
    <row r="3" spans="1:8" x14ac:dyDescent="0.25">
      <c r="B3" t="s">
        <v>1281</v>
      </c>
      <c r="C3" t="s">
        <v>1287</v>
      </c>
      <c r="D3" t="s">
        <v>1286</v>
      </c>
      <c r="F3" s="54" t="s">
        <v>1228</v>
      </c>
      <c r="G3" t="str">
        <f t="shared" ref="G3:G66" si="0">$F$1&amp;F3&amp;"_"&amp;LOWER(B3)&amp;"_"&amp;LOWER(D3)&amp;"_"&amp;LOWER(C3)</f>
        <v>test_002_ctm_advanced search_profile</v>
      </c>
      <c r="H3" t="str">
        <f t="shared" ref="H3:H15" si="1">SUBSTITUTE(G3," ","_")</f>
        <v>test_002_ctm_advanced_search_profile</v>
      </c>
    </row>
    <row r="4" spans="1:8" x14ac:dyDescent="0.25">
      <c r="B4" t="s">
        <v>1281</v>
      </c>
      <c r="C4" t="s">
        <v>1224</v>
      </c>
      <c r="D4" t="s">
        <v>1206</v>
      </c>
      <c r="F4" s="54" t="s">
        <v>1229</v>
      </c>
      <c r="G4" t="str">
        <f t="shared" si="0"/>
        <v>test_003_ctm_add_individual</v>
      </c>
      <c r="H4" t="str">
        <f t="shared" si="1"/>
        <v>test_003_ctm_add_individual</v>
      </c>
    </row>
    <row r="5" spans="1:8" x14ac:dyDescent="0.25">
      <c r="B5" t="s">
        <v>1281</v>
      </c>
      <c r="C5" t="s">
        <v>1224</v>
      </c>
      <c r="D5" t="s">
        <v>12</v>
      </c>
      <c r="F5" s="54" t="s">
        <v>1230</v>
      </c>
      <c r="G5" t="str">
        <f t="shared" si="0"/>
        <v>test_004_ctm_approve_individual</v>
      </c>
      <c r="H5" t="str">
        <f t="shared" si="1"/>
        <v>test_004_ctm_approve_individual</v>
      </c>
    </row>
    <row r="6" spans="1:8" x14ac:dyDescent="0.25">
      <c r="B6" t="s">
        <v>1281</v>
      </c>
      <c r="C6" t="s">
        <v>1224</v>
      </c>
      <c r="D6" t="s">
        <v>1207</v>
      </c>
      <c r="F6" s="54" t="s">
        <v>1231</v>
      </c>
      <c r="G6" t="str">
        <f t="shared" si="0"/>
        <v>test_005_ctm_modify_individual</v>
      </c>
      <c r="H6" t="str">
        <f t="shared" si="1"/>
        <v>test_005_ctm_modify_individual</v>
      </c>
    </row>
    <row r="7" spans="1:8" x14ac:dyDescent="0.25">
      <c r="B7" t="s">
        <v>1281</v>
      </c>
      <c r="C7" t="s">
        <v>1208</v>
      </c>
      <c r="D7" t="s">
        <v>1285</v>
      </c>
      <c r="F7" s="54" t="s">
        <v>1232</v>
      </c>
      <c r="G7" t="str">
        <f t="shared" si="0"/>
        <v>test_006_ctm_simple search_approve modify</v>
      </c>
      <c r="H7" t="str">
        <f t="shared" si="1"/>
        <v>test_006_ctm_simple_search_approve_modify</v>
      </c>
    </row>
    <row r="8" spans="1:8" x14ac:dyDescent="0.25">
      <c r="B8" t="s">
        <v>1281</v>
      </c>
      <c r="C8" t="s">
        <v>1208</v>
      </c>
      <c r="D8" t="s">
        <v>1286</v>
      </c>
      <c r="F8" s="54" t="s">
        <v>1233</v>
      </c>
      <c r="G8" t="str">
        <f t="shared" si="0"/>
        <v>test_007_ctm_advanced search_approve modify</v>
      </c>
      <c r="H8" t="str">
        <f t="shared" si="1"/>
        <v>test_007_ctm_advanced_search_approve_modify</v>
      </c>
    </row>
    <row r="9" spans="1:8" x14ac:dyDescent="0.25">
      <c r="B9" t="s">
        <v>1281</v>
      </c>
      <c r="C9" t="s">
        <v>1224</v>
      </c>
      <c r="D9" t="s">
        <v>1208</v>
      </c>
      <c r="F9" s="54" t="s">
        <v>1234</v>
      </c>
      <c r="G9" t="str">
        <f t="shared" si="0"/>
        <v>test_008_ctm_approve modify_individual</v>
      </c>
      <c r="H9" t="str">
        <f t="shared" si="1"/>
        <v>test_008_ctm_approve_modify_individual</v>
      </c>
    </row>
    <row r="10" spans="1:8" x14ac:dyDescent="0.25">
      <c r="B10" t="s">
        <v>1281</v>
      </c>
      <c r="C10" t="s">
        <v>1225</v>
      </c>
      <c r="D10" t="s">
        <v>1206</v>
      </c>
      <c r="F10" s="54" t="s">
        <v>1235</v>
      </c>
      <c r="G10" t="str">
        <f t="shared" si="0"/>
        <v>test_009_ctm_add_corporate</v>
      </c>
      <c r="H10" t="str">
        <f t="shared" si="1"/>
        <v>test_009_ctm_add_corporate</v>
      </c>
    </row>
    <row r="11" spans="1:8" x14ac:dyDescent="0.25">
      <c r="B11" t="s">
        <v>1281</v>
      </c>
      <c r="C11" t="s">
        <v>1225</v>
      </c>
      <c r="D11" t="s">
        <v>12</v>
      </c>
      <c r="F11" s="54" t="s">
        <v>1236</v>
      </c>
      <c r="G11" t="str">
        <f t="shared" si="0"/>
        <v>test_010_ctm_approve_corporate</v>
      </c>
      <c r="H11" t="str">
        <f t="shared" si="1"/>
        <v>test_010_ctm_approve_corporate</v>
      </c>
    </row>
    <row r="12" spans="1:8" x14ac:dyDescent="0.25">
      <c r="B12" t="s">
        <v>1281</v>
      </c>
      <c r="C12" t="s">
        <v>1225</v>
      </c>
      <c r="D12" t="s">
        <v>1207</v>
      </c>
      <c r="F12" s="54" t="s">
        <v>1237</v>
      </c>
      <c r="G12" t="str">
        <f t="shared" si="0"/>
        <v>test_011_ctm_modify_corporate</v>
      </c>
      <c r="H12" t="str">
        <f t="shared" si="1"/>
        <v>test_011_ctm_modify_corporate</v>
      </c>
    </row>
    <row r="13" spans="1:8" x14ac:dyDescent="0.25">
      <c r="B13" t="s">
        <v>1281</v>
      </c>
      <c r="C13" t="s">
        <v>1225</v>
      </c>
      <c r="D13" t="s">
        <v>1208</v>
      </c>
      <c r="F13" s="54" t="s">
        <v>1238</v>
      </c>
      <c r="G13" t="str">
        <f t="shared" si="0"/>
        <v>test_012_ctm_approve modify_corporate</v>
      </c>
      <c r="H13" t="str">
        <f t="shared" si="1"/>
        <v>test_012_ctm_approve_modify_corporate</v>
      </c>
    </row>
    <row r="14" spans="1:8" x14ac:dyDescent="0.25">
      <c r="B14" t="s">
        <v>1282</v>
      </c>
      <c r="C14" t="s">
        <v>1294</v>
      </c>
      <c r="D14" t="s">
        <v>1285</v>
      </c>
      <c r="F14" s="54" t="s">
        <v>1239</v>
      </c>
      <c r="G14" t="str">
        <f>$F$1&amp;F14&amp;"_"&amp;LOWER(B14)&amp;"_"&amp;LOWER(D14)&amp;"_"&amp;LOWER(C14)</f>
        <v>test_013_dpt_simple search_account</v>
      </c>
      <c r="H14" t="str">
        <f>SUBSTITUTE(G14," ","_")</f>
        <v>test_013_dpt_simple_search_account</v>
      </c>
    </row>
    <row r="15" spans="1:8" x14ac:dyDescent="0.25">
      <c r="B15" t="s">
        <v>1282</v>
      </c>
      <c r="C15" t="s">
        <v>1294</v>
      </c>
      <c r="D15" t="s">
        <v>1286</v>
      </c>
      <c r="F15" s="54" t="s">
        <v>1240</v>
      </c>
      <c r="G15" t="str">
        <f t="shared" si="0"/>
        <v>test_014_dpt_advanced search_account</v>
      </c>
      <c r="H15" t="str">
        <f t="shared" si="1"/>
        <v>test_014_dpt_advanced_search_account</v>
      </c>
    </row>
    <row r="16" spans="1:8" x14ac:dyDescent="0.25">
      <c r="B16" t="s">
        <v>1282</v>
      </c>
      <c r="C16" t="s">
        <v>1212</v>
      </c>
      <c r="D16" t="s">
        <v>72</v>
      </c>
      <c r="F16" s="54" t="s">
        <v>1239</v>
      </c>
      <c r="G16" t="str">
        <f t="shared" si="0"/>
        <v>test_013_dpt_open_current</v>
      </c>
      <c r="H16" t="str">
        <f>SUBSTITUTE(G16," ","_")</f>
        <v>test_013_dpt_open_current</v>
      </c>
    </row>
    <row r="17" spans="2:8" x14ac:dyDescent="0.25">
      <c r="B17" t="s">
        <v>1282</v>
      </c>
      <c r="C17" t="s">
        <v>1212</v>
      </c>
      <c r="D17" t="s">
        <v>1285</v>
      </c>
      <c r="F17" s="54" t="s">
        <v>1240</v>
      </c>
      <c r="G17" t="str">
        <f t="shared" si="0"/>
        <v>test_014_dpt_simple search_current</v>
      </c>
      <c r="H17" t="str">
        <f>SUBSTITUTE(G17," ","_")</f>
        <v>test_014_dpt_simple_search_current</v>
      </c>
    </row>
    <row r="18" spans="2:8" x14ac:dyDescent="0.25">
      <c r="B18" t="s">
        <v>1282</v>
      </c>
      <c r="C18" t="s">
        <v>1212</v>
      </c>
      <c r="D18" t="s">
        <v>1286</v>
      </c>
      <c r="F18" s="54" t="s">
        <v>1241</v>
      </c>
      <c r="G18" t="str">
        <f t="shared" si="0"/>
        <v>test_015_dpt_advanced search_current</v>
      </c>
      <c r="H18" t="str">
        <f>SUBSTITUTE(G18," ","_")</f>
        <v>test_015_dpt_advanced_search_current</v>
      </c>
    </row>
    <row r="19" spans="2:8" x14ac:dyDescent="0.25">
      <c r="B19" t="s">
        <v>1282</v>
      </c>
      <c r="C19" t="s">
        <v>1212</v>
      </c>
      <c r="D19" t="s">
        <v>12</v>
      </c>
      <c r="F19" s="54" t="s">
        <v>1242</v>
      </c>
      <c r="G19" t="str">
        <f t="shared" si="0"/>
        <v>test_016_dpt_approve_current</v>
      </c>
      <c r="H19" t="str">
        <f>SUBSTITUTE(G19," ","_")</f>
        <v>test_016_dpt_approve_current</v>
      </c>
    </row>
    <row r="20" spans="2:8" x14ac:dyDescent="0.25">
      <c r="B20" t="s">
        <v>1282</v>
      </c>
      <c r="C20" t="s">
        <v>1212</v>
      </c>
      <c r="D20" t="s">
        <v>1209</v>
      </c>
      <c r="F20" s="54" t="s">
        <v>1243</v>
      </c>
      <c r="G20" t="str">
        <f t="shared" si="0"/>
        <v>test_017_dpt_deposit by cash_current</v>
      </c>
      <c r="H20" t="str">
        <f t="shared" ref="H20:H29" si="2">SUBSTITUTE(G20," ","_")</f>
        <v>test_017_dpt_deposit_by_cash_current</v>
      </c>
    </row>
    <row r="21" spans="2:8" x14ac:dyDescent="0.25">
      <c r="B21" t="s">
        <v>1282</v>
      </c>
      <c r="C21" t="s">
        <v>1212</v>
      </c>
      <c r="D21" t="s">
        <v>1210</v>
      </c>
      <c r="F21" s="54" t="s">
        <v>1244</v>
      </c>
      <c r="G21" t="str">
        <f t="shared" si="0"/>
        <v>test_018_dpt_deposit by dpt_current</v>
      </c>
      <c r="H21" t="str">
        <f t="shared" si="2"/>
        <v>test_018_dpt_deposit_by_dpt_current</v>
      </c>
    </row>
    <row r="22" spans="2:8" x14ac:dyDescent="0.25">
      <c r="B22" t="s">
        <v>1282</v>
      </c>
      <c r="C22" t="s">
        <v>1212</v>
      </c>
      <c r="D22" t="s">
        <v>1211</v>
      </c>
      <c r="F22" s="54" t="s">
        <v>1245</v>
      </c>
      <c r="G22" t="str">
        <f t="shared" si="0"/>
        <v>test_019_dpt_deposit by gl_current</v>
      </c>
      <c r="H22" t="str">
        <f t="shared" si="2"/>
        <v>test_019_dpt_deposit_by_gl_current</v>
      </c>
    </row>
    <row r="23" spans="2:8" x14ac:dyDescent="0.25">
      <c r="B23" t="s">
        <v>1282</v>
      </c>
      <c r="C23" t="s">
        <v>1212</v>
      </c>
      <c r="D23" t="s">
        <v>1214</v>
      </c>
      <c r="F23" s="54" t="s">
        <v>1246</v>
      </c>
      <c r="G23" t="str">
        <f t="shared" si="0"/>
        <v>test_020_dpt_withdrawal by cash_current</v>
      </c>
      <c r="H23" t="str">
        <f t="shared" si="2"/>
        <v>test_020_dpt_withdrawal_by_cash_current</v>
      </c>
    </row>
    <row r="24" spans="2:8" x14ac:dyDescent="0.25">
      <c r="B24" t="s">
        <v>1282</v>
      </c>
      <c r="C24" t="s">
        <v>1212</v>
      </c>
      <c r="D24" t="s">
        <v>1215</v>
      </c>
      <c r="F24" s="54" t="s">
        <v>1247</v>
      </c>
      <c r="G24" t="str">
        <f t="shared" si="0"/>
        <v>test_021_dpt_withdrawal by dpt_current</v>
      </c>
      <c r="H24" t="str">
        <f t="shared" si="2"/>
        <v>test_021_dpt_withdrawal_by_dpt_current</v>
      </c>
    </row>
    <row r="25" spans="2:8" x14ac:dyDescent="0.25">
      <c r="B25" t="s">
        <v>1282</v>
      </c>
      <c r="C25" t="s">
        <v>1212</v>
      </c>
      <c r="D25" t="s">
        <v>1216</v>
      </c>
      <c r="F25" s="54" t="s">
        <v>1248</v>
      </c>
      <c r="G25" t="str">
        <f t="shared" si="0"/>
        <v>test_022_dpt_withdrawal by gl_current</v>
      </c>
      <c r="H25" t="str">
        <f t="shared" si="2"/>
        <v>test_022_dpt_withdrawal_by_gl_current</v>
      </c>
    </row>
    <row r="26" spans="2:8" x14ac:dyDescent="0.25">
      <c r="B26" t="s">
        <v>1282</v>
      </c>
      <c r="C26" t="s">
        <v>1212</v>
      </c>
      <c r="D26" t="s">
        <v>1217</v>
      </c>
      <c r="F26" s="54" t="s">
        <v>1249</v>
      </c>
      <c r="G26" t="str">
        <f t="shared" si="0"/>
        <v>test_023_dpt_closed by cash_current</v>
      </c>
      <c r="H26" t="str">
        <f t="shared" si="2"/>
        <v>test_023_dpt_closed_by_cash_current</v>
      </c>
    </row>
    <row r="27" spans="2:8" x14ac:dyDescent="0.25">
      <c r="B27" t="s">
        <v>1282</v>
      </c>
      <c r="C27" t="s">
        <v>1212</v>
      </c>
      <c r="D27" t="s">
        <v>1218</v>
      </c>
      <c r="F27" s="54" t="s">
        <v>1250</v>
      </c>
      <c r="G27" t="str">
        <f t="shared" si="0"/>
        <v>test_024_dpt_closed by dpt_current</v>
      </c>
      <c r="H27" t="str">
        <f t="shared" si="2"/>
        <v>test_024_dpt_closed_by_dpt_current</v>
      </c>
    </row>
    <row r="28" spans="2:8" x14ac:dyDescent="0.25">
      <c r="B28" t="s">
        <v>1282</v>
      </c>
      <c r="C28" t="s">
        <v>1212</v>
      </c>
      <c r="D28" t="s">
        <v>1219</v>
      </c>
      <c r="F28" s="54" t="s">
        <v>1251</v>
      </c>
      <c r="G28" t="str">
        <f t="shared" si="0"/>
        <v>test_025_dpt_closed by gl_current</v>
      </c>
      <c r="H28" t="str">
        <f t="shared" si="2"/>
        <v>test_025_dpt_closed_by_gl_current</v>
      </c>
    </row>
    <row r="29" spans="2:8" x14ac:dyDescent="0.25">
      <c r="B29" t="s">
        <v>1282</v>
      </c>
      <c r="C29" t="s">
        <v>1213</v>
      </c>
      <c r="D29" t="s">
        <v>72</v>
      </c>
      <c r="F29" s="54" t="s">
        <v>1252</v>
      </c>
      <c r="G29" t="str">
        <f t="shared" si="0"/>
        <v>test_026_dpt_open_savings</v>
      </c>
      <c r="H29" t="str">
        <f t="shared" si="2"/>
        <v>test_026_dpt_open_savings</v>
      </c>
    </row>
    <row r="30" spans="2:8" x14ac:dyDescent="0.25">
      <c r="B30" t="s">
        <v>1282</v>
      </c>
      <c r="C30" t="s">
        <v>1213</v>
      </c>
      <c r="D30" t="s">
        <v>1285</v>
      </c>
      <c r="F30" s="54" t="s">
        <v>1240</v>
      </c>
      <c r="G30" t="str">
        <f t="shared" si="0"/>
        <v>test_014_dpt_simple search_savings</v>
      </c>
      <c r="H30" t="str">
        <f>SUBSTITUTE(G30," ","_")</f>
        <v>test_014_dpt_simple_search_savings</v>
      </c>
    </row>
    <row r="31" spans="2:8" x14ac:dyDescent="0.25">
      <c r="B31" t="s">
        <v>1282</v>
      </c>
      <c r="C31" t="s">
        <v>1213</v>
      </c>
      <c r="D31" t="s">
        <v>1286</v>
      </c>
      <c r="F31" s="54" t="s">
        <v>1241</v>
      </c>
      <c r="G31" t="str">
        <f t="shared" si="0"/>
        <v>test_015_dpt_advanced search_savings</v>
      </c>
      <c r="H31" t="str">
        <f>SUBSTITUTE(G31," ","_")</f>
        <v>test_015_dpt_advanced_search_savings</v>
      </c>
    </row>
    <row r="32" spans="2:8" x14ac:dyDescent="0.25">
      <c r="B32" t="s">
        <v>1282</v>
      </c>
      <c r="C32" t="s">
        <v>1213</v>
      </c>
      <c r="D32" t="s">
        <v>12</v>
      </c>
      <c r="F32" s="54" t="s">
        <v>1253</v>
      </c>
      <c r="G32" t="str">
        <f t="shared" si="0"/>
        <v>test_027_dpt_approve_savings</v>
      </c>
      <c r="H32" t="str">
        <f>SUBSTITUTE(G32," ","_")</f>
        <v>test_027_dpt_approve_savings</v>
      </c>
    </row>
    <row r="33" spans="2:8" x14ac:dyDescent="0.25">
      <c r="B33" t="s">
        <v>1282</v>
      </c>
      <c r="C33" t="s">
        <v>1213</v>
      </c>
      <c r="D33" t="s">
        <v>1209</v>
      </c>
      <c r="F33" s="54" t="s">
        <v>1254</v>
      </c>
      <c r="G33" t="str">
        <f t="shared" si="0"/>
        <v>test_028_dpt_deposit by cash_savings</v>
      </c>
      <c r="H33" t="str">
        <f t="shared" ref="H33:H42" si="3">SUBSTITUTE(G33," ","_")</f>
        <v>test_028_dpt_deposit_by_cash_savings</v>
      </c>
    </row>
    <row r="34" spans="2:8" x14ac:dyDescent="0.25">
      <c r="B34" t="s">
        <v>1282</v>
      </c>
      <c r="C34" t="s">
        <v>1213</v>
      </c>
      <c r="D34" t="s">
        <v>1210</v>
      </c>
      <c r="F34" s="54" t="s">
        <v>1255</v>
      </c>
      <c r="G34" t="str">
        <f t="shared" si="0"/>
        <v>test_029_dpt_deposit by dpt_savings</v>
      </c>
      <c r="H34" t="str">
        <f t="shared" si="3"/>
        <v>test_029_dpt_deposit_by_dpt_savings</v>
      </c>
    </row>
    <row r="35" spans="2:8" x14ac:dyDescent="0.25">
      <c r="B35" t="s">
        <v>1282</v>
      </c>
      <c r="C35" t="s">
        <v>1213</v>
      </c>
      <c r="D35" t="s">
        <v>1211</v>
      </c>
      <c r="F35" s="54" t="s">
        <v>1256</v>
      </c>
      <c r="G35" t="str">
        <f t="shared" si="0"/>
        <v>test_030_dpt_deposit by gl_savings</v>
      </c>
      <c r="H35" t="str">
        <f t="shared" si="3"/>
        <v>test_030_dpt_deposit_by_gl_savings</v>
      </c>
    </row>
    <row r="36" spans="2:8" x14ac:dyDescent="0.25">
      <c r="B36" t="s">
        <v>1282</v>
      </c>
      <c r="C36" t="s">
        <v>1213</v>
      </c>
      <c r="D36" t="s">
        <v>1214</v>
      </c>
      <c r="F36" s="54" t="s">
        <v>1257</v>
      </c>
      <c r="G36" t="str">
        <f t="shared" si="0"/>
        <v>test_031_dpt_withdrawal by cash_savings</v>
      </c>
      <c r="H36" t="str">
        <f t="shared" si="3"/>
        <v>test_031_dpt_withdrawal_by_cash_savings</v>
      </c>
    </row>
    <row r="37" spans="2:8" x14ac:dyDescent="0.25">
      <c r="B37" t="s">
        <v>1282</v>
      </c>
      <c r="C37" t="s">
        <v>1213</v>
      </c>
      <c r="D37" t="s">
        <v>1215</v>
      </c>
      <c r="F37" s="54" t="s">
        <v>1258</v>
      </c>
      <c r="G37" t="str">
        <f t="shared" si="0"/>
        <v>test_032_dpt_withdrawal by dpt_savings</v>
      </c>
      <c r="H37" t="str">
        <f t="shared" si="3"/>
        <v>test_032_dpt_withdrawal_by_dpt_savings</v>
      </c>
    </row>
    <row r="38" spans="2:8" x14ac:dyDescent="0.25">
      <c r="B38" t="s">
        <v>1282</v>
      </c>
      <c r="C38" t="s">
        <v>1213</v>
      </c>
      <c r="D38" t="s">
        <v>1216</v>
      </c>
      <c r="F38" s="54" t="s">
        <v>1259</v>
      </c>
      <c r="G38" t="str">
        <f t="shared" si="0"/>
        <v>test_033_dpt_withdrawal by gl_savings</v>
      </c>
      <c r="H38" t="str">
        <f t="shared" si="3"/>
        <v>test_033_dpt_withdrawal_by_gl_savings</v>
      </c>
    </row>
    <row r="39" spans="2:8" x14ac:dyDescent="0.25">
      <c r="B39" t="s">
        <v>1282</v>
      </c>
      <c r="C39" t="s">
        <v>1213</v>
      </c>
      <c r="D39" t="s">
        <v>1217</v>
      </c>
      <c r="F39" s="54" t="s">
        <v>1260</v>
      </c>
      <c r="G39" t="str">
        <f t="shared" si="0"/>
        <v>test_034_dpt_closed by cash_savings</v>
      </c>
      <c r="H39" t="str">
        <f t="shared" si="3"/>
        <v>test_034_dpt_closed_by_cash_savings</v>
      </c>
    </row>
    <row r="40" spans="2:8" x14ac:dyDescent="0.25">
      <c r="B40" t="s">
        <v>1282</v>
      </c>
      <c r="C40" t="s">
        <v>1213</v>
      </c>
      <c r="D40" t="s">
        <v>1218</v>
      </c>
      <c r="F40" s="54" t="s">
        <v>1261</v>
      </c>
      <c r="G40" t="str">
        <f t="shared" si="0"/>
        <v>test_035_dpt_closed by dpt_savings</v>
      </c>
      <c r="H40" t="str">
        <f t="shared" si="3"/>
        <v>test_035_dpt_closed_by_dpt_savings</v>
      </c>
    </row>
    <row r="41" spans="2:8" x14ac:dyDescent="0.25">
      <c r="B41" t="s">
        <v>1282</v>
      </c>
      <c r="C41" t="s">
        <v>1213</v>
      </c>
      <c r="D41" t="s">
        <v>1219</v>
      </c>
      <c r="F41" s="54" t="s">
        <v>1262</v>
      </c>
      <c r="G41" t="str">
        <f t="shared" si="0"/>
        <v>test_036_dpt_closed by gl_savings</v>
      </c>
      <c r="H41" t="str">
        <f t="shared" si="3"/>
        <v>test_036_dpt_closed_by_gl_savings</v>
      </c>
    </row>
    <row r="42" spans="2:8" x14ac:dyDescent="0.25">
      <c r="B42" t="s">
        <v>1282</v>
      </c>
      <c r="C42" t="s">
        <v>1283</v>
      </c>
      <c r="D42" t="s">
        <v>72</v>
      </c>
      <c r="F42" s="54" t="s">
        <v>1263</v>
      </c>
      <c r="G42" t="str">
        <f t="shared" si="0"/>
        <v>test_037_dpt_open_fd 1m</v>
      </c>
      <c r="H42" t="str">
        <f t="shared" si="3"/>
        <v>test_037_dpt_open_fd_1m</v>
      </c>
    </row>
    <row r="43" spans="2:8" x14ac:dyDescent="0.25">
      <c r="B43" t="s">
        <v>1282</v>
      </c>
      <c r="C43" t="s">
        <v>1283</v>
      </c>
      <c r="D43" t="s">
        <v>1285</v>
      </c>
      <c r="F43" s="54" t="s">
        <v>1240</v>
      </c>
      <c r="G43" t="str">
        <f t="shared" si="0"/>
        <v>test_014_dpt_simple search_fd 1m</v>
      </c>
      <c r="H43" t="str">
        <f>SUBSTITUTE(G43," ","_")</f>
        <v>test_014_dpt_simple_search_fd_1m</v>
      </c>
    </row>
    <row r="44" spans="2:8" x14ac:dyDescent="0.25">
      <c r="B44" t="s">
        <v>1282</v>
      </c>
      <c r="C44" t="s">
        <v>1283</v>
      </c>
      <c r="D44" t="s">
        <v>1286</v>
      </c>
      <c r="F44" s="54" t="s">
        <v>1241</v>
      </c>
      <c r="G44" t="str">
        <f t="shared" si="0"/>
        <v>test_015_dpt_advanced search_fd 1m</v>
      </c>
      <c r="H44" t="str">
        <f>SUBSTITUTE(G44," ","_")</f>
        <v>test_015_dpt_advanced_search_fd_1m</v>
      </c>
    </row>
    <row r="45" spans="2:8" x14ac:dyDescent="0.25">
      <c r="B45" t="s">
        <v>1282</v>
      </c>
      <c r="C45" t="s">
        <v>1283</v>
      </c>
      <c r="D45" t="s">
        <v>12</v>
      </c>
      <c r="F45" s="54" t="s">
        <v>1264</v>
      </c>
      <c r="G45" t="str">
        <f t="shared" si="0"/>
        <v>test_038_dpt_approve_fd 1m</v>
      </c>
      <c r="H45" t="str">
        <f>SUBSTITUTE(G45," ","_")</f>
        <v>test_038_dpt_approve_fd_1m</v>
      </c>
    </row>
    <row r="46" spans="2:8" x14ac:dyDescent="0.25">
      <c r="B46" t="s">
        <v>1282</v>
      </c>
      <c r="C46" t="s">
        <v>1283</v>
      </c>
      <c r="D46" t="s">
        <v>1209</v>
      </c>
      <c r="F46" s="54" t="s">
        <v>1265</v>
      </c>
      <c r="G46" t="str">
        <f t="shared" si="0"/>
        <v>test_039_dpt_deposit by cash_fd 1m</v>
      </c>
      <c r="H46" t="str">
        <f t="shared" ref="H46:H55" si="4">SUBSTITUTE(G46," ","_")</f>
        <v>test_039_dpt_deposit_by_cash_fd_1m</v>
      </c>
    </row>
    <row r="47" spans="2:8" x14ac:dyDescent="0.25">
      <c r="B47" t="s">
        <v>1282</v>
      </c>
      <c r="C47" t="s">
        <v>1283</v>
      </c>
      <c r="D47" t="s">
        <v>1210</v>
      </c>
      <c r="F47" s="54" t="s">
        <v>1266</v>
      </c>
      <c r="G47" t="str">
        <f t="shared" si="0"/>
        <v>test_040_dpt_deposit by dpt_fd 1m</v>
      </c>
      <c r="H47" t="str">
        <f t="shared" si="4"/>
        <v>test_040_dpt_deposit_by_dpt_fd_1m</v>
      </c>
    </row>
    <row r="48" spans="2:8" x14ac:dyDescent="0.25">
      <c r="B48" t="s">
        <v>1282</v>
      </c>
      <c r="C48" t="s">
        <v>1283</v>
      </c>
      <c r="D48" t="s">
        <v>1211</v>
      </c>
      <c r="F48" s="54" t="s">
        <v>1267</v>
      </c>
      <c r="G48" t="str">
        <f t="shared" si="0"/>
        <v>test_041_dpt_deposit by gl_fd 1m</v>
      </c>
      <c r="H48" t="str">
        <f t="shared" si="4"/>
        <v>test_041_dpt_deposit_by_gl_fd_1m</v>
      </c>
    </row>
    <row r="49" spans="2:8" x14ac:dyDescent="0.25">
      <c r="B49" t="s">
        <v>1282</v>
      </c>
      <c r="C49" t="s">
        <v>1283</v>
      </c>
      <c r="D49" t="s">
        <v>1214</v>
      </c>
      <c r="F49" s="54" t="s">
        <v>1268</v>
      </c>
      <c r="G49" t="str">
        <f t="shared" si="0"/>
        <v>test_042_dpt_withdrawal by cash_fd 1m</v>
      </c>
      <c r="H49" t="str">
        <f t="shared" si="4"/>
        <v>test_042_dpt_withdrawal_by_cash_fd_1m</v>
      </c>
    </row>
    <row r="50" spans="2:8" x14ac:dyDescent="0.25">
      <c r="B50" t="s">
        <v>1282</v>
      </c>
      <c r="C50" t="s">
        <v>1283</v>
      </c>
      <c r="D50" t="s">
        <v>1215</v>
      </c>
      <c r="F50" s="54" t="s">
        <v>1269</v>
      </c>
      <c r="G50" t="str">
        <f t="shared" si="0"/>
        <v>test_043_dpt_withdrawal by dpt_fd 1m</v>
      </c>
      <c r="H50" t="str">
        <f t="shared" si="4"/>
        <v>test_043_dpt_withdrawal_by_dpt_fd_1m</v>
      </c>
    </row>
    <row r="51" spans="2:8" x14ac:dyDescent="0.25">
      <c r="B51" t="s">
        <v>1282</v>
      </c>
      <c r="C51" t="s">
        <v>1283</v>
      </c>
      <c r="D51" t="s">
        <v>1216</v>
      </c>
      <c r="F51" s="54" t="s">
        <v>1270</v>
      </c>
      <c r="G51" t="str">
        <f t="shared" si="0"/>
        <v>test_044_dpt_withdrawal by gl_fd 1m</v>
      </c>
      <c r="H51" t="str">
        <f t="shared" si="4"/>
        <v>test_044_dpt_withdrawal_by_gl_fd_1m</v>
      </c>
    </row>
    <row r="52" spans="2:8" x14ac:dyDescent="0.25">
      <c r="B52" t="s">
        <v>1282</v>
      </c>
      <c r="C52" t="s">
        <v>1283</v>
      </c>
      <c r="D52" t="s">
        <v>1217</v>
      </c>
      <c r="F52" s="54" t="s">
        <v>1271</v>
      </c>
      <c r="G52" t="str">
        <f t="shared" si="0"/>
        <v>test_045_dpt_closed by cash_fd 1m</v>
      </c>
      <c r="H52" t="str">
        <f t="shared" si="4"/>
        <v>test_045_dpt_closed_by_cash_fd_1m</v>
      </c>
    </row>
    <row r="53" spans="2:8" x14ac:dyDescent="0.25">
      <c r="B53" t="s">
        <v>1282</v>
      </c>
      <c r="C53" t="s">
        <v>1283</v>
      </c>
      <c r="D53" t="s">
        <v>1218</v>
      </c>
      <c r="F53" s="54" t="s">
        <v>1272</v>
      </c>
      <c r="G53" t="str">
        <f t="shared" si="0"/>
        <v>test_046_dpt_closed by dpt_fd 1m</v>
      </c>
      <c r="H53" t="str">
        <f t="shared" si="4"/>
        <v>test_046_dpt_closed_by_dpt_fd_1m</v>
      </c>
    </row>
    <row r="54" spans="2:8" x14ac:dyDescent="0.25">
      <c r="B54" t="s">
        <v>1282</v>
      </c>
      <c r="C54" t="s">
        <v>1283</v>
      </c>
      <c r="D54" t="s">
        <v>1219</v>
      </c>
      <c r="F54" s="54" t="s">
        <v>1273</v>
      </c>
      <c r="G54" t="str">
        <f t="shared" si="0"/>
        <v>test_047_dpt_closed by gl_fd 1m</v>
      </c>
      <c r="H54" t="str">
        <f t="shared" si="4"/>
        <v>test_047_dpt_closed_by_gl_fd_1m</v>
      </c>
    </row>
    <row r="55" spans="2:8" x14ac:dyDescent="0.25">
      <c r="B55" t="s">
        <v>1282</v>
      </c>
      <c r="C55" t="s">
        <v>1284</v>
      </c>
      <c r="D55" t="s">
        <v>72</v>
      </c>
      <c r="F55" s="54" t="s">
        <v>1274</v>
      </c>
      <c r="G55" t="str">
        <f t="shared" si="0"/>
        <v>test_048_dpt_open_prepaid fd</v>
      </c>
      <c r="H55" t="str">
        <f t="shared" si="4"/>
        <v>test_048_dpt_open_prepaid_fd</v>
      </c>
    </row>
    <row r="56" spans="2:8" x14ac:dyDescent="0.25">
      <c r="B56" t="s">
        <v>1282</v>
      </c>
      <c r="C56" t="s">
        <v>1284</v>
      </c>
      <c r="D56" t="s">
        <v>1285</v>
      </c>
      <c r="F56" s="54" t="s">
        <v>1240</v>
      </c>
      <c r="G56" t="str">
        <f t="shared" si="0"/>
        <v>test_014_dpt_simple search_prepaid fd</v>
      </c>
      <c r="H56" t="str">
        <f>SUBSTITUTE(G56," ","_")</f>
        <v>test_014_dpt_simple_search_prepaid_fd</v>
      </c>
    </row>
    <row r="57" spans="2:8" x14ac:dyDescent="0.25">
      <c r="B57" t="s">
        <v>1282</v>
      </c>
      <c r="C57" t="s">
        <v>1284</v>
      </c>
      <c r="D57" t="s">
        <v>1286</v>
      </c>
      <c r="F57" s="54" t="s">
        <v>1241</v>
      </c>
      <c r="G57" t="str">
        <f t="shared" si="0"/>
        <v>test_015_dpt_advanced search_prepaid fd</v>
      </c>
      <c r="H57" t="str">
        <f>SUBSTITUTE(G57," ","_")</f>
        <v>test_015_dpt_advanced_search_prepaid_fd</v>
      </c>
    </row>
    <row r="58" spans="2:8" x14ac:dyDescent="0.25">
      <c r="B58" t="s">
        <v>1282</v>
      </c>
      <c r="C58" t="s">
        <v>1284</v>
      </c>
      <c r="D58" t="s">
        <v>12</v>
      </c>
      <c r="F58" s="54" t="s">
        <v>1275</v>
      </c>
      <c r="G58" t="str">
        <f t="shared" si="0"/>
        <v>test_049_dpt_approve_prepaid fd</v>
      </c>
      <c r="H58" t="str">
        <f>SUBSTITUTE(G58," ","_")</f>
        <v>test_049_dpt_approve_prepaid_fd</v>
      </c>
    </row>
    <row r="59" spans="2:8" x14ac:dyDescent="0.25">
      <c r="B59" t="s">
        <v>1282</v>
      </c>
      <c r="C59" t="s">
        <v>1284</v>
      </c>
      <c r="D59" t="s">
        <v>1209</v>
      </c>
      <c r="F59" s="54" t="s">
        <v>1276</v>
      </c>
      <c r="G59" t="str">
        <f t="shared" si="0"/>
        <v>test_050_dpt_deposit by cash_prepaid fd</v>
      </c>
      <c r="H59" t="str">
        <f t="shared" ref="H59:H67" si="5">SUBSTITUTE(G59," ","_")</f>
        <v>test_050_dpt_deposit_by_cash_prepaid_fd</v>
      </c>
    </row>
    <row r="60" spans="2:8" x14ac:dyDescent="0.25">
      <c r="B60" t="s">
        <v>1282</v>
      </c>
      <c r="C60" t="s">
        <v>1284</v>
      </c>
      <c r="D60" t="s">
        <v>1210</v>
      </c>
      <c r="F60" s="54" t="s">
        <v>1277</v>
      </c>
      <c r="G60" t="str">
        <f t="shared" si="0"/>
        <v>test_051_dpt_deposit by dpt_prepaid fd</v>
      </c>
      <c r="H60" t="str">
        <f t="shared" si="5"/>
        <v>test_051_dpt_deposit_by_dpt_prepaid_fd</v>
      </c>
    </row>
    <row r="61" spans="2:8" x14ac:dyDescent="0.25">
      <c r="B61" t="s">
        <v>1282</v>
      </c>
      <c r="C61" t="s">
        <v>1284</v>
      </c>
      <c r="D61" t="s">
        <v>1211</v>
      </c>
      <c r="E61" t="s">
        <v>1220</v>
      </c>
      <c r="F61" s="54" t="s">
        <v>1278</v>
      </c>
      <c r="G61" t="str">
        <f t="shared" si="0"/>
        <v>test_052_dpt_deposit by gl_prepaid fd</v>
      </c>
      <c r="H61" t="str">
        <f t="shared" si="5"/>
        <v>test_052_dpt_deposit_by_gl_prepaid_fd</v>
      </c>
    </row>
    <row r="62" spans="2:8" x14ac:dyDescent="0.25">
      <c r="B62" t="s">
        <v>1282</v>
      </c>
      <c r="C62" t="s">
        <v>1284</v>
      </c>
      <c r="D62" t="s">
        <v>1214</v>
      </c>
      <c r="F62" s="54" t="s">
        <v>1288</v>
      </c>
      <c r="G62" t="str">
        <f t="shared" si="0"/>
        <v>test_053_dpt_withdrawal by cash_prepaid fd</v>
      </c>
      <c r="H62" t="str">
        <f t="shared" si="5"/>
        <v>test_053_dpt_withdrawal_by_cash_prepaid_fd</v>
      </c>
    </row>
    <row r="63" spans="2:8" x14ac:dyDescent="0.25">
      <c r="B63" t="s">
        <v>1282</v>
      </c>
      <c r="C63" t="s">
        <v>1284</v>
      </c>
      <c r="D63" t="s">
        <v>1215</v>
      </c>
      <c r="F63" s="54" t="s">
        <v>1289</v>
      </c>
      <c r="G63" t="str">
        <f t="shared" si="0"/>
        <v>test_054_dpt_withdrawal by dpt_prepaid fd</v>
      </c>
      <c r="H63" t="str">
        <f t="shared" si="5"/>
        <v>test_054_dpt_withdrawal_by_dpt_prepaid_fd</v>
      </c>
    </row>
    <row r="64" spans="2:8" x14ac:dyDescent="0.25">
      <c r="B64" t="s">
        <v>1282</v>
      </c>
      <c r="C64" t="s">
        <v>1284</v>
      </c>
      <c r="D64" t="s">
        <v>1216</v>
      </c>
      <c r="F64" s="54" t="s">
        <v>1290</v>
      </c>
      <c r="G64" t="str">
        <f t="shared" si="0"/>
        <v>test_055_dpt_withdrawal by gl_prepaid fd</v>
      </c>
      <c r="H64" t="str">
        <f t="shared" si="5"/>
        <v>test_055_dpt_withdrawal_by_gl_prepaid_fd</v>
      </c>
    </row>
    <row r="65" spans="2:8" x14ac:dyDescent="0.25">
      <c r="B65" t="s">
        <v>1282</v>
      </c>
      <c r="C65" t="s">
        <v>1284</v>
      </c>
      <c r="D65" t="s">
        <v>1217</v>
      </c>
      <c r="F65" s="54" t="s">
        <v>1291</v>
      </c>
      <c r="G65" t="str">
        <f t="shared" si="0"/>
        <v>test_056_dpt_closed by cash_prepaid fd</v>
      </c>
      <c r="H65" t="str">
        <f t="shared" si="5"/>
        <v>test_056_dpt_closed_by_cash_prepaid_fd</v>
      </c>
    </row>
    <row r="66" spans="2:8" x14ac:dyDescent="0.25">
      <c r="B66" t="s">
        <v>1282</v>
      </c>
      <c r="C66" t="s">
        <v>1284</v>
      </c>
      <c r="D66" t="s">
        <v>1218</v>
      </c>
      <c r="F66" s="54" t="s">
        <v>1292</v>
      </c>
      <c r="G66" t="str">
        <f t="shared" si="0"/>
        <v>test_057_dpt_closed by dpt_prepaid fd</v>
      </c>
      <c r="H66" t="str">
        <f t="shared" si="5"/>
        <v>test_057_dpt_closed_by_dpt_prepaid_fd</v>
      </c>
    </row>
    <row r="67" spans="2:8" x14ac:dyDescent="0.25">
      <c r="B67" t="s">
        <v>1282</v>
      </c>
      <c r="C67" t="s">
        <v>1284</v>
      </c>
      <c r="D67" t="s">
        <v>1219</v>
      </c>
      <c r="F67" s="54" t="s">
        <v>1293</v>
      </c>
      <c r="G67" t="str">
        <f>$F$1&amp;F67&amp;"_"&amp;LOWER(B67)&amp;"_"&amp;LOWER(D67)&amp;"_"&amp;LOWER(C67)</f>
        <v>test_058_dpt_closed by gl_prepaid fd</v>
      </c>
      <c r="H67" t="str">
        <f t="shared" si="5"/>
        <v>test_058_dpt_closed_by_gl_prepaid_fd</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59"/>
  <sheetViews>
    <sheetView tabSelected="1" topLeftCell="A32" workbookViewId="0">
      <selection activeCell="A58" sqref="A58:XFD59"/>
    </sheetView>
  </sheetViews>
  <sheetFormatPr defaultRowHeight="15" x14ac:dyDescent="0.25"/>
  <cols>
    <col min="1" max="1" width="39.42578125" bestFit="1" customWidth="1"/>
    <col min="2" max="2" width="16.5703125" customWidth="1"/>
    <col min="3" max="4" width="9.140625" customWidth="1"/>
    <col min="5" max="6" width="15.5703125" customWidth="1"/>
    <col min="7" max="7" width="12.42578125" bestFit="1" customWidth="1"/>
    <col min="9" max="9" width="15.7109375" bestFit="1" customWidth="1"/>
    <col min="11" max="11" width="41.7109375" bestFit="1" customWidth="1"/>
  </cols>
  <sheetData>
    <row r="1" spans="1:10" x14ac:dyDescent="0.25">
      <c r="A1" t="s">
        <v>1327</v>
      </c>
      <c r="B1" t="s">
        <v>1326</v>
      </c>
      <c r="C1" t="s">
        <v>1222</v>
      </c>
      <c r="D1" t="s">
        <v>1360</v>
      </c>
      <c r="E1" t="s">
        <v>1363</v>
      </c>
      <c r="F1" t="s">
        <v>669</v>
      </c>
      <c r="G1" t="s">
        <v>1364</v>
      </c>
      <c r="I1" t="s">
        <v>1359</v>
      </c>
      <c r="J1" t="s">
        <v>1361</v>
      </c>
    </row>
    <row r="2" spans="1:10" x14ac:dyDescent="0.25">
      <c r="A2" t="s">
        <v>105</v>
      </c>
      <c r="B2">
        <v>11404</v>
      </c>
      <c r="C2" t="s">
        <v>960</v>
      </c>
      <c r="D2">
        <v>3</v>
      </c>
      <c r="E2" s="94" t="s">
        <v>1365</v>
      </c>
      <c r="F2" s="94" t="s">
        <v>1589</v>
      </c>
      <c r="G2" s="94" t="s">
        <v>396</v>
      </c>
      <c r="I2" t="str">
        <f>$I$1&amp;A2&amp;$J$1</f>
        <v xml:space="preserve">    def DPT_CDP(self, ):payload = {}return payload</v>
      </c>
    </row>
    <row r="3" spans="1:10" x14ac:dyDescent="0.25">
      <c r="A3" t="s">
        <v>108</v>
      </c>
      <c r="B3">
        <v>8406</v>
      </c>
      <c r="C3" t="s">
        <v>960</v>
      </c>
      <c r="D3">
        <v>6</v>
      </c>
      <c r="E3" t="s">
        <v>1365</v>
      </c>
      <c r="F3" s="94" t="s">
        <v>1589</v>
      </c>
      <c r="G3" t="s">
        <v>396</v>
      </c>
      <c r="I3" t="str">
        <f t="shared" ref="I3:I51" si="0">$I$1&amp;A3&amp;$J$1</f>
        <v xml:space="preserve">    def DPT_CWR(self, ):payload = {}return payload</v>
      </c>
    </row>
    <row r="4" spans="1:10" x14ac:dyDescent="0.25">
      <c r="A4" t="s">
        <v>817</v>
      </c>
      <c r="B4">
        <v>7064</v>
      </c>
      <c r="C4" t="s">
        <v>1319</v>
      </c>
      <c r="D4">
        <v>30</v>
      </c>
      <c r="E4" t="s">
        <v>1365</v>
      </c>
      <c r="F4" t="s">
        <v>1574</v>
      </c>
      <c r="G4" t="s">
        <v>396</v>
      </c>
      <c r="H4">
        <v>5</v>
      </c>
      <c r="I4" t="str">
        <f t="shared" si="0"/>
        <v xml:space="preserve">    def SQL_INSERT_MEDIA(self, ):payload = {}return payload</v>
      </c>
    </row>
    <row r="5" spans="1:10" hidden="1" x14ac:dyDescent="0.25">
      <c r="A5" s="102" t="s">
        <v>819</v>
      </c>
      <c r="B5">
        <v>6960</v>
      </c>
      <c r="C5" t="s">
        <v>1319</v>
      </c>
      <c r="D5">
        <v>31</v>
      </c>
      <c r="E5" t="s">
        <v>1365</v>
      </c>
      <c r="F5" s="101" t="s">
        <v>1584</v>
      </c>
      <c r="H5">
        <v>6</v>
      </c>
      <c r="I5" t="str">
        <f t="shared" si="0"/>
        <v xml:space="preserve">    def SQL_APPROVE_MEDIA(self, ):payload = {}return payload</v>
      </c>
    </row>
    <row r="6" spans="1:10" x14ac:dyDescent="0.25">
      <c r="A6" t="s">
        <v>232</v>
      </c>
      <c r="B6">
        <v>6954</v>
      </c>
      <c r="C6" t="s">
        <v>960</v>
      </c>
      <c r="D6">
        <v>15</v>
      </c>
      <c r="E6" t="s">
        <v>1365</v>
      </c>
      <c r="F6" t="s">
        <v>1588</v>
      </c>
      <c r="G6" t="s">
        <v>396</v>
      </c>
      <c r="I6" t="str">
        <f t="shared" si="0"/>
        <v xml:space="preserve">    def ACT_DPT(self, ):payload = {}return payload</v>
      </c>
    </row>
    <row r="7" spans="1:10" x14ac:dyDescent="0.25">
      <c r="A7" t="s">
        <v>380</v>
      </c>
      <c r="B7">
        <v>4542</v>
      </c>
      <c r="C7" t="s">
        <v>1319</v>
      </c>
      <c r="D7">
        <v>27</v>
      </c>
      <c r="E7" t="s">
        <v>1365</v>
      </c>
      <c r="F7" s="101"/>
      <c r="G7" t="s">
        <v>396</v>
      </c>
      <c r="H7">
        <v>2</v>
      </c>
      <c r="I7" t="str">
        <f t="shared" si="0"/>
        <v xml:space="preserve">    def SQL_UPDATE_CTM(self, ):payload = {}return payload</v>
      </c>
    </row>
    <row r="8" spans="1:10" hidden="1" x14ac:dyDescent="0.25">
      <c r="A8" s="102" t="s">
        <v>1325</v>
      </c>
      <c r="B8">
        <v>4335</v>
      </c>
      <c r="C8" t="s">
        <v>1319</v>
      </c>
      <c r="D8">
        <v>29</v>
      </c>
      <c r="E8" t="s">
        <v>1365</v>
      </c>
      <c r="F8" s="101" t="s">
        <v>1584</v>
      </c>
      <c r="H8">
        <v>4</v>
      </c>
      <c r="I8" t="str">
        <f t="shared" si="0"/>
        <v xml:space="preserve">    def PRINT_CUSTOMER_INFO(self, ):payload = {}return payload</v>
      </c>
    </row>
    <row r="9" spans="1:10" hidden="1" x14ac:dyDescent="0.25">
      <c r="A9" s="102" t="s">
        <v>855</v>
      </c>
      <c r="B9">
        <v>4215</v>
      </c>
      <c r="C9" t="s">
        <v>1319</v>
      </c>
      <c r="D9">
        <v>28</v>
      </c>
      <c r="E9" t="s">
        <v>1365</v>
      </c>
      <c r="F9" s="101" t="s">
        <v>1584</v>
      </c>
      <c r="H9">
        <v>3</v>
      </c>
      <c r="I9" t="str">
        <f t="shared" si="0"/>
        <v xml:space="preserve">    def SQL_CTM_APR(self, ):payload = {}return payload</v>
      </c>
    </row>
    <row r="10" spans="1:10" x14ac:dyDescent="0.25">
      <c r="A10" t="s">
        <v>103</v>
      </c>
      <c r="B10">
        <v>4086</v>
      </c>
      <c r="C10" t="s">
        <v>960</v>
      </c>
      <c r="D10">
        <v>1</v>
      </c>
      <c r="E10" t="s">
        <v>1365</v>
      </c>
      <c r="F10" s="94" t="s">
        <v>1589</v>
      </c>
      <c r="G10" t="s">
        <v>396</v>
      </c>
      <c r="I10" t="str">
        <f t="shared" si="0"/>
        <v xml:space="preserve">    def DPT_OPN(self, ):payload = {}return payload</v>
      </c>
    </row>
    <row r="11" spans="1:10" x14ac:dyDescent="0.25">
      <c r="A11" t="s">
        <v>104</v>
      </c>
      <c r="B11">
        <v>3996</v>
      </c>
      <c r="C11" t="s">
        <v>960</v>
      </c>
      <c r="D11">
        <v>2</v>
      </c>
      <c r="E11" t="s">
        <v>1365</v>
      </c>
      <c r="F11" s="94" t="s">
        <v>1589</v>
      </c>
      <c r="G11" t="s">
        <v>396</v>
      </c>
      <c r="I11" t="str">
        <f t="shared" si="0"/>
        <v xml:space="preserve">    def DPT_APR(self, ):payload = {}return payload</v>
      </c>
    </row>
    <row r="12" spans="1:10" x14ac:dyDescent="0.25">
      <c r="A12" t="s">
        <v>198</v>
      </c>
      <c r="B12">
        <v>3618</v>
      </c>
      <c r="C12" t="s">
        <v>960</v>
      </c>
      <c r="D12">
        <v>21</v>
      </c>
      <c r="E12" t="s">
        <v>1365</v>
      </c>
      <c r="G12" t="s">
        <v>396</v>
      </c>
      <c r="I12" t="str">
        <f t="shared" si="0"/>
        <v xml:space="preserve">    def CSH_MOV(self, ):payload = {}return payload</v>
      </c>
    </row>
    <row r="13" spans="1:10" x14ac:dyDescent="0.25">
      <c r="A13" t="s">
        <v>832</v>
      </c>
      <c r="B13">
        <v>3536</v>
      </c>
      <c r="C13" t="s">
        <v>1319</v>
      </c>
      <c r="D13">
        <v>36</v>
      </c>
      <c r="E13" t="s">
        <v>1365</v>
      </c>
      <c r="F13" t="s">
        <v>1574</v>
      </c>
      <c r="G13" t="s">
        <v>396</v>
      </c>
      <c r="H13">
        <v>11</v>
      </c>
      <c r="I13" t="str">
        <f t="shared" si="0"/>
        <v xml:space="preserve">    def ADM_REFRESH_BRANCH(self, ):payload = {}return payload</v>
      </c>
    </row>
    <row r="14" spans="1:10" x14ac:dyDescent="0.25">
      <c r="A14" t="s">
        <v>379</v>
      </c>
      <c r="B14">
        <v>3095</v>
      </c>
      <c r="C14" t="s">
        <v>1319</v>
      </c>
      <c r="D14">
        <v>26</v>
      </c>
      <c r="E14" t="s">
        <v>1365</v>
      </c>
      <c r="F14" s="101"/>
      <c r="G14" t="s">
        <v>396</v>
      </c>
      <c r="H14">
        <v>1</v>
      </c>
      <c r="I14" t="str">
        <f t="shared" si="0"/>
        <v xml:space="preserve">    def SQL_INSERT_CTM(self, ):payload = {}return payload</v>
      </c>
    </row>
    <row r="15" spans="1:10" x14ac:dyDescent="0.25">
      <c r="A15" t="s">
        <v>100</v>
      </c>
      <c r="B15">
        <v>3012</v>
      </c>
      <c r="C15" t="s">
        <v>960</v>
      </c>
      <c r="D15">
        <v>23</v>
      </c>
      <c r="E15" t="s">
        <v>1365</v>
      </c>
      <c r="G15" t="s">
        <v>396</v>
      </c>
      <c r="I15" t="str">
        <f t="shared" si="0"/>
        <v xml:space="preserve">    def CTM_APR(self, ):payload = {}return payload</v>
      </c>
    </row>
    <row r="16" spans="1:10" x14ac:dyDescent="0.25">
      <c r="A16" t="s">
        <v>101</v>
      </c>
      <c r="B16">
        <v>2350</v>
      </c>
      <c r="C16" t="s">
        <v>960</v>
      </c>
      <c r="D16">
        <v>24</v>
      </c>
      <c r="E16" t="s">
        <v>1365</v>
      </c>
      <c r="G16" t="s">
        <v>396</v>
      </c>
      <c r="I16" t="str">
        <f t="shared" si="0"/>
        <v xml:space="preserve">    def CTM_CAS(self, ):payload = {}return payload</v>
      </c>
    </row>
    <row r="17" spans="1:9" x14ac:dyDescent="0.25">
      <c r="A17" t="s">
        <v>230</v>
      </c>
      <c r="B17">
        <v>2295</v>
      </c>
      <c r="C17" t="s">
        <v>960</v>
      </c>
      <c r="D17">
        <v>17</v>
      </c>
      <c r="E17" t="s">
        <v>1365</v>
      </c>
      <c r="F17" t="s">
        <v>1588</v>
      </c>
      <c r="G17" t="s">
        <v>396</v>
      </c>
      <c r="I17" t="str">
        <f t="shared" si="0"/>
        <v xml:space="preserve">    def ACT_CSH(self, ):payload = {}return payload</v>
      </c>
    </row>
    <row r="18" spans="1:9" x14ac:dyDescent="0.25">
      <c r="A18" t="s">
        <v>1324</v>
      </c>
      <c r="B18">
        <v>2202</v>
      </c>
      <c r="C18" t="s">
        <v>1319</v>
      </c>
      <c r="D18">
        <v>37</v>
      </c>
      <c r="E18" t="s">
        <v>1365</v>
      </c>
      <c r="F18" t="s">
        <v>1574</v>
      </c>
      <c r="G18" t="s">
        <v>396</v>
      </c>
      <c r="H18">
        <v>12</v>
      </c>
      <c r="I18" t="str">
        <f t="shared" si="0"/>
        <v xml:space="preserve">    def ADM_REFRESH_BRANCH_BY_USER(self, ):payload = {}return payload</v>
      </c>
    </row>
    <row r="19" spans="1:9" hidden="1" x14ac:dyDescent="0.25">
      <c r="A19" s="102" t="s">
        <v>211</v>
      </c>
      <c r="B19">
        <v>2192</v>
      </c>
      <c r="C19" t="s">
        <v>960</v>
      </c>
      <c r="D19">
        <v>20</v>
      </c>
      <c r="E19" t="s">
        <v>1365</v>
      </c>
      <c r="F19" s="101" t="s">
        <v>1584</v>
      </c>
      <c r="I19" t="str">
        <f t="shared" si="0"/>
        <v xml:space="preserve">    def ACT_MAN(self, ):payload = {}return payload</v>
      </c>
    </row>
    <row r="20" spans="1:9" x14ac:dyDescent="0.25">
      <c r="A20" t="s">
        <v>295</v>
      </c>
      <c r="B20">
        <v>1958</v>
      </c>
      <c r="C20" t="s">
        <v>1319</v>
      </c>
      <c r="D20">
        <v>43</v>
      </c>
      <c r="E20" t="s">
        <v>1365</v>
      </c>
      <c r="F20" t="s">
        <v>1589</v>
      </c>
      <c r="G20" t="s">
        <v>396</v>
      </c>
      <c r="H20">
        <v>18</v>
      </c>
      <c r="I20" t="str">
        <f t="shared" si="0"/>
        <v xml:space="preserve">    def ACT_ACCHRT_SER_SIMPLE(self, ):payload = {}return payload</v>
      </c>
    </row>
    <row r="21" spans="1:9" x14ac:dyDescent="0.25">
      <c r="A21" t="s">
        <v>757</v>
      </c>
      <c r="B21">
        <v>1852</v>
      </c>
      <c r="C21" t="s">
        <v>1319</v>
      </c>
      <c r="D21">
        <v>35</v>
      </c>
      <c r="E21" t="s">
        <v>1365</v>
      </c>
      <c r="F21" s="103" t="s">
        <v>1574</v>
      </c>
      <c r="G21" t="s">
        <v>396</v>
      </c>
      <c r="H21">
        <v>10</v>
      </c>
      <c r="I21" t="str">
        <f t="shared" si="0"/>
        <v xml:space="preserve">    def DPT_DELETE_ACCOUNTLINKAGE(self, ):payload = {}return payload</v>
      </c>
    </row>
    <row r="22" spans="1:9" x14ac:dyDescent="0.25">
      <c r="A22" t="s">
        <v>276</v>
      </c>
      <c r="B22">
        <v>1781</v>
      </c>
      <c r="C22" t="s">
        <v>1319</v>
      </c>
      <c r="D22">
        <v>44</v>
      </c>
      <c r="E22" t="s">
        <v>1365</v>
      </c>
      <c r="F22" t="s">
        <v>1589</v>
      </c>
      <c r="G22" t="s">
        <v>396</v>
      </c>
      <c r="H22">
        <v>19</v>
      </c>
      <c r="I22" t="str">
        <f t="shared" si="0"/>
        <v xml:space="preserve">    def ACT_ACCHRT_INS(self, ):payload = {}return payload</v>
      </c>
    </row>
    <row r="23" spans="1:9" x14ac:dyDescent="0.25">
      <c r="A23" t="s">
        <v>107</v>
      </c>
      <c r="B23">
        <v>1729</v>
      </c>
      <c r="C23" t="s">
        <v>960</v>
      </c>
      <c r="D23">
        <v>8</v>
      </c>
      <c r="E23" t="s">
        <v>1365</v>
      </c>
      <c r="F23" s="94" t="s">
        <v>1589</v>
      </c>
      <c r="G23" t="s">
        <v>396</v>
      </c>
      <c r="I23" t="str">
        <f t="shared" si="0"/>
        <v xml:space="preserve">    def DPT_TRF(self, ):payload = {}return payload</v>
      </c>
    </row>
    <row r="24" spans="1:9" x14ac:dyDescent="0.25">
      <c r="A24" t="s">
        <v>766</v>
      </c>
      <c r="B24">
        <v>1690</v>
      </c>
      <c r="C24" t="s">
        <v>1319</v>
      </c>
      <c r="D24">
        <v>38</v>
      </c>
      <c r="E24" t="s">
        <v>1365</v>
      </c>
      <c r="F24" t="s">
        <v>1574</v>
      </c>
      <c r="G24" t="s">
        <v>396</v>
      </c>
      <c r="H24">
        <v>13</v>
      </c>
      <c r="I24" t="str">
        <f t="shared" si="0"/>
        <v xml:space="preserve">    def ADM_CLOSE_BRANCH(self, ):payload = {}return payload</v>
      </c>
    </row>
    <row r="25" spans="1:9" x14ac:dyDescent="0.25">
      <c r="A25" t="s">
        <v>132</v>
      </c>
      <c r="B25">
        <v>1656</v>
      </c>
      <c r="C25" t="s">
        <v>960</v>
      </c>
      <c r="D25">
        <v>5</v>
      </c>
      <c r="E25" t="s">
        <v>1365</v>
      </c>
      <c r="F25" s="94" t="s">
        <v>1589</v>
      </c>
      <c r="G25" t="s">
        <v>396</v>
      </c>
      <c r="I25" t="str">
        <f t="shared" si="0"/>
        <v xml:space="preserve">    def DPT_SBI(self, ):payload = {}return payload</v>
      </c>
    </row>
    <row r="26" spans="1:9" x14ac:dyDescent="0.25">
      <c r="A26" t="s">
        <v>765</v>
      </c>
      <c r="B26">
        <v>1579</v>
      </c>
      <c r="C26" t="s">
        <v>1319</v>
      </c>
      <c r="D26">
        <v>39</v>
      </c>
      <c r="E26" t="s">
        <v>1365</v>
      </c>
      <c r="F26" t="s">
        <v>1574</v>
      </c>
      <c r="G26" t="s">
        <v>396</v>
      </c>
      <c r="H26">
        <v>14</v>
      </c>
      <c r="I26" t="str">
        <f t="shared" si="0"/>
        <v xml:space="preserve">    def ADM_OPEN_BRANCH(self, ):payload = {}return payload</v>
      </c>
    </row>
    <row r="27" spans="1:9" x14ac:dyDescent="0.25">
      <c r="A27" t="s">
        <v>122</v>
      </c>
      <c r="B27">
        <v>1551</v>
      </c>
      <c r="C27" t="s">
        <v>960</v>
      </c>
      <c r="D27">
        <v>12</v>
      </c>
      <c r="E27" t="s">
        <v>1365</v>
      </c>
      <c r="G27" t="s">
        <v>396</v>
      </c>
      <c r="I27" t="str">
        <f t="shared" si="0"/>
        <v xml:space="preserve">    def DPT_DLS(self, ):payload = {}return payload</v>
      </c>
    </row>
    <row r="28" spans="1:9" x14ac:dyDescent="0.25">
      <c r="A28" t="s">
        <v>199</v>
      </c>
      <c r="B28">
        <v>1407</v>
      </c>
      <c r="C28" t="s">
        <v>960</v>
      </c>
      <c r="D28">
        <v>22</v>
      </c>
      <c r="E28" t="s">
        <v>1365</v>
      </c>
      <c r="G28" t="s">
        <v>396</v>
      </c>
      <c r="I28" t="str">
        <f t="shared" si="0"/>
        <v xml:space="preserve">    def CSH_DNM(self, ):payload = {}return payload</v>
      </c>
    </row>
    <row r="29" spans="1:9" x14ac:dyDescent="0.25">
      <c r="A29" t="s">
        <v>695</v>
      </c>
      <c r="B29">
        <v>1351</v>
      </c>
      <c r="C29" t="s">
        <v>1319</v>
      </c>
      <c r="D29">
        <v>45</v>
      </c>
      <c r="E29" t="s">
        <v>1365</v>
      </c>
      <c r="F29" t="s">
        <v>1590</v>
      </c>
      <c r="G29" t="s">
        <v>396</v>
      </c>
      <c r="H29">
        <v>20</v>
      </c>
      <c r="I29" t="str">
        <f t="shared" si="0"/>
        <v xml:space="preserve">    def CRD_SEARCH_SP_CREDIT(self, ):payload = {}return payload</v>
      </c>
    </row>
    <row r="30" spans="1:9" x14ac:dyDescent="0.25">
      <c r="A30" t="s">
        <v>133</v>
      </c>
      <c r="B30">
        <v>1004</v>
      </c>
      <c r="C30" t="s">
        <v>960</v>
      </c>
      <c r="D30">
        <v>9</v>
      </c>
      <c r="E30" t="s">
        <v>1365</v>
      </c>
      <c r="F30" s="94" t="s">
        <v>1589</v>
      </c>
      <c r="G30" t="s">
        <v>396</v>
      </c>
      <c r="I30" t="str">
        <f t="shared" si="0"/>
        <v xml:space="preserve">    def DPT_CER(self, ):payload = {}return payload</v>
      </c>
    </row>
    <row r="31" spans="1:9" x14ac:dyDescent="0.25">
      <c r="A31" t="s">
        <v>394</v>
      </c>
      <c r="B31">
        <v>987</v>
      </c>
      <c r="C31" t="s">
        <v>1319</v>
      </c>
      <c r="D31">
        <v>32</v>
      </c>
      <c r="E31" t="s">
        <v>1365</v>
      </c>
      <c r="F31" s="101"/>
      <c r="G31" t="s">
        <v>396</v>
      </c>
      <c r="H31">
        <v>7</v>
      </c>
      <c r="I31" t="str">
        <f t="shared" si="0"/>
        <v xml:space="preserve">    def DPT_UPDATE_DEPOSIT(self, ):payload = {}return payload</v>
      </c>
    </row>
    <row r="32" spans="1:9" x14ac:dyDescent="0.25">
      <c r="A32" t="s">
        <v>809</v>
      </c>
      <c r="B32">
        <v>959</v>
      </c>
      <c r="C32" t="s">
        <v>1319</v>
      </c>
      <c r="D32">
        <v>47</v>
      </c>
      <c r="E32" t="s">
        <v>1365</v>
      </c>
      <c r="F32" t="s">
        <v>1589</v>
      </c>
      <c r="G32" t="s">
        <v>396</v>
      </c>
      <c r="H32">
        <v>22</v>
      </c>
      <c r="I32" t="str">
        <f t="shared" si="0"/>
        <v xml:space="preserve">    def PMT_SEARCH_SP_QUEUE_INWAR(self, ):payload = {}return payload</v>
      </c>
    </row>
    <row r="33" spans="1:9" x14ac:dyDescent="0.25">
      <c r="A33" t="s">
        <v>783</v>
      </c>
      <c r="B33">
        <v>927</v>
      </c>
      <c r="C33" t="s">
        <v>1319</v>
      </c>
      <c r="D33">
        <v>40</v>
      </c>
      <c r="E33" t="s">
        <v>1365</v>
      </c>
      <c r="F33" t="s">
        <v>1589</v>
      </c>
      <c r="G33" t="s">
        <v>396</v>
      </c>
      <c r="H33">
        <v>15</v>
      </c>
      <c r="I33" t="str">
        <f t="shared" si="0"/>
        <v xml:space="preserve">    def ADM_ADVANCED_SEARCH_ROLE_OF_USER(self, ):payload = {}return payload</v>
      </c>
    </row>
    <row r="34" spans="1:9" x14ac:dyDescent="0.25">
      <c r="A34" t="s">
        <v>228</v>
      </c>
      <c r="B34">
        <v>910</v>
      </c>
      <c r="C34" t="s">
        <v>960</v>
      </c>
      <c r="D34">
        <v>13</v>
      </c>
      <c r="E34" t="s">
        <v>1365</v>
      </c>
      <c r="F34" t="s">
        <v>1588</v>
      </c>
      <c r="G34" t="s">
        <v>396</v>
      </c>
      <c r="I34" t="str">
        <f t="shared" si="0"/>
        <v xml:space="preserve">    def DPT_ACT(self, ):payload = {}return payload</v>
      </c>
    </row>
    <row r="35" spans="1:9" x14ac:dyDescent="0.25">
      <c r="A35" t="s">
        <v>135</v>
      </c>
      <c r="B35">
        <v>833</v>
      </c>
      <c r="C35" t="s">
        <v>960</v>
      </c>
      <c r="D35">
        <v>10</v>
      </c>
      <c r="E35" t="s">
        <v>1365</v>
      </c>
      <c r="F35" s="94" t="s">
        <v>1589</v>
      </c>
      <c r="G35" t="s">
        <v>396</v>
      </c>
      <c r="I35" t="str">
        <f t="shared" si="0"/>
        <v xml:space="preserve">    def DPT_CWC(self, ):payload = {}return payload</v>
      </c>
    </row>
    <row r="36" spans="1:9" x14ac:dyDescent="0.25">
      <c r="A36" t="s">
        <v>824</v>
      </c>
      <c r="B36">
        <v>812</v>
      </c>
      <c r="C36" t="s">
        <v>1319</v>
      </c>
      <c r="D36">
        <v>48</v>
      </c>
      <c r="E36" t="s">
        <v>1365</v>
      </c>
      <c r="F36" t="s">
        <v>1589</v>
      </c>
      <c r="G36" t="s">
        <v>396</v>
      </c>
      <c r="H36">
        <v>23</v>
      </c>
      <c r="I36" t="str">
        <f t="shared" si="0"/>
        <v xml:space="preserve">    def FX_FXRATE_GETFXRATE(self, ):payload = {}return payload</v>
      </c>
    </row>
    <row r="37" spans="1:9" x14ac:dyDescent="0.25">
      <c r="A37" t="s">
        <v>124</v>
      </c>
      <c r="B37">
        <v>811</v>
      </c>
      <c r="C37" t="s">
        <v>960</v>
      </c>
      <c r="D37">
        <v>16</v>
      </c>
      <c r="E37" t="s">
        <v>1365</v>
      </c>
      <c r="F37" s="94" t="s">
        <v>1589</v>
      </c>
      <c r="G37" t="s">
        <v>396</v>
      </c>
      <c r="I37" t="str">
        <f t="shared" si="0"/>
        <v xml:space="preserve">    def DPT_HIS(self, ):payload = {}return payload</v>
      </c>
    </row>
    <row r="38" spans="1:9" x14ac:dyDescent="0.25">
      <c r="A38" t="s">
        <v>412</v>
      </c>
      <c r="B38">
        <v>792</v>
      </c>
      <c r="C38" t="s">
        <v>1319</v>
      </c>
      <c r="D38">
        <v>41</v>
      </c>
      <c r="E38" t="s">
        <v>1365</v>
      </c>
      <c r="F38" t="s">
        <v>1574</v>
      </c>
      <c r="G38" t="s">
        <v>396</v>
      </c>
      <c r="H38">
        <v>16</v>
      </c>
      <c r="I38" t="str">
        <f t="shared" si="0"/>
        <v xml:space="preserve">    def ADM_SIMPLE_SEARCH_USER_ACCOUNT(self, ):payload = {}return payload</v>
      </c>
    </row>
    <row r="39" spans="1:9" x14ac:dyDescent="0.25">
      <c r="A39" t="s">
        <v>234</v>
      </c>
      <c r="B39">
        <v>734</v>
      </c>
      <c r="C39" t="s">
        <v>960</v>
      </c>
      <c r="D39">
        <v>18</v>
      </c>
      <c r="E39" t="s">
        <v>1365</v>
      </c>
      <c r="F39" t="s">
        <v>1588</v>
      </c>
      <c r="G39" t="s">
        <v>396</v>
      </c>
      <c r="I39" t="str">
        <f t="shared" si="0"/>
        <v xml:space="preserve">    def ACT_ACT(self, ):payload = {}return payload</v>
      </c>
    </row>
    <row r="40" spans="1:9" x14ac:dyDescent="0.25">
      <c r="A40" t="s">
        <v>1323</v>
      </c>
      <c r="B40">
        <v>718</v>
      </c>
      <c r="C40" t="s">
        <v>1319</v>
      </c>
      <c r="D40">
        <v>49</v>
      </c>
      <c r="E40" t="s">
        <v>1365</v>
      </c>
      <c r="F40" t="s">
        <v>1589</v>
      </c>
      <c r="G40" t="s">
        <v>396</v>
      </c>
      <c r="H40">
        <v>24</v>
      </c>
      <c r="I40" t="str">
        <f t="shared" si="0"/>
        <v xml:space="preserve">    def TRS_SEARCH_ACCOUNT(self, ):payload = {}return payload</v>
      </c>
    </row>
    <row r="41" spans="1:9" x14ac:dyDescent="0.25">
      <c r="A41" t="s">
        <v>697</v>
      </c>
      <c r="B41">
        <v>695</v>
      </c>
      <c r="C41" t="s">
        <v>1319</v>
      </c>
      <c r="D41">
        <v>46</v>
      </c>
      <c r="E41" t="s">
        <v>1365</v>
      </c>
      <c r="F41" s="101" t="s">
        <v>1590</v>
      </c>
      <c r="G41" t="s">
        <v>396</v>
      </c>
      <c r="H41">
        <v>21</v>
      </c>
      <c r="I41" t="str">
        <f t="shared" si="0"/>
        <v xml:space="preserve">    def CRD_VIEW_CREDIT(self, ):payload = {}return payload</v>
      </c>
    </row>
    <row r="42" spans="1:9" x14ac:dyDescent="0.25">
      <c r="A42" t="s">
        <v>1322</v>
      </c>
      <c r="B42">
        <v>677</v>
      </c>
      <c r="C42" t="s">
        <v>1319</v>
      </c>
      <c r="D42">
        <v>33</v>
      </c>
      <c r="E42" t="s">
        <v>1365</v>
      </c>
      <c r="F42" s="101" t="s">
        <v>1574</v>
      </c>
      <c r="G42" t="s">
        <v>396</v>
      </c>
      <c r="H42">
        <v>8</v>
      </c>
      <c r="I42" t="str">
        <f t="shared" si="0"/>
        <v xml:space="preserve">    def DPT_VIEW_MODIFY_EXT_FIELD(self, ):payload = {}return payload</v>
      </c>
    </row>
    <row r="43" spans="1:9" x14ac:dyDescent="0.25">
      <c r="A43" t="s">
        <v>752</v>
      </c>
      <c r="B43">
        <v>650</v>
      </c>
      <c r="C43" t="s">
        <v>1319</v>
      </c>
      <c r="D43">
        <v>34</v>
      </c>
      <c r="E43" t="s">
        <v>1365</v>
      </c>
      <c r="G43" t="s">
        <v>396</v>
      </c>
      <c r="H43">
        <v>9</v>
      </c>
      <c r="I43" t="str">
        <f t="shared" si="0"/>
        <v xml:space="preserve">    def DPT_APPROVE_MODIFY(self, ):payload = {}return payload</v>
      </c>
    </row>
    <row r="44" spans="1:9" x14ac:dyDescent="0.25">
      <c r="A44" t="s">
        <v>109</v>
      </c>
      <c r="B44">
        <v>642</v>
      </c>
      <c r="C44" t="s">
        <v>960</v>
      </c>
      <c r="D44">
        <v>7</v>
      </c>
      <c r="E44" t="s">
        <v>1365</v>
      </c>
      <c r="F44" s="94" t="s">
        <v>1589</v>
      </c>
      <c r="G44" t="s">
        <v>396</v>
      </c>
      <c r="I44" t="str">
        <f t="shared" si="0"/>
        <v xml:space="preserve">    def DPT_MWR(self, ):payload = {}return payload</v>
      </c>
    </row>
    <row r="45" spans="1:9" x14ac:dyDescent="0.25">
      <c r="A45" t="s">
        <v>1321</v>
      </c>
      <c r="B45">
        <v>633</v>
      </c>
      <c r="C45" t="s">
        <v>1319</v>
      </c>
      <c r="D45">
        <v>50</v>
      </c>
      <c r="E45" t="s">
        <v>1365</v>
      </c>
      <c r="F45" t="s">
        <v>1589</v>
      </c>
      <c r="G45" t="s">
        <v>396</v>
      </c>
      <c r="H45">
        <v>25</v>
      </c>
      <c r="I45" t="str">
        <f t="shared" si="0"/>
        <v xml:space="preserve">    def TRS_VIEW_ACCOUNT(self, ):payload = {}return payload</v>
      </c>
    </row>
    <row r="46" spans="1:9" x14ac:dyDescent="0.25">
      <c r="A46" t="s">
        <v>1320</v>
      </c>
      <c r="B46">
        <v>605</v>
      </c>
      <c r="C46" t="s">
        <v>1319</v>
      </c>
      <c r="D46">
        <v>42</v>
      </c>
      <c r="E46" t="s">
        <v>1365</v>
      </c>
      <c r="F46" t="s">
        <v>1589</v>
      </c>
      <c r="G46" t="s">
        <v>396</v>
      </c>
      <c r="H46">
        <v>17</v>
      </c>
      <c r="I46" t="str">
        <f t="shared" si="0"/>
        <v xml:space="preserve">    def ADM_UPDATE_LIST_USER_RIGHT(self, ):payload = {}return payload</v>
      </c>
    </row>
    <row r="47" spans="1:9" x14ac:dyDescent="0.25">
      <c r="A47" t="s">
        <v>1172</v>
      </c>
      <c r="B47">
        <v>503</v>
      </c>
      <c r="C47" t="s">
        <v>960</v>
      </c>
      <c r="D47">
        <v>11</v>
      </c>
      <c r="E47" t="s">
        <v>1365</v>
      </c>
      <c r="F47" s="94" t="s">
        <v>1589</v>
      </c>
      <c r="G47" t="s">
        <v>396</v>
      </c>
      <c r="I47" t="str">
        <f t="shared" si="0"/>
        <v xml:space="preserve">    def DPT_FBI(self, ):payload = {}return payload</v>
      </c>
    </row>
    <row r="48" spans="1:9" x14ac:dyDescent="0.25">
      <c r="A48" t="s">
        <v>222</v>
      </c>
      <c r="B48">
        <v>495</v>
      </c>
      <c r="C48" t="s">
        <v>960</v>
      </c>
      <c r="D48">
        <v>19</v>
      </c>
      <c r="E48" t="s">
        <v>1365</v>
      </c>
      <c r="F48" t="s">
        <v>1588</v>
      </c>
      <c r="G48" t="s">
        <v>396</v>
      </c>
      <c r="I48" t="str">
        <f t="shared" si="0"/>
        <v xml:space="preserve">    def CSH_ACT(self, ):payload = {}return payload</v>
      </c>
    </row>
    <row r="49" spans="1:9" hidden="1" x14ac:dyDescent="0.25">
      <c r="A49" s="102" t="s">
        <v>169</v>
      </c>
      <c r="B49">
        <v>483</v>
      </c>
      <c r="C49" t="s">
        <v>960</v>
      </c>
      <c r="D49">
        <v>25</v>
      </c>
      <c r="E49" t="s">
        <v>1365</v>
      </c>
      <c r="F49" s="101" t="s">
        <v>1584</v>
      </c>
      <c r="I49" t="str">
        <f t="shared" si="0"/>
        <v xml:space="preserve">    def CRD_EXT(self, ):payload = {}return payload</v>
      </c>
    </row>
    <row r="50" spans="1:9" x14ac:dyDescent="0.25">
      <c r="A50" t="s">
        <v>106</v>
      </c>
      <c r="B50">
        <v>468</v>
      </c>
      <c r="C50" t="s">
        <v>960</v>
      </c>
      <c r="D50">
        <v>4</v>
      </c>
      <c r="E50" t="s">
        <v>1365</v>
      </c>
      <c r="F50" s="94" t="s">
        <v>1589</v>
      </c>
      <c r="G50" t="s">
        <v>396</v>
      </c>
      <c r="I50" t="str">
        <f t="shared" si="0"/>
        <v xml:space="preserve">    def DPT_MDP(self, ):payload = {}return payload</v>
      </c>
    </row>
    <row r="51" spans="1:9" x14ac:dyDescent="0.25">
      <c r="A51" t="s">
        <v>226</v>
      </c>
      <c r="B51">
        <v>468</v>
      </c>
      <c r="C51" t="s">
        <v>960</v>
      </c>
      <c r="D51">
        <v>14</v>
      </c>
      <c r="E51" t="s">
        <v>1365</v>
      </c>
      <c r="F51" t="s">
        <v>1588</v>
      </c>
      <c r="G51" t="s">
        <v>396</v>
      </c>
      <c r="I51" t="str">
        <f t="shared" si="0"/>
        <v xml:space="preserve">    def DPT_DPT(self, ):payload = {}return payload</v>
      </c>
    </row>
    <row r="52" spans="1:9" x14ac:dyDescent="0.25">
      <c r="A52" t="s">
        <v>1160</v>
      </c>
      <c r="C52" t="s">
        <v>1319</v>
      </c>
      <c r="G52" t="s">
        <v>396</v>
      </c>
    </row>
    <row r="53" spans="1:9" x14ac:dyDescent="0.25">
      <c r="A53" t="s">
        <v>1161</v>
      </c>
      <c r="C53" t="s">
        <v>1319</v>
      </c>
      <c r="G53" t="s">
        <v>396</v>
      </c>
    </row>
    <row r="54" spans="1:9" x14ac:dyDescent="0.25">
      <c r="A54" t="s">
        <v>1591</v>
      </c>
      <c r="C54" t="s">
        <v>1595</v>
      </c>
    </row>
    <row r="55" spans="1:9" x14ac:dyDescent="0.25">
      <c r="A55" t="s">
        <v>1592</v>
      </c>
      <c r="C55" t="s">
        <v>1595</v>
      </c>
    </row>
    <row r="56" spans="1:9" x14ac:dyDescent="0.25">
      <c r="A56" t="s">
        <v>1593</v>
      </c>
      <c r="C56" t="s">
        <v>1595</v>
      </c>
    </row>
    <row r="57" spans="1:9" x14ac:dyDescent="0.25">
      <c r="A57" t="s">
        <v>1594</v>
      </c>
      <c r="C57" t="s">
        <v>1595</v>
      </c>
    </row>
    <row r="58" spans="1:9" x14ac:dyDescent="0.25">
      <c r="I58" s="97"/>
    </row>
    <row r="59" spans="1:9" x14ac:dyDescent="0.25">
      <c r="I59" s="97"/>
    </row>
  </sheetData>
  <autoFilter ref="A1:G57" xr:uid="{B8D2965E-5190-48AB-9A7A-71EDDB21E449}">
    <filterColumn colId="5">
      <filters blank="1">
        <filter val="Pass"/>
        <filter val="Tested"/>
        <filter val="Testing"/>
        <filter val="Tiên"/>
      </filters>
    </filterColumn>
  </autoFilter>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3"/>
  <sheetViews>
    <sheetView topLeftCell="A40" workbookViewId="0">
      <selection activeCell="B52" sqref="B52:B53"/>
    </sheetView>
  </sheetViews>
  <sheetFormatPr defaultRowHeight="15" x14ac:dyDescent="0.25"/>
  <cols>
    <col min="1" max="1" width="3.5703125" bestFit="1" customWidth="1"/>
    <col min="2" max="2" width="47.28515625" bestFit="1" customWidth="1"/>
    <col min="3" max="3" width="16.5703125" bestFit="1" customWidth="1"/>
    <col min="4" max="4" width="80" bestFit="1" customWidth="1"/>
    <col min="5" max="5" width="10.7109375" bestFit="1" customWidth="1"/>
    <col min="6" max="6" width="9.7109375" bestFit="1" customWidth="1"/>
    <col min="8" max="8" width="28.42578125" bestFit="1" customWidth="1"/>
  </cols>
  <sheetData>
    <row r="1" spans="1:8" x14ac:dyDescent="0.25">
      <c r="A1" t="s">
        <v>262</v>
      </c>
      <c r="B1" t="s">
        <v>1327</v>
      </c>
      <c r="C1" t="s">
        <v>1326</v>
      </c>
      <c r="D1" t="s">
        <v>265</v>
      </c>
      <c r="E1" t="s">
        <v>1575</v>
      </c>
      <c r="F1" t="s">
        <v>1576</v>
      </c>
      <c r="H1" t="s">
        <v>1577</v>
      </c>
    </row>
    <row r="2" spans="1:8" x14ac:dyDescent="0.25">
      <c r="A2">
        <v>1</v>
      </c>
      <c r="B2" t="s">
        <v>105</v>
      </c>
      <c r="C2">
        <v>11404</v>
      </c>
      <c r="E2" s="94">
        <v>45637</v>
      </c>
      <c r="F2" t="s">
        <v>1578</v>
      </c>
      <c r="H2">
        <v>47</v>
      </c>
    </row>
    <row r="3" spans="1:8" x14ac:dyDescent="0.25">
      <c r="A3">
        <v>2</v>
      </c>
      <c r="B3" t="s">
        <v>108</v>
      </c>
      <c r="C3">
        <v>8406</v>
      </c>
    </row>
    <row r="4" spans="1:8" x14ac:dyDescent="0.25">
      <c r="A4">
        <v>3</v>
      </c>
      <c r="B4" t="s">
        <v>817</v>
      </c>
      <c r="C4">
        <v>7064</v>
      </c>
    </row>
    <row r="5" spans="1:8" x14ac:dyDescent="0.25">
      <c r="A5">
        <v>4</v>
      </c>
      <c r="B5" s="96" t="s">
        <v>819</v>
      </c>
      <c r="C5">
        <v>6960</v>
      </c>
      <c r="D5" t="s">
        <v>1579</v>
      </c>
    </row>
    <row r="6" spans="1:8" x14ac:dyDescent="0.25">
      <c r="A6">
        <v>5</v>
      </c>
      <c r="B6" t="s">
        <v>232</v>
      </c>
      <c r="C6">
        <v>6954</v>
      </c>
    </row>
    <row r="7" spans="1:8" x14ac:dyDescent="0.25">
      <c r="A7">
        <v>6</v>
      </c>
      <c r="B7" t="s">
        <v>380</v>
      </c>
      <c r="C7">
        <v>4542</v>
      </c>
    </row>
    <row r="8" spans="1:8" x14ac:dyDescent="0.25">
      <c r="A8">
        <v>7</v>
      </c>
      <c r="B8" s="96" t="s">
        <v>1325</v>
      </c>
      <c r="C8">
        <v>4335</v>
      </c>
      <c r="D8" t="s">
        <v>1580</v>
      </c>
    </row>
    <row r="9" spans="1:8" x14ac:dyDescent="0.25">
      <c r="A9">
        <v>8</v>
      </c>
      <c r="B9" s="96" t="s">
        <v>855</v>
      </c>
      <c r="C9">
        <v>4215</v>
      </c>
      <c r="D9" t="s">
        <v>1579</v>
      </c>
    </row>
    <row r="10" spans="1:8" x14ac:dyDescent="0.25">
      <c r="A10">
        <v>9</v>
      </c>
      <c r="B10" t="s">
        <v>103</v>
      </c>
      <c r="C10">
        <v>4086</v>
      </c>
    </row>
    <row r="11" spans="1:8" x14ac:dyDescent="0.25">
      <c r="A11">
        <v>10</v>
      </c>
      <c r="B11" t="s">
        <v>104</v>
      </c>
      <c r="C11">
        <v>3996</v>
      </c>
    </row>
    <row r="12" spans="1:8" x14ac:dyDescent="0.25">
      <c r="A12">
        <v>11</v>
      </c>
      <c r="B12" t="s">
        <v>198</v>
      </c>
      <c r="C12">
        <v>3618</v>
      </c>
    </row>
    <row r="13" spans="1:8" x14ac:dyDescent="0.25">
      <c r="A13">
        <v>12</v>
      </c>
      <c r="B13" t="s">
        <v>832</v>
      </c>
      <c r="C13">
        <v>3536</v>
      </c>
    </row>
    <row r="14" spans="1:8" x14ac:dyDescent="0.25">
      <c r="A14">
        <v>13</v>
      </c>
      <c r="B14" t="s">
        <v>379</v>
      </c>
      <c r="C14">
        <v>3095</v>
      </c>
    </row>
    <row r="15" spans="1:8" x14ac:dyDescent="0.25">
      <c r="A15">
        <v>14</v>
      </c>
      <c r="B15" t="s">
        <v>100</v>
      </c>
      <c r="C15">
        <v>3012</v>
      </c>
    </row>
    <row r="16" spans="1:8" x14ac:dyDescent="0.25">
      <c r="A16">
        <v>15</v>
      </c>
      <c r="B16" t="s">
        <v>101</v>
      </c>
      <c r="C16">
        <v>2350</v>
      </c>
    </row>
    <row r="17" spans="1:4" x14ac:dyDescent="0.25">
      <c r="A17">
        <v>16</v>
      </c>
      <c r="B17" t="s">
        <v>230</v>
      </c>
      <c r="C17">
        <v>2295</v>
      </c>
    </row>
    <row r="18" spans="1:4" x14ac:dyDescent="0.25">
      <c r="A18">
        <v>17</v>
      </c>
      <c r="B18" t="s">
        <v>1324</v>
      </c>
      <c r="C18">
        <v>2202</v>
      </c>
    </row>
    <row r="19" spans="1:4" x14ac:dyDescent="0.25">
      <c r="A19">
        <v>18</v>
      </c>
      <c r="B19" s="96" t="s">
        <v>211</v>
      </c>
      <c r="C19">
        <v>2192</v>
      </c>
      <c r="D19" t="s">
        <v>1581</v>
      </c>
    </row>
    <row r="20" spans="1:4" x14ac:dyDescent="0.25">
      <c r="A20">
        <v>19</v>
      </c>
      <c r="B20" t="s">
        <v>295</v>
      </c>
      <c r="C20">
        <v>1958</v>
      </c>
    </row>
    <row r="21" spans="1:4" x14ac:dyDescent="0.25">
      <c r="A21">
        <v>20</v>
      </c>
      <c r="B21" t="s">
        <v>757</v>
      </c>
      <c r="C21">
        <v>1852</v>
      </c>
    </row>
    <row r="22" spans="1:4" x14ac:dyDescent="0.25">
      <c r="A22">
        <v>21</v>
      </c>
      <c r="B22" t="s">
        <v>276</v>
      </c>
      <c r="C22">
        <v>1781</v>
      </c>
    </row>
    <row r="23" spans="1:4" x14ac:dyDescent="0.25">
      <c r="A23">
        <v>22</v>
      </c>
      <c r="B23" t="s">
        <v>107</v>
      </c>
      <c r="C23">
        <v>1729</v>
      </c>
    </row>
    <row r="24" spans="1:4" x14ac:dyDescent="0.25">
      <c r="A24">
        <v>23</v>
      </c>
      <c r="B24" t="s">
        <v>766</v>
      </c>
      <c r="C24">
        <v>1690</v>
      </c>
    </row>
    <row r="25" spans="1:4" x14ac:dyDescent="0.25">
      <c r="A25">
        <v>24</v>
      </c>
      <c r="B25" t="s">
        <v>132</v>
      </c>
      <c r="C25">
        <v>1656</v>
      </c>
    </row>
    <row r="26" spans="1:4" x14ac:dyDescent="0.25">
      <c r="A26">
        <v>25</v>
      </c>
      <c r="B26" t="s">
        <v>765</v>
      </c>
      <c r="C26">
        <v>1579</v>
      </c>
    </row>
    <row r="27" spans="1:4" x14ac:dyDescent="0.25">
      <c r="A27">
        <v>26</v>
      </c>
      <c r="B27" t="s">
        <v>122</v>
      </c>
      <c r="C27">
        <v>1551</v>
      </c>
    </row>
    <row r="28" spans="1:4" x14ac:dyDescent="0.25">
      <c r="A28">
        <v>27</v>
      </c>
      <c r="B28" t="s">
        <v>199</v>
      </c>
      <c r="C28">
        <v>1407</v>
      </c>
    </row>
    <row r="29" spans="1:4" x14ac:dyDescent="0.25">
      <c r="A29">
        <v>28</v>
      </c>
      <c r="B29" t="s">
        <v>695</v>
      </c>
      <c r="C29">
        <v>1351</v>
      </c>
    </row>
    <row r="30" spans="1:4" x14ac:dyDescent="0.25">
      <c r="A30">
        <v>29</v>
      </c>
      <c r="B30" t="s">
        <v>133</v>
      </c>
      <c r="C30">
        <v>1004</v>
      </c>
    </row>
    <row r="31" spans="1:4" x14ac:dyDescent="0.25">
      <c r="A31">
        <v>30</v>
      </c>
      <c r="B31" t="s">
        <v>394</v>
      </c>
      <c r="C31">
        <v>987</v>
      </c>
    </row>
    <row r="32" spans="1:4" x14ac:dyDescent="0.25">
      <c r="A32">
        <v>31</v>
      </c>
      <c r="B32" t="s">
        <v>809</v>
      </c>
      <c r="C32">
        <v>959</v>
      </c>
    </row>
    <row r="33" spans="1:3" x14ac:dyDescent="0.25">
      <c r="A33">
        <v>32</v>
      </c>
      <c r="B33" t="s">
        <v>783</v>
      </c>
      <c r="C33">
        <v>927</v>
      </c>
    </row>
    <row r="34" spans="1:3" x14ac:dyDescent="0.25">
      <c r="A34">
        <v>33</v>
      </c>
      <c r="B34" t="s">
        <v>228</v>
      </c>
      <c r="C34">
        <v>910</v>
      </c>
    </row>
    <row r="35" spans="1:3" x14ac:dyDescent="0.25">
      <c r="A35">
        <v>34</v>
      </c>
      <c r="B35" t="s">
        <v>135</v>
      </c>
      <c r="C35">
        <v>833</v>
      </c>
    </row>
    <row r="36" spans="1:3" x14ac:dyDescent="0.25">
      <c r="A36">
        <v>35</v>
      </c>
      <c r="B36" t="s">
        <v>824</v>
      </c>
      <c r="C36">
        <v>812</v>
      </c>
    </row>
    <row r="37" spans="1:3" x14ac:dyDescent="0.25">
      <c r="A37">
        <v>36</v>
      </c>
      <c r="B37" t="s">
        <v>124</v>
      </c>
      <c r="C37">
        <v>811</v>
      </c>
    </row>
    <row r="38" spans="1:3" x14ac:dyDescent="0.25">
      <c r="A38">
        <v>37</v>
      </c>
      <c r="B38" t="s">
        <v>412</v>
      </c>
      <c r="C38">
        <v>792</v>
      </c>
    </row>
    <row r="39" spans="1:3" x14ac:dyDescent="0.25">
      <c r="A39">
        <v>38</v>
      </c>
      <c r="B39" t="s">
        <v>234</v>
      </c>
      <c r="C39">
        <v>734</v>
      </c>
    </row>
    <row r="40" spans="1:3" x14ac:dyDescent="0.25">
      <c r="A40">
        <v>39</v>
      </c>
      <c r="B40" t="s">
        <v>1323</v>
      </c>
      <c r="C40">
        <v>718</v>
      </c>
    </row>
    <row r="41" spans="1:3" x14ac:dyDescent="0.25">
      <c r="A41">
        <v>40</v>
      </c>
      <c r="B41" t="s">
        <v>697</v>
      </c>
      <c r="C41">
        <v>695</v>
      </c>
    </row>
    <row r="42" spans="1:3" x14ac:dyDescent="0.25">
      <c r="A42">
        <v>41</v>
      </c>
      <c r="B42" t="s">
        <v>1322</v>
      </c>
      <c r="C42">
        <v>677</v>
      </c>
    </row>
    <row r="43" spans="1:3" x14ac:dyDescent="0.25">
      <c r="A43">
        <v>42</v>
      </c>
      <c r="B43" t="s">
        <v>752</v>
      </c>
      <c r="C43">
        <v>650</v>
      </c>
    </row>
    <row r="44" spans="1:3" x14ac:dyDescent="0.25">
      <c r="A44">
        <v>43</v>
      </c>
      <c r="B44" t="s">
        <v>109</v>
      </c>
      <c r="C44">
        <v>642</v>
      </c>
    </row>
    <row r="45" spans="1:3" x14ac:dyDescent="0.25">
      <c r="A45">
        <v>44</v>
      </c>
      <c r="B45" t="s">
        <v>1321</v>
      </c>
      <c r="C45">
        <v>633</v>
      </c>
    </row>
    <row r="46" spans="1:3" x14ac:dyDescent="0.25">
      <c r="A46">
        <v>45</v>
      </c>
      <c r="B46" t="s">
        <v>1320</v>
      </c>
      <c r="C46">
        <v>605</v>
      </c>
    </row>
    <row r="47" spans="1:3" x14ac:dyDescent="0.25">
      <c r="A47">
        <v>46</v>
      </c>
      <c r="B47" t="s">
        <v>1172</v>
      </c>
      <c r="C47">
        <v>503</v>
      </c>
    </row>
    <row r="48" spans="1:3" x14ac:dyDescent="0.25">
      <c r="A48">
        <v>47</v>
      </c>
      <c r="B48" t="s">
        <v>222</v>
      </c>
      <c r="C48">
        <v>495</v>
      </c>
    </row>
    <row r="49" spans="1:4" x14ac:dyDescent="0.25">
      <c r="A49">
        <v>48</v>
      </c>
      <c r="B49" s="96" t="s">
        <v>169</v>
      </c>
      <c r="C49">
        <v>483</v>
      </c>
      <c r="D49" t="s">
        <v>1582</v>
      </c>
    </row>
    <row r="50" spans="1:4" x14ac:dyDescent="0.25">
      <c r="A50">
        <v>49</v>
      </c>
      <c r="B50" t="s">
        <v>106</v>
      </c>
      <c r="C50">
        <v>468</v>
      </c>
    </row>
    <row r="51" spans="1:4" x14ac:dyDescent="0.25">
      <c r="A51">
        <v>50</v>
      </c>
      <c r="B51" t="s">
        <v>226</v>
      </c>
      <c r="C51">
        <v>468</v>
      </c>
    </row>
    <row r="52" spans="1:4" x14ac:dyDescent="0.25">
      <c r="A52">
        <v>51</v>
      </c>
      <c r="B52" t="s">
        <v>1160</v>
      </c>
      <c r="D52" t="s">
        <v>1583</v>
      </c>
    </row>
    <row r="53" spans="1:4" x14ac:dyDescent="0.25">
      <c r="A53">
        <v>52</v>
      </c>
      <c r="B53" t="s">
        <v>1161</v>
      </c>
      <c r="D53" t="s">
        <v>1583</v>
      </c>
    </row>
  </sheetData>
  <autoFilter ref="B1:D5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35"/>
  <sheetViews>
    <sheetView workbookViewId="0">
      <selection activeCell="K21" sqref="K21"/>
    </sheetView>
  </sheetViews>
  <sheetFormatPr defaultRowHeight="15" x14ac:dyDescent="0.25"/>
  <cols>
    <col min="11" max="11" width="47.28515625" bestFit="1" customWidth="1"/>
  </cols>
  <sheetData>
    <row r="1" spans="2:12" x14ac:dyDescent="0.25">
      <c r="B1" t="s">
        <v>1297</v>
      </c>
      <c r="D1" t="b">
        <f>B1=F1</f>
        <v>1</v>
      </c>
      <c r="F1" t="s">
        <v>1297</v>
      </c>
      <c r="K1" t="s">
        <v>817</v>
      </c>
      <c r="L1" t="s">
        <v>396</v>
      </c>
    </row>
    <row r="2" spans="2:12" x14ac:dyDescent="0.25">
      <c r="B2" t="s">
        <v>1538</v>
      </c>
      <c r="D2" t="b">
        <f t="shared" ref="D2:D33" si="0">B2=F2</f>
        <v>1</v>
      </c>
      <c r="F2" t="s">
        <v>1538</v>
      </c>
      <c r="K2" t="s">
        <v>380</v>
      </c>
      <c r="L2" t="s">
        <v>396</v>
      </c>
    </row>
    <row r="3" spans="2:12" x14ac:dyDescent="0.25">
      <c r="B3" t="s">
        <v>1347</v>
      </c>
      <c r="D3" t="b">
        <f t="shared" si="0"/>
        <v>1</v>
      </c>
      <c r="F3" t="s">
        <v>1347</v>
      </c>
      <c r="K3" t="s">
        <v>832</v>
      </c>
    </row>
    <row r="4" spans="2:12" x14ac:dyDescent="0.25">
      <c r="B4" t="s">
        <v>1298</v>
      </c>
      <c r="D4" t="b">
        <f t="shared" si="0"/>
        <v>1</v>
      </c>
      <c r="F4" t="s">
        <v>1298</v>
      </c>
      <c r="K4" t="s">
        <v>379</v>
      </c>
      <c r="L4" t="s">
        <v>396</v>
      </c>
    </row>
    <row r="5" spans="2:12" x14ac:dyDescent="0.25">
      <c r="B5" t="s">
        <v>1340</v>
      </c>
      <c r="D5" t="b">
        <f t="shared" si="0"/>
        <v>1</v>
      </c>
      <c r="F5" t="s">
        <v>1340</v>
      </c>
      <c r="K5" t="s">
        <v>1324</v>
      </c>
    </row>
    <row r="6" spans="2:12" x14ac:dyDescent="0.25">
      <c r="B6" t="s">
        <v>1413</v>
      </c>
      <c r="D6" t="b">
        <f t="shared" si="0"/>
        <v>1</v>
      </c>
      <c r="F6" t="s">
        <v>1413</v>
      </c>
      <c r="K6" t="s">
        <v>295</v>
      </c>
    </row>
    <row r="7" spans="2:12" x14ac:dyDescent="0.25">
      <c r="B7" t="s">
        <v>1343</v>
      </c>
      <c r="D7" t="b">
        <f t="shared" si="0"/>
        <v>1</v>
      </c>
      <c r="F7" t="s">
        <v>1343</v>
      </c>
      <c r="K7" t="s">
        <v>757</v>
      </c>
    </row>
    <row r="8" spans="2:12" x14ac:dyDescent="0.25">
      <c r="B8" t="s">
        <v>1345</v>
      </c>
      <c r="D8" t="b">
        <f t="shared" si="0"/>
        <v>1</v>
      </c>
      <c r="F8" t="s">
        <v>1345</v>
      </c>
      <c r="K8" t="s">
        <v>276</v>
      </c>
    </row>
    <row r="9" spans="2:12" x14ac:dyDescent="0.25">
      <c r="B9" t="s">
        <v>1342</v>
      </c>
      <c r="D9" t="b">
        <f t="shared" si="0"/>
        <v>1</v>
      </c>
      <c r="F9" t="s">
        <v>1342</v>
      </c>
      <c r="K9" t="s">
        <v>766</v>
      </c>
    </row>
    <row r="10" spans="2:12" x14ac:dyDescent="0.25">
      <c r="B10" t="s">
        <v>1344</v>
      </c>
      <c r="D10" t="b">
        <f t="shared" si="0"/>
        <v>1</v>
      </c>
      <c r="F10" t="s">
        <v>1344</v>
      </c>
      <c r="K10" t="s">
        <v>765</v>
      </c>
    </row>
    <row r="11" spans="2:12" x14ac:dyDescent="0.25">
      <c r="B11" t="s">
        <v>1299</v>
      </c>
      <c r="D11" t="b">
        <f t="shared" si="0"/>
        <v>1</v>
      </c>
      <c r="F11" t="s">
        <v>1299</v>
      </c>
      <c r="K11" t="s">
        <v>695</v>
      </c>
    </row>
    <row r="12" spans="2:12" x14ac:dyDescent="0.25">
      <c r="B12" t="s">
        <v>1301</v>
      </c>
      <c r="D12" t="b">
        <f t="shared" si="0"/>
        <v>1</v>
      </c>
      <c r="F12" t="s">
        <v>1301</v>
      </c>
      <c r="K12" t="s">
        <v>394</v>
      </c>
    </row>
    <row r="13" spans="2:12" x14ac:dyDescent="0.25">
      <c r="B13" t="s">
        <v>1346</v>
      </c>
      <c r="D13" t="b">
        <f t="shared" si="0"/>
        <v>1</v>
      </c>
      <c r="F13" t="s">
        <v>1346</v>
      </c>
      <c r="K13" t="s">
        <v>809</v>
      </c>
    </row>
    <row r="14" spans="2:12" x14ac:dyDescent="0.25">
      <c r="B14" t="s">
        <v>1350</v>
      </c>
      <c r="D14" t="b">
        <f t="shared" si="0"/>
        <v>1</v>
      </c>
      <c r="F14" t="s">
        <v>1350</v>
      </c>
      <c r="K14" t="s">
        <v>783</v>
      </c>
    </row>
    <row r="15" spans="2:12" x14ac:dyDescent="0.25">
      <c r="B15" t="s">
        <v>1349</v>
      </c>
      <c r="D15" t="b">
        <f t="shared" si="0"/>
        <v>1</v>
      </c>
      <c r="F15" t="s">
        <v>1349</v>
      </c>
      <c r="K15" t="s">
        <v>824</v>
      </c>
    </row>
    <row r="16" spans="2:12" x14ac:dyDescent="0.25">
      <c r="B16" t="s">
        <v>1537</v>
      </c>
      <c r="D16" t="b">
        <f t="shared" si="0"/>
        <v>1</v>
      </c>
      <c r="F16" t="s">
        <v>1537</v>
      </c>
      <c r="K16" t="s">
        <v>412</v>
      </c>
    </row>
    <row r="17" spans="2:11" x14ac:dyDescent="0.25">
      <c r="B17" t="s">
        <v>1338</v>
      </c>
      <c r="D17" t="b">
        <f t="shared" si="0"/>
        <v>1</v>
      </c>
      <c r="F17" t="s">
        <v>1338</v>
      </c>
      <c r="K17" t="s">
        <v>1323</v>
      </c>
    </row>
    <row r="18" spans="2:11" x14ac:dyDescent="0.25">
      <c r="B18" t="s">
        <v>1339</v>
      </c>
      <c r="D18" t="b">
        <f t="shared" si="0"/>
        <v>1</v>
      </c>
      <c r="F18" t="s">
        <v>1339</v>
      </c>
      <c r="K18" t="s">
        <v>697</v>
      </c>
    </row>
    <row r="19" spans="2:11" x14ac:dyDescent="0.25">
      <c r="B19" t="s">
        <v>1337</v>
      </c>
      <c r="D19" t="b">
        <f t="shared" si="0"/>
        <v>1</v>
      </c>
      <c r="F19" t="s">
        <v>1337</v>
      </c>
      <c r="K19" t="s">
        <v>1322</v>
      </c>
    </row>
    <row r="20" spans="2:11" x14ac:dyDescent="0.25">
      <c r="B20" t="s">
        <v>1536</v>
      </c>
      <c r="D20" t="b">
        <f t="shared" si="0"/>
        <v>1</v>
      </c>
      <c r="F20" t="s">
        <v>1536</v>
      </c>
      <c r="K20" t="s">
        <v>752</v>
      </c>
    </row>
    <row r="21" spans="2:11" x14ac:dyDescent="0.25">
      <c r="B21" t="s">
        <v>1336</v>
      </c>
      <c r="D21" t="b">
        <f t="shared" si="0"/>
        <v>1</v>
      </c>
      <c r="F21" t="s">
        <v>1336</v>
      </c>
      <c r="K21" t="s">
        <v>1321</v>
      </c>
    </row>
    <row r="22" spans="2:11" x14ac:dyDescent="0.25">
      <c r="B22" t="s">
        <v>1328</v>
      </c>
      <c r="D22" t="b">
        <f t="shared" si="0"/>
        <v>1</v>
      </c>
      <c r="F22" t="s">
        <v>1328</v>
      </c>
      <c r="K22" t="s">
        <v>1320</v>
      </c>
    </row>
    <row r="23" spans="2:11" x14ac:dyDescent="0.25">
      <c r="B23" t="s">
        <v>1412</v>
      </c>
      <c r="D23" t="b">
        <f t="shared" si="0"/>
        <v>1</v>
      </c>
      <c r="F23" t="s">
        <v>1412</v>
      </c>
      <c r="K23" t="s">
        <v>1160</v>
      </c>
    </row>
    <row r="24" spans="2:11" x14ac:dyDescent="0.25">
      <c r="B24" t="s">
        <v>1411</v>
      </c>
      <c r="D24" t="b">
        <f t="shared" si="0"/>
        <v>1</v>
      </c>
      <c r="F24" t="s">
        <v>1411</v>
      </c>
      <c r="K24" t="s">
        <v>1161</v>
      </c>
    </row>
    <row r="25" spans="2:11" x14ac:dyDescent="0.25">
      <c r="B25" t="s">
        <v>1334</v>
      </c>
      <c r="D25" t="b">
        <f t="shared" si="0"/>
        <v>1</v>
      </c>
      <c r="F25" t="s">
        <v>1334</v>
      </c>
    </row>
    <row r="26" spans="2:11" x14ac:dyDescent="0.25">
      <c r="B26" t="s">
        <v>1348</v>
      </c>
      <c r="D26" t="b">
        <f t="shared" si="0"/>
        <v>1</v>
      </c>
      <c r="F26" t="s">
        <v>1348</v>
      </c>
    </row>
    <row r="27" spans="2:11" x14ac:dyDescent="0.25">
      <c r="B27" t="s">
        <v>1515</v>
      </c>
      <c r="D27" t="b">
        <f t="shared" si="0"/>
        <v>1</v>
      </c>
      <c r="F27" t="s">
        <v>1515</v>
      </c>
    </row>
    <row r="28" spans="2:11" x14ac:dyDescent="0.25">
      <c r="B28" t="s">
        <v>1331</v>
      </c>
      <c r="D28" t="b">
        <f t="shared" si="0"/>
        <v>1</v>
      </c>
      <c r="F28" t="s">
        <v>1331</v>
      </c>
    </row>
    <row r="29" spans="2:11" x14ac:dyDescent="0.25">
      <c r="B29" t="s">
        <v>1335</v>
      </c>
      <c r="D29" t="b">
        <f t="shared" si="0"/>
        <v>1</v>
      </c>
      <c r="F29" t="s">
        <v>1335</v>
      </c>
    </row>
    <row r="30" spans="2:11" x14ac:dyDescent="0.25">
      <c r="B30" t="s">
        <v>1332</v>
      </c>
      <c r="D30" t="b">
        <f t="shared" si="0"/>
        <v>1</v>
      </c>
      <c r="F30" t="s">
        <v>1332</v>
      </c>
    </row>
    <row r="31" spans="2:11" x14ac:dyDescent="0.25">
      <c r="B31" t="s">
        <v>1333</v>
      </c>
      <c r="D31" t="b">
        <f t="shared" si="0"/>
        <v>1</v>
      </c>
      <c r="F31" t="s">
        <v>1333</v>
      </c>
    </row>
    <row r="32" spans="2:11" x14ac:dyDescent="0.25">
      <c r="B32" t="s">
        <v>1318</v>
      </c>
      <c r="D32" t="b">
        <f t="shared" si="0"/>
        <v>1</v>
      </c>
      <c r="F32" t="s">
        <v>1318</v>
      </c>
    </row>
    <row r="33" spans="2:6" x14ac:dyDescent="0.25">
      <c r="B33" t="s">
        <v>1341</v>
      </c>
      <c r="D33" t="b">
        <f t="shared" si="0"/>
        <v>1</v>
      </c>
      <c r="F33" t="s">
        <v>1341</v>
      </c>
    </row>
    <row r="34" spans="2:6" x14ac:dyDescent="0.25">
      <c r="F34" t="s">
        <v>1585</v>
      </c>
    </row>
    <row r="35" spans="2:6" x14ac:dyDescent="0.25">
      <c r="F35" t="s">
        <v>1587</v>
      </c>
    </row>
  </sheetData>
  <sortState xmlns:xlrd2="http://schemas.microsoft.com/office/spreadsheetml/2017/richdata2" ref="F1:F33">
    <sortCondition ref="F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D1:F48"/>
  <sheetViews>
    <sheetView workbookViewId="0">
      <selection activeCell="D1" sqref="D1:D35"/>
    </sheetView>
  </sheetViews>
  <sheetFormatPr defaultRowHeight="15" x14ac:dyDescent="0.25"/>
  <cols>
    <col min="3" max="3" width="2.28515625" bestFit="1" customWidth="1"/>
    <col min="4" max="4" width="21.42578125" bestFit="1" customWidth="1"/>
    <col min="5" max="5" width="11.140625" bestFit="1" customWidth="1"/>
    <col min="6" max="6" width="28.5703125" bestFit="1" customWidth="1"/>
    <col min="7" max="7" width="6.140625" bestFit="1" customWidth="1"/>
    <col min="8" max="8" width="42.140625" bestFit="1" customWidth="1"/>
    <col min="9" max="9" width="1.5703125" bestFit="1" customWidth="1"/>
  </cols>
  <sheetData>
    <row r="1" spans="4:5" x14ac:dyDescent="0.25">
      <c r="D1" t="s">
        <v>1411</v>
      </c>
      <c r="E1" t="s">
        <v>1106</v>
      </c>
    </row>
    <row r="2" spans="4:5" x14ac:dyDescent="0.25">
      <c r="D2" t="s">
        <v>1297</v>
      </c>
      <c r="E2" t="s">
        <v>1106</v>
      </c>
    </row>
    <row r="3" spans="4:5" x14ac:dyDescent="0.25">
      <c r="D3" t="s">
        <v>1536</v>
      </c>
      <c r="E3" t="s">
        <v>1106</v>
      </c>
    </row>
    <row r="4" spans="4:5" x14ac:dyDescent="0.25">
      <c r="D4" t="s">
        <v>1412</v>
      </c>
      <c r="E4" t="s">
        <v>1106</v>
      </c>
    </row>
    <row r="5" spans="4:5" x14ac:dyDescent="0.25">
      <c r="D5" t="s">
        <v>1537</v>
      </c>
      <c r="E5" t="s">
        <v>1106</v>
      </c>
    </row>
    <row r="6" spans="4:5" x14ac:dyDescent="0.25">
      <c r="D6" t="s">
        <v>1538</v>
      </c>
      <c r="E6" t="s">
        <v>1106</v>
      </c>
    </row>
    <row r="7" spans="4:5" x14ac:dyDescent="0.25">
      <c r="D7" t="s">
        <v>1413</v>
      </c>
      <c r="E7" t="s">
        <v>1106</v>
      </c>
    </row>
    <row r="8" spans="4:5" x14ac:dyDescent="0.25">
      <c r="D8" t="s">
        <v>1298</v>
      </c>
      <c r="E8" t="s">
        <v>1106</v>
      </c>
    </row>
    <row r="9" spans="4:5" x14ac:dyDescent="0.25">
      <c r="D9" t="s">
        <v>1515</v>
      </c>
      <c r="E9" t="s">
        <v>1106</v>
      </c>
    </row>
    <row r="10" spans="4:5" x14ac:dyDescent="0.25">
      <c r="D10" t="s">
        <v>1301</v>
      </c>
      <c r="E10" t="s">
        <v>1106</v>
      </c>
    </row>
    <row r="11" spans="4:5" x14ac:dyDescent="0.25">
      <c r="D11" t="s">
        <v>1331</v>
      </c>
      <c r="E11" t="s">
        <v>1106</v>
      </c>
    </row>
    <row r="12" spans="4:5" x14ac:dyDescent="0.25">
      <c r="D12" t="s">
        <v>1332</v>
      </c>
      <c r="E12" t="s">
        <v>1106</v>
      </c>
    </row>
    <row r="13" spans="4:5" x14ac:dyDescent="0.25">
      <c r="D13" t="s">
        <v>1333</v>
      </c>
      <c r="E13" t="s">
        <v>1106</v>
      </c>
    </row>
    <row r="14" spans="4:5" x14ac:dyDescent="0.25">
      <c r="D14" t="s">
        <v>1334</v>
      </c>
      <c r="E14" t="s">
        <v>1106</v>
      </c>
    </row>
    <row r="15" spans="4:5" x14ac:dyDescent="0.25">
      <c r="D15" t="s">
        <v>1335</v>
      </c>
      <c r="E15" t="s">
        <v>1106</v>
      </c>
    </row>
    <row r="16" spans="4:5" x14ac:dyDescent="0.25">
      <c r="D16" t="s">
        <v>1336</v>
      </c>
      <c r="E16" t="s">
        <v>1106</v>
      </c>
    </row>
    <row r="17" spans="4:5" x14ac:dyDescent="0.25">
      <c r="D17" t="s">
        <v>1337</v>
      </c>
      <c r="E17" t="s">
        <v>1106</v>
      </c>
    </row>
    <row r="18" spans="4:5" x14ac:dyDescent="0.25">
      <c r="D18" t="s">
        <v>1338</v>
      </c>
      <c r="E18" t="s">
        <v>1106</v>
      </c>
    </row>
    <row r="19" spans="4:5" x14ac:dyDescent="0.25">
      <c r="D19" t="s">
        <v>1339</v>
      </c>
      <c r="E19" t="s">
        <v>1106</v>
      </c>
    </row>
    <row r="20" spans="4:5" x14ac:dyDescent="0.25">
      <c r="D20" t="s">
        <v>1340</v>
      </c>
      <c r="E20" t="s">
        <v>1106</v>
      </c>
    </row>
    <row r="21" spans="4:5" x14ac:dyDescent="0.25">
      <c r="D21" t="s">
        <v>1341</v>
      </c>
      <c r="E21" t="s">
        <v>1106</v>
      </c>
    </row>
    <row r="22" spans="4:5" x14ac:dyDescent="0.25">
      <c r="D22" t="s">
        <v>1342</v>
      </c>
      <c r="E22" t="s">
        <v>1106</v>
      </c>
    </row>
    <row r="23" spans="4:5" x14ac:dyDescent="0.25">
      <c r="D23" t="s">
        <v>1343</v>
      </c>
      <c r="E23" t="s">
        <v>1106</v>
      </c>
    </row>
    <row r="24" spans="4:5" x14ac:dyDescent="0.25">
      <c r="D24" t="s">
        <v>1344</v>
      </c>
      <c r="E24" t="s">
        <v>1106</v>
      </c>
    </row>
    <row r="25" spans="4:5" x14ac:dyDescent="0.25">
      <c r="D25" t="s">
        <v>1345</v>
      </c>
      <c r="E25" t="s">
        <v>1106</v>
      </c>
    </row>
    <row r="26" spans="4:5" x14ac:dyDescent="0.25">
      <c r="D26" t="s">
        <v>1318</v>
      </c>
      <c r="E26" t="s">
        <v>1106</v>
      </c>
    </row>
    <row r="27" spans="4:5" x14ac:dyDescent="0.25">
      <c r="D27" t="s">
        <v>1328</v>
      </c>
      <c r="E27" t="s">
        <v>1106</v>
      </c>
    </row>
    <row r="28" spans="4:5" x14ac:dyDescent="0.25">
      <c r="D28" t="s">
        <v>1346</v>
      </c>
      <c r="E28" t="s">
        <v>1106</v>
      </c>
    </row>
    <row r="29" spans="4:5" x14ac:dyDescent="0.25">
      <c r="D29" t="s">
        <v>1347</v>
      </c>
      <c r="E29" t="s">
        <v>1106</v>
      </c>
    </row>
    <row r="30" spans="4:5" x14ac:dyDescent="0.25">
      <c r="D30" t="s">
        <v>1299</v>
      </c>
      <c r="E30" t="s">
        <v>1106</v>
      </c>
    </row>
    <row r="31" spans="4:5" x14ac:dyDescent="0.25">
      <c r="D31" t="s">
        <v>1348</v>
      </c>
      <c r="E31" t="s">
        <v>1106</v>
      </c>
    </row>
    <row r="32" spans="4:5" x14ac:dyDescent="0.25">
      <c r="D32" t="s">
        <v>1349</v>
      </c>
      <c r="E32" t="s">
        <v>1106</v>
      </c>
    </row>
    <row r="33" spans="4:6" x14ac:dyDescent="0.25">
      <c r="D33" t="s">
        <v>1350</v>
      </c>
      <c r="E33" t="s">
        <v>1106</v>
      </c>
    </row>
    <row r="34" spans="4:6" x14ac:dyDescent="0.25">
      <c r="D34" t="s">
        <v>1585</v>
      </c>
      <c r="E34" t="s">
        <v>1586</v>
      </c>
    </row>
    <row r="35" spans="4:6" x14ac:dyDescent="0.25">
      <c r="D35" t="s">
        <v>1587</v>
      </c>
      <c r="E35" t="s">
        <v>1586</v>
      </c>
    </row>
    <row r="48" spans="4:6" x14ac:dyDescent="0.25">
      <c r="F48" s="99"/>
    </row>
  </sheetData>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1:F61"/>
  <sheetViews>
    <sheetView workbookViewId="0">
      <selection activeCell="E2" sqref="E2:E52"/>
    </sheetView>
  </sheetViews>
  <sheetFormatPr defaultRowHeight="15" x14ac:dyDescent="0.25"/>
  <cols>
    <col min="5" max="5" width="85.42578125" bestFit="1" customWidth="1"/>
    <col min="6" max="6" width="58.140625" bestFit="1" customWidth="1"/>
  </cols>
  <sheetData>
    <row r="1" spans="4:6" x14ac:dyDescent="0.25">
      <c r="E1" t="s">
        <v>1573</v>
      </c>
      <c r="F1" t="s">
        <v>1368</v>
      </c>
    </row>
    <row r="2" spans="4:6" x14ac:dyDescent="0.25">
      <c r="D2" s="54" t="s">
        <v>1227</v>
      </c>
      <c r="E2" t="str">
        <f>$E$1&amp;D2&amp;"_"&amp;F2&amp;$F$1</f>
        <v>def test_11_sp_dpt_fbi_001_success_fixed_deposit_account_status_new_no_passbook(self, user):assert '', f"Expected: ..., Actual: response Json:"</v>
      </c>
      <c r="F2" t="s">
        <v>1541</v>
      </c>
    </row>
    <row r="3" spans="4:6" x14ac:dyDescent="0.25">
      <c r="D3" s="54" t="s">
        <v>1228</v>
      </c>
      <c r="E3" t="str">
        <f t="shared" ref="E3:E61" si="0">$E$1&amp;D3&amp;"_"&amp;F3&amp;$F$1</f>
        <v>def test_11_sp_dpt_fbi_002_success_fixed_deposit_account_status_normal_no_passbook(self, user):assert '', f"Expected: ..., Actual: response Json:"</v>
      </c>
      <c r="F3" t="s">
        <v>1542</v>
      </c>
    </row>
    <row r="4" spans="4:6" x14ac:dyDescent="0.25">
      <c r="D4" s="54" t="s">
        <v>1229</v>
      </c>
      <c r="E4" t="str">
        <f t="shared" si="0"/>
        <v>def test_11_sp_dpt_fbi_003_success_fixed_deposit_account_status_maturity_no_passbook(self, user):assert '', f"Expected: ..., Actual: response Json:"</v>
      </c>
      <c r="F4" t="s">
        <v>1543</v>
      </c>
    </row>
    <row r="5" spans="4:6" x14ac:dyDescent="0.25">
      <c r="D5" s="54" t="s">
        <v>1230</v>
      </c>
      <c r="E5" t="str">
        <f t="shared" si="0"/>
        <v>def test_11_sp_dpt_fbi_004_success_fixed_deposit_account_status_new_has_passbook(self, user):assert '', f"Expected: ..., Actual: response Json:"</v>
      </c>
      <c r="F5" t="s">
        <v>1544</v>
      </c>
    </row>
    <row r="6" spans="4:6" x14ac:dyDescent="0.25">
      <c r="D6" s="54" t="s">
        <v>1231</v>
      </c>
      <c r="E6" t="str">
        <f t="shared" si="0"/>
        <v>def test_11_sp_dpt_fbi_005_success_fixed_deposit_account_status_normal_has_passbook(self, user):assert '', f"Expected: ..., Actual: response Json:"</v>
      </c>
      <c r="F6" t="s">
        <v>1545</v>
      </c>
    </row>
    <row r="7" spans="4:6" x14ac:dyDescent="0.25">
      <c r="D7" s="54" t="s">
        <v>1232</v>
      </c>
      <c r="E7" t="str">
        <f t="shared" si="0"/>
        <v>def test_11_sp_dpt_fbi_006_success_fixed_deposit_account_status_maturity_has_passbook(self, user):assert '', f"Expected: ..., Actual: response Json:"</v>
      </c>
      <c r="F7" t="s">
        <v>1546</v>
      </c>
    </row>
    <row r="8" spans="4:6" x14ac:dyDescent="0.25">
      <c r="D8" s="54" t="s">
        <v>1233</v>
      </c>
      <c r="E8" t="str">
        <f t="shared" si="0"/>
        <v>def test_11_sp_dpt_fbi_007_success_fixed_deposit_account_status_new_no_passbook_add_fee_cash(self, user):assert '', f"Expected: ..., Actual: response Json:"</v>
      </c>
      <c r="F8" t="s">
        <v>1547</v>
      </c>
    </row>
    <row r="9" spans="4:6" x14ac:dyDescent="0.25">
      <c r="D9" s="54" t="s">
        <v>1234</v>
      </c>
      <c r="E9" t="str">
        <f t="shared" si="0"/>
        <v>def test_11_sp_dpt_fbi_008_success_fixed_deposit_account_status_normal_no_passbook_add_fee_deposit_current(self, user):assert '', f"Expected: ..., Actual: response Json:"</v>
      </c>
      <c r="F9" t="s">
        <v>1548</v>
      </c>
    </row>
    <row r="10" spans="4:6" x14ac:dyDescent="0.25">
      <c r="D10" s="54" t="s">
        <v>1235</v>
      </c>
      <c r="E10" t="str">
        <f t="shared" si="0"/>
        <v>def test_11_sp_dpt_fbi_009_success_fixed_deposit_account_status_normal_has_passbook_add_fee_deposit_saving(self, user):assert '', f"Expected: ..., Actual: response Json:"</v>
      </c>
      <c r="F10" t="s">
        <v>1549</v>
      </c>
    </row>
    <row r="11" spans="4:6" x14ac:dyDescent="0.25">
      <c r="D11" s="54" t="s">
        <v>1236</v>
      </c>
      <c r="E11" t="str">
        <f t="shared" si="0"/>
        <v>def test_11_sp_dpt_fbi_010_success_fixed_deposit_account_status_dormant_has_passbook_add_fee_accounting(self, user):assert '', f"Expected: ..., Actual: response Json:"</v>
      </c>
      <c r="F11" s="98" t="s">
        <v>1550</v>
      </c>
    </row>
    <row r="12" spans="4:6" x14ac:dyDescent="0.25">
      <c r="D12" s="54" t="s">
        <v>1237</v>
      </c>
      <c r="E12" t="str">
        <f t="shared" si="0"/>
        <v>def test_11_sp_dpt_fbi_011_error_current_account(self, user):assert '', f"Expected: ..., Actual: response Json:"</v>
      </c>
      <c r="F12" t="s">
        <v>1517</v>
      </c>
    </row>
    <row r="13" spans="4:6" x14ac:dyDescent="0.25">
      <c r="D13" s="54" t="s">
        <v>1238</v>
      </c>
      <c r="E13" t="str">
        <f t="shared" si="0"/>
        <v>def test_11_sp_dpt_fbi_012_error_saving_account(self, user):assert '', f"Expected: ..., Actual: response Json:"</v>
      </c>
      <c r="F13" t="s">
        <v>1551</v>
      </c>
    </row>
    <row r="14" spans="4:6" x14ac:dyDescent="0.25">
      <c r="D14" s="54" t="s">
        <v>1239</v>
      </c>
      <c r="E14" t="str">
        <f t="shared" si="0"/>
        <v>def test_11_sp_dpt_fbi_013_error_prepaid_fixed_deposit_account(self, user):assert '', f"Expected: ..., Actual: response Json:"</v>
      </c>
      <c r="F14" t="s">
        <v>1518</v>
      </c>
    </row>
    <row r="15" spans="4:6" x14ac:dyDescent="0.25">
      <c r="D15" s="54" t="s">
        <v>1240</v>
      </c>
      <c r="E15" t="str">
        <f t="shared" si="0"/>
        <v>def test_11_sp_dpt_fbi_014_error_fixed_deposit_account_status_closed(self, user):assert '', f"Expected: ..., Actual: response Json:"</v>
      </c>
      <c r="F15" t="s">
        <v>1552</v>
      </c>
    </row>
    <row r="16" spans="4:6" x14ac:dyDescent="0.25">
      <c r="D16" s="54" t="s">
        <v>1241</v>
      </c>
      <c r="E16" t="str">
        <f t="shared" si="0"/>
        <v>def test_11_sp_dpt_fbi_015_error_fixed_deposit_account_status_block(self, user):assert '', f"Expected: ..., Actual: response Json:"</v>
      </c>
      <c r="F16" s="98" t="s">
        <v>1553</v>
      </c>
    </row>
    <row r="17" spans="4:6" x14ac:dyDescent="0.25">
      <c r="D17" s="54" t="s">
        <v>1242</v>
      </c>
      <c r="E17" t="str">
        <f t="shared" si="0"/>
        <v>def test_11_sp_dpt_fbi_016_error_fixed_deposit_account_status_pending(self, user):assert '', f"Expected: ..., Actual: response Json:"</v>
      </c>
      <c r="F17" t="s">
        <v>1554</v>
      </c>
    </row>
    <row r="18" spans="4:6" x14ac:dyDescent="0.25">
      <c r="D18" s="54" t="s">
        <v>1243</v>
      </c>
      <c r="E18" t="str">
        <f t="shared" si="0"/>
        <v>def test_11_sp_dpt_fbi_017_error_fixed_deposit_account_has_passbook_normal(self, user):assert '', f"Expected: ..., Actual: response Json:"</v>
      </c>
      <c r="F18" t="s">
        <v>1555</v>
      </c>
    </row>
    <row r="19" spans="4:6" x14ac:dyDescent="0.25">
      <c r="D19" s="54" t="s">
        <v>1244</v>
      </c>
      <c r="E19" t="str">
        <f t="shared" si="0"/>
        <v>def test_11_sp_dpt_fbi_018_error_fixed_deposit_account_has_passbook_stop_payment(self, user):assert '', f"Expected: ..., Actual: response Json:"</v>
      </c>
      <c r="F19" s="100" t="s">
        <v>1556</v>
      </c>
    </row>
    <row r="20" spans="4:6" x14ac:dyDescent="0.25">
      <c r="D20" s="54" t="s">
        <v>1245</v>
      </c>
      <c r="E20" t="str">
        <f t="shared" si="0"/>
        <v>def test_11_sp_dpt_fbi_019_error_fixed_deposit_account_add_fee_fixed_deposit(self, user):assert '', f"Expected: ..., Actual: response Json:"</v>
      </c>
      <c r="F20" t="s">
        <v>1557</v>
      </c>
    </row>
    <row r="21" spans="4:6" x14ac:dyDescent="0.25">
      <c r="D21" s="54" t="s">
        <v>1246</v>
      </c>
      <c r="E21" t="str">
        <f t="shared" si="0"/>
        <v>def test_11_sp_dpt_fbi_020_error_fixed_deposit_account_add_fee_prepaid_fixed_deposit(self, user):assert '', f"Expected: ..., Actual: response Json:"</v>
      </c>
      <c r="F21" t="s">
        <v>1558</v>
      </c>
    </row>
    <row r="22" spans="4:6" x14ac:dyDescent="0.25">
      <c r="D22" s="54" t="s">
        <v>1247</v>
      </c>
      <c r="E22" t="str">
        <f t="shared" si="0"/>
        <v>def test_11_sp_dpt_fbi_021_error_fixed_deposit_account_add_fee_deposit_status_closed(self, user):assert '', f"Expected: ..., Actual: response Json:"</v>
      </c>
      <c r="F22" t="s">
        <v>1559</v>
      </c>
    </row>
    <row r="23" spans="4:6" x14ac:dyDescent="0.25">
      <c r="D23" s="54" t="s">
        <v>1248</v>
      </c>
      <c r="E23" t="str">
        <f t="shared" si="0"/>
        <v>def test_11_sp_dpt_fbi_022_error_fixed_deposit_account_add_fee_deposit_status_block(self, user):assert '', f"Expected: ..., Actual: response Json:"</v>
      </c>
      <c r="F23" t="s">
        <v>1560</v>
      </c>
    </row>
    <row r="24" spans="4:6" x14ac:dyDescent="0.25">
      <c r="D24" s="54" t="s">
        <v>1249</v>
      </c>
      <c r="E24" t="str">
        <f t="shared" si="0"/>
        <v>def test_11_sp_dpt_fbi_023_error_fixed_deposit_account_add_fee_deposit_status_pending(self, user):assert '', f"Expected: ..., Actual: response Json:"</v>
      </c>
      <c r="F24" t="s">
        <v>1561</v>
      </c>
    </row>
    <row r="25" spans="4:6" x14ac:dyDescent="0.25">
      <c r="D25" s="54" t="s">
        <v>1250</v>
      </c>
      <c r="E25" t="str">
        <f t="shared" si="0"/>
        <v>def test_11_sp_dpt_fbi_024_error_fixed_deposit_account_add_fee_deposit_status_new(self, user):assert '', f"Expected: ..., Actual: response Json:"</v>
      </c>
      <c r="F25" t="s">
        <v>1562</v>
      </c>
    </row>
    <row r="26" spans="4:6" x14ac:dyDescent="0.25">
      <c r="D26" s="54" t="s">
        <v>1251</v>
      </c>
      <c r="E26" t="str">
        <f t="shared" si="0"/>
        <v>def test_11_sp_dpt_fbi_025_error_fixed_deposit_account_add_fee_deposit_status_dormant(self, user):assert '', f"Expected: ..., Actual: response Json:"</v>
      </c>
      <c r="F26" t="s">
        <v>1563</v>
      </c>
    </row>
    <row r="27" spans="4:6" x14ac:dyDescent="0.25">
      <c r="D27" s="54" t="s">
        <v>1252</v>
      </c>
      <c r="E27" t="str">
        <f t="shared" si="0"/>
        <v>def test_11_sp_dpt_fbi_026_error_fixed_deposit_account_add_fee_deposit_bigger_available_balance(self, user):assert '', f"Expected: ..., Actual: response Json:"</v>
      </c>
      <c r="F27" t="s">
        <v>1564</v>
      </c>
    </row>
    <row r="28" spans="4:6" x14ac:dyDescent="0.25">
      <c r="D28" s="54" t="s">
        <v>1253</v>
      </c>
      <c r="E28" t="str">
        <f t="shared" si="0"/>
        <v>def test_11_sp_dpt_fbi_027_error_fixed_deposit_account_add_fee_deposit_not_same_currency(self, user):assert '', f"Expected: ..., Actual: response Json:"</v>
      </c>
      <c r="F28" t="s">
        <v>1565</v>
      </c>
    </row>
    <row r="29" spans="4:6" x14ac:dyDescent="0.25">
      <c r="D29" s="54" t="s">
        <v>1254</v>
      </c>
      <c r="E29" t="str">
        <f t="shared" si="0"/>
        <v>def test_11_sp_dpt_fbi_028_error_fixed_deposit_account_add_fee_accounting_posting_side_is_credit(self, user):assert '', f"Expected: ..., Actual: response Json:"</v>
      </c>
      <c r="F29" t="s">
        <v>1566</v>
      </c>
    </row>
    <row r="30" spans="4:6" x14ac:dyDescent="0.25">
      <c r="D30" s="54" t="s">
        <v>1255</v>
      </c>
      <c r="E30" t="str">
        <f t="shared" si="0"/>
        <v>def test_11_sp_dpt_fbi_029_error_fixed_deposit_account_add_fee_accounting_level_not_9(self, user):assert '', f"Expected: ..., Actual: response Json:"</v>
      </c>
      <c r="F30" t="s">
        <v>1567</v>
      </c>
    </row>
    <row r="31" spans="4:6" x14ac:dyDescent="0.25">
      <c r="D31" s="54" t="s">
        <v>1256</v>
      </c>
      <c r="E31" t="str">
        <f t="shared" si="0"/>
        <v>def test_11_sp_dpt_fbi_030_error_fixed_deposit_account_add_fee_accounting_not_same_currency(self, user):assert '', f"Expected: ..., Actual: response Json:"</v>
      </c>
      <c r="F31" t="s">
        <v>1568</v>
      </c>
    </row>
    <row r="32" spans="4:6" x14ac:dyDescent="0.25">
      <c r="D32" s="54" t="s">
        <v>1257</v>
      </c>
      <c r="E32" t="str">
        <f t="shared" si="0"/>
        <v>def test_11_sp_dpt_fbi_031_error_fixed_deposit_account_add_fee_accounting_not_same_branch(self, user):assert '', f"Expected: ..., Actual: response Json:"</v>
      </c>
      <c r="F32" t="s">
        <v>1569</v>
      </c>
    </row>
    <row r="33" spans="4:6" x14ac:dyDescent="0.25">
      <c r="D33" s="54" t="s">
        <v>1258</v>
      </c>
      <c r="E33" t="str">
        <f t="shared" si="0"/>
        <v>def test_11_sp_dpt_fbi_032_error_fixed_deposit_account_add_fee_accounting_group_is_cash(self, user):assert '', f"Expected: ..., Actual: response Json:"</v>
      </c>
      <c r="F33" t="s">
        <v>1570</v>
      </c>
    </row>
    <row r="34" spans="4:6" x14ac:dyDescent="0.25">
      <c r="D34" s="54" t="s">
        <v>1259</v>
      </c>
      <c r="E34" t="str">
        <f t="shared" si="0"/>
        <v>def test_11_sp_dpt_fbi_033_error_fixed_deposit_account_add_fee_accounting_direct_posting_is_no(self, user):assert '', f"Expected: ..., Actual: response Json:"</v>
      </c>
      <c r="F34" t="s">
        <v>1571</v>
      </c>
    </row>
    <row r="35" spans="4:6" x14ac:dyDescent="0.25">
      <c r="D35" s="54" t="s">
        <v>1260</v>
      </c>
      <c r="E35" t="str">
        <f t="shared" si="0"/>
        <v>def test_11_sp_dpt_fbi_034_error_account_number_is_empty(self, user):assert '', f"Expected: ..., Actual: response Json:"</v>
      </c>
      <c r="F35" t="s">
        <v>1519</v>
      </c>
    </row>
    <row r="36" spans="4:6" x14ac:dyDescent="0.25">
      <c r="D36" s="54" t="s">
        <v>1261</v>
      </c>
      <c r="E36" t="str">
        <f t="shared" si="0"/>
        <v>def test_11_sp_dpt_fbi_035_error_account_number_is_null(self, user):assert '', f"Expected: ..., Actual: response Json:"</v>
      </c>
      <c r="F36" t="s">
        <v>1520</v>
      </c>
    </row>
    <row r="37" spans="4:6" x14ac:dyDescent="0.25">
      <c r="D37" s="54" t="s">
        <v>1262</v>
      </c>
      <c r="E37" t="str">
        <f t="shared" si="0"/>
        <v>def test_11_sp_dpt_fbi_036_error_account_number_not_exist(self, user):assert '', f"Expected: ..., Actual: response Json:"</v>
      </c>
      <c r="F37" t="s">
        <v>1521</v>
      </c>
    </row>
    <row r="38" spans="4:6" x14ac:dyDescent="0.25">
      <c r="D38" s="54" t="s">
        <v>1263</v>
      </c>
      <c r="E38" t="str">
        <f t="shared" si="0"/>
        <v>def test_11_sp_dpt_fbi_037_error_serial_no_is_empty(self, user):assert '', f"Expected: ..., Actual: response Json:"</v>
      </c>
      <c r="F38" t="s">
        <v>1522</v>
      </c>
    </row>
    <row r="39" spans="4:6" x14ac:dyDescent="0.25">
      <c r="D39" s="54" t="s">
        <v>1264</v>
      </c>
      <c r="E39" t="str">
        <f t="shared" si="0"/>
        <v>def test_11_sp_dpt_fbi_038_error_serial_no_is_null(self, user):assert '', f"Expected: ..., Actual: response Json:"</v>
      </c>
      <c r="F39" t="s">
        <v>1523</v>
      </c>
    </row>
    <row r="40" spans="4:6" x14ac:dyDescent="0.25">
      <c r="D40" s="54" t="s">
        <v>1265</v>
      </c>
      <c r="E40" t="str">
        <f t="shared" si="0"/>
        <v>def test_11_sp_dpt_fbi_039_error_serial_no_not_exist(self, user):assert '', f"Expected: ..., Actual: response Json:"</v>
      </c>
      <c r="F40" t="s">
        <v>1524</v>
      </c>
    </row>
    <row r="41" spans="4:6" x14ac:dyDescent="0.25">
      <c r="D41" s="54" t="s">
        <v>1266</v>
      </c>
      <c r="E41" t="str">
        <f t="shared" si="0"/>
        <v>def test_11_sp_dpt_fbi_040_error_serial_no_is_cheque(self, user):assert '', f"Expected: ..., Actual: response Json:"</v>
      </c>
      <c r="F41" t="s">
        <v>1525</v>
      </c>
    </row>
    <row r="42" spans="4:6" x14ac:dyDescent="0.25">
      <c r="D42" s="54" t="s">
        <v>1267</v>
      </c>
      <c r="E42" t="str">
        <f t="shared" si="0"/>
        <v>def test_11_sp_dpt_fbi_041_error_serial_no_is_receipt(self, user):assert '', f"Expected: ..., Actual: response Json:"</v>
      </c>
      <c r="F42" t="s">
        <v>1526</v>
      </c>
    </row>
    <row r="43" spans="4:6" x14ac:dyDescent="0.25">
      <c r="D43" s="54" t="s">
        <v>1268</v>
      </c>
      <c r="E43" t="str">
        <f t="shared" si="0"/>
        <v>def test_11_sp_dpt_fbi_042_error_serial_no_is_passbook_for_saving(self, user):assert '', f"Expected: ..., Actual: response Json:"</v>
      </c>
      <c r="F43" t="s">
        <v>1572</v>
      </c>
    </row>
    <row r="44" spans="4:6" x14ac:dyDescent="0.25">
      <c r="D44" s="54" t="s">
        <v>1269</v>
      </c>
      <c r="E44" t="str">
        <f t="shared" si="0"/>
        <v>def test_11_sp_dpt_fbi_043_error_serial_no_is_payment_order(self, user):assert '', f"Expected: ..., Actual: response Json:"</v>
      </c>
      <c r="F44" t="s">
        <v>1527</v>
      </c>
    </row>
    <row r="45" spans="4:6" x14ac:dyDescent="0.25">
      <c r="D45" s="54" t="s">
        <v>1270</v>
      </c>
      <c r="E45" t="str">
        <f t="shared" si="0"/>
        <v>def test_11_sp_dpt_fbi_044_error_serial_no_is_gift_cheque(self, user):assert '', f"Expected: ..., Actual: response Json:"</v>
      </c>
      <c r="F45" t="s">
        <v>1528</v>
      </c>
    </row>
    <row r="46" spans="4:6" x14ac:dyDescent="0.25">
      <c r="D46" s="54" t="s">
        <v>1271</v>
      </c>
      <c r="E46" t="str">
        <f t="shared" si="0"/>
        <v>def test_11_sp_dpt_fbi_045_error_passbook_at_branch(self, user):assert '', f"Expected: ..., Actual: response Json:"</v>
      </c>
      <c r="F46" t="s">
        <v>1529</v>
      </c>
    </row>
    <row r="47" spans="4:6" x14ac:dyDescent="0.25">
      <c r="D47" s="54" t="s">
        <v>1272</v>
      </c>
      <c r="E47" t="str">
        <f t="shared" si="0"/>
        <v>def test_11_sp_dpt_fbi_046_error_passbook_at_teller_not_confirm(self, user):assert '', f"Expected: ..., Actual: response Json:"</v>
      </c>
      <c r="F47" t="s">
        <v>1530</v>
      </c>
    </row>
    <row r="48" spans="4:6" x14ac:dyDescent="0.25">
      <c r="D48" s="54" t="s">
        <v>1273</v>
      </c>
      <c r="E48" t="str">
        <f t="shared" si="0"/>
        <v>def test_11_sp_dpt_fbi_047_error_passbook_status_lost(self, user):assert '', f"Expected: ..., Actual: response Json:"</v>
      </c>
      <c r="F48" t="s">
        <v>1531</v>
      </c>
    </row>
    <row r="49" spans="4:6" x14ac:dyDescent="0.25">
      <c r="D49" s="54" t="s">
        <v>1274</v>
      </c>
      <c r="E49" t="str">
        <f t="shared" si="0"/>
        <v>def test_11_sp_dpt_fbi_048_error_passbook_status_damage(self, user):assert '', f"Expected: ..., Actual: response Json:"</v>
      </c>
      <c r="F49" t="s">
        <v>1532</v>
      </c>
    </row>
    <row r="50" spans="4:6" x14ac:dyDescent="0.25">
      <c r="D50" s="54" t="s">
        <v>1275</v>
      </c>
      <c r="E50" t="str">
        <f t="shared" si="0"/>
        <v>def test_11_sp_dpt_fbi_049_error_passbook_status_stop_payment(self, user):assert '', f"Expected: ..., Actual: response Json:"</v>
      </c>
      <c r="F50" t="s">
        <v>1533</v>
      </c>
    </row>
    <row r="51" spans="4:6" x14ac:dyDescent="0.25">
      <c r="D51" s="54" t="s">
        <v>1276</v>
      </c>
      <c r="E51" t="str">
        <f t="shared" si="0"/>
        <v>def test_11_sp_dpt_fbi_050_error_passbook_status_closed(self, user):assert '', f"Expected: ..., Actual: response Json:"</v>
      </c>
      <c r="F51" t="s">
        <v>1534</v>
      </c>
    </row>
    <row r="52" spans="4:6" x14ac:dyDescent="0.25">
      <c r="D52" s="54" t="s">
        <v>1277</v>
      </c>
      <c r="E52" t="str">
        <f t="shared" si="0"/>
        <v>def test_11_sp_dpt_fbi_051_error_passbook_not_belong_to_teller(self, user):assert '', f"Expected: ..., Actual: response Json:"</v>
      </c>
      <c r="F52" t="s">
        <v>1535</v>
      </c>
    </row>
    <row r="53" spans="4:6" x14ac:dyDescent="0.25">
      <c r="D53" s="54" t="s">
        <v>1278</v>
      </c>
      <c r="E53" t="str">
        <f t="shared" si="0"/>
        <v>def test_11_sp_dpt_fbi_052_(self, user):assert '', f"Expected: ..., Actual: response Json:"</v>
      </c>
    </row>
    <row r="54" spans="4:6" x14ac:dyDescent="0.25">
      <c r="D54" s="54" t="s">
        <v>1288</v>
      </c>
      <c r="E54" t="str">
        <f t="shared" si="0"/>
        <v>def test_11_sp_dpt_fbi_053_(self, user):assert '', f"Expected: ..., Actual: response Json:"</v>
      </c>
    </row>
    <row r="55" spans="4:6" x14ac:dyDescent="0.25">
      <c r="D55" s="54" t="s">
        <v>1289</v>
      </c>
      <c r="E55" t="str">
        <f t="shared" si="0"/>
        <v>def test_11_sp_dpt_fbi_054_(self, user):assert '', f"Expected: ..., Actual: response Json:"</v>
      </c>
    </row>
    <row r="56" spans="4:6" x14ac:dyDescent="0.25">
      <c r="D56" s="54" t="s">
        <v>1290</v>
      </c>
      <c r="E56" t="str">
        <f t="shared" si="0"/>
        <v>def test_11_sp_dpt_fbi_055_(self, user):assert '', f"Expected: ..., Actual: response Json:"</v>
      </c>
    </row>
    <row r="57" spans="4:6" x14ac:dyDescent="0.25">
      <c r="D57" s="54" t="s">
        <v>1291</v>
      </c>
      <c r="E57" t="str">
        <f t="shared" si="0"/>
        <v>def test_11_sp_dpt_fbi_056_(self, user):assert '', f"Expected: ..., Actual: response Json:"</v>
      </c>
    </row>
    <row r="58" spans="4:6" x14ac:dyDescent="0.25">
      <c r="D58" s="54" t="s">
        <v>1292</v>
      </c>
      <c r="E58" t="str">
        <f t="shared" si="0"/>
        <v>def test_11_sp_dpt_fbi_057_(self, user):assert '', f"Expected: ..., Actual: response Json:"</v>
      </c>
    </row>
    <row r="59" spans="4:6" x14ac:dyDescent="0.25">
      <c r="D59" s="54" t="s">
        <v>1293</v>
      </c>
      <c r="E59" t="str">
        <f t="shared" si="0"/>
        <v>def test_11_sp_dpt_fbi_058_(self, user):assert '', f"Expected: ..., Actual: response Json:"</v>
      </c>
    </row>
    <row r="60" spans="4:6" x14ac:dyDescent="0.25">
      <c r="D60" s="54" t="s">
        <v>1409</v>
      </c>
      <c r="E60" t="str">
        <f t="shared" si="0"/>
        <v>def test_11_sp_dpt_fbi_059_(self, user):assert '', f"Expected: ..., Actual: response Json:"</v>
      </c>
    </row>
    <row r="61" spans="4:6" x14ac:dyDescent="0.25">
      <c r="D61" s="54" t="s">
        <v>1410</v>
      </c>
      <c r="E61" t="str">
        <f t="shared" si="0"/>
        <v>def test_11_sp_dpt_fbi_060_(self, user):assert '', f"Expected: ..., Actual: response Json:"</v>
      </c>
    </row>
  </sheetData>
  <phoneticPr fontId="16" type="noConversion"/>
  <pageMargins left="0.7" right="0.7" top="0.75" bottom="0.75" header="0.3" footer="0.3"/>
  <pageSetup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20"/>
  <sheetViews>
    <sheetView workbookViewId="0">
      <selection activeCell="B3" sqref="B3"/>
    </sheetView>
  </sheetViews>
  <sheetFormatPr defaultRowHeight="15" x14ac:dyDescent="0.25"/>
  <cols>
    <col min="2" max="2" width="34.5703125" bestFit="1" customWidth="1"/>
    <col min="12" max="12" width="9.5703125" bestFit="1" customWidth="1"/>
    <col min="13" max="13" width="13.28515625" bestFit="1" customWidth="1"/>
  </cols>
  <sheetData>
    <row r="1" spans="1:27" x14ac:dyDescent="0.25">
      <c r="A1" s="54" t="s">
        <v>1362</v>
      </c>
      <c r="C1" s="54" t="s">
        <v>1130</v>
      </c>
      <c r="H1" t="s">
        <v>1296</v>
      </c>
      <c r="I1" t="s">
        <v>1131</v>
      </c>
      <c r="J1" s="54" t="s">
        <v>1295</v>
      </c>
      <c r="O1" t="s">
        <v>1132</v>
      </c>
      <c r="P1" t="s">
        <v>1133</v>
      </c>
      <c r="Q1" t="s">
        <v>1106</v>
      </c>
      <c r="V1" s="54" t="s">
        <v>1134</v>
      </c>
      <c r="W1" t="s">
        <v>1106</v>
      </c>
      <c r="AA1" t="s">
        <v>1135</v>
      </c>
    </row>
    <row r="2" spans="1:27" x14ac:dyDescent="0.25">
      <c r="A2" s="54" t="s">
        <v>1170</v>
      </c>
    </row>
    <row r="3" spans="1:27" x14ac:dyDescent="0.25">
      <c r="B3" t="s">
        <v>1414</v>
      </c>
      <c r="C3" s="54"/>
      <c r="D3" t="str">
        <f t="shared" ref="D3:D34" si="0">B3&amp;$C$1</f>
        <v>stock_no=None,</v>
      </c>
      <c r="H3" t="str">
        <f>$H$1&amp;B3&amp;$I$1&amp;B3&amp;IF(C3="",$J$1,C3)</f>
        <v xml:space="preserve">        if not stock_no:stock_no=''</v>
      </c>
      <c r="P3" t="str">
        <f t="shared" ref="P3:P34" si="1">$O$1&amp;B3&amp;$P$1&amp;B3&amp;$Q$1</f>
        <v>"stock_no": stock_no,</v>
      </c>
      <c r="V3" t="str">
        <f t="shared" ref="V3:V34" si="2">B3&amp;$V$1&amp;B3&amp;$W$1</f>
        <v>stock_no=stock_no,</v>
      </c>
      <c r="AA3" t="str">
        <f t="shared" ref="AA3:AA34" si="3">B3&amp;$V$1&amp;B3&amp;$AA$1&amp;$W$1</f>
        <v>stock_no=stock_no_update,</v>
      </c>
    </row>
    <row r="4" spans="1:27" x14ac:dyDescent="0.25">
      <c r="B4" t="s">
        <v>1412</v>
      </c>
      <c r="C4" s="54"/>
      <c r="D4" t="str">
        <f t="shared" si="0"/>
        <v>stock_prefix=None,</v>
      </c>
      <c r="H4" t="str">
        <f t="shared" ref="H4:H34" si="4">$H$1&amp;B4&amp;$I$1&amp;B4&amp;IF(C4="",$J$1,C4)</f>
        <v xml:space="preserve">        if not stock_prefix:stock_prefix=''</v>
      </c>
      <c r="P4" t="str">
        <f t="shared" si="1"/>
        <v>"stock_prefix": stock_prefix,</v>
      </c>
      <c r="V4" t="str">
        <f t="shared" si="2"/>
        <v>stock_prefix=stock_prefix,</v>
      </c>
      <c r="AA4" t="str">
        <f t="shared" si="3"/>
        <v>stock_prefix=stock_prefix_update,</v>
      </c>
    </row>
    <row r="5" spans="1:27" x14ac:dyDescent="0.25">
      <c r="B5" t="s">
        <v>1415</v>
      </c>
      <c r="C5" s="54"/>
      <c r="D5" t="str">
        <f t="shared" si="0"/>
        <v>from_serial_from=None,</v>
      </c>
      <c r="H5" t="str">
        <f>$H$1&amp;B5&amp;$I$1&amp;B5&amp;IF(C5="",$J$1,C5)</f>
        <v xml:space="preserve">        if not from_serial_from:from_serial_from=''</v>
      </c>
      <c r="P5" t="str">
        <f t="shared" si="1"/>
        <v>"from_serial_from": from_serial_from,</v>
      </c>
      <c r="V5" t="str">
        <f t="shared" si="2"/>
        <v>from_serial_from=from_serial_from,</v>
      </c>
      <c r="AA5" t="str">
        <f t="shared" si="3"/>
        <v>from_serial_from=from_serial_from_update,</v>
      </c>
    </row>
    <row r="6" spans="1:27" x14ac:dyDescent="0.25">
      <c r="B6" t="s">
        <v>1416</v>
      </c>
      <c r="C6" s="54"/>
      <c r="D6" t="str">
        <f t="shared" si="0"/>
        <v>from_serial_to=None,</v>
      </c>
      <c r="H6" t="str">
        <f t="shared" si="4"/>
        <v xml:space="preserve">        if not from_serial_to:from_serial_to=''</v>
      </c>
      <c r="P6" t="str">
        <f t="shared" si="1"/>
        <v>"from_serial_to": from_serial_to,</v>
      </c>
      <c r="V6" t="str">
        <f t="shared" si="2"/>
        <v>from_serial_to=from_serial_to,</v>
      </c>
      <c r="AA6" t="str">
        <f t="shared" si="3"/>
        <v>from_serial_to=from_serial_to_update,</v>
      </c>
    </row>
    <row r="7" spans="1:27" x14ac:dyDescent="0.25">
      <c r="B7" t="s">
        <v>1417</v>
      </c>
      <c r="C7" s="54"/>
      <c r="D7" t="str">
        <f t="shared" si="0"/>
        <v>to_serial_from=None,</v>
      </c>
      <c r="H7" t="str">
        <f>$H$1&amp;B7&amp;$I$1&amp;B7&amp;IF(C7="",$J$1,C7)</f>
        <v xml:space="preserve">        if not to_serial_from:to_serial_from=''</v>
      </c>
      <c r="P7" t="str">
        <f t="shared" si="1"/>
        <v>"to_serial_from": to_serial_from,</v>
      </c>
      <c r="V7" t="str">
        <f t="shared" si="2"/>
        <v>to_serial_from=to_serial_from,</v>
      </c>
      <c r="AA7" t="str">
        <f t="shared" si="3"/>
        <v>to_serial_from=to_serial_from_update,</v>
      </c>
    </row>
    <row r="8" spans="1:27" x14ac:dyDescent="0.25">
      <c r="B8" t="s">
        <v>1418</v>
      </c>
      <c r="C8" s="54"/>
      <c r="D8" t="str">
        <f t="shared" si="0"/>
        <v>to_serial_to=None,</v>
      </c>
      <c r="H8" t="str">
        <f>$H$1&amp;B8&amp;$I$1&amp;B8&amp;IF(C8="",$J$1,C8)</f>
        <v xml:space="preserve">        if not to_serial_to:to_serial_to=''</v>
      </c>
      <c r="P8" t="str">
        <f t="shared" si="1"/>
        <v>"to_serial_to": to_serial_to,</v>
      </c>
      <c r="V8" t="str">
        <f t="shared" si="2"/>
        <v>to_serial_to=to_serial_to,</v>
      </c>
      <c r="AA8" t="str">
        <f t="shared" si="3"/>
        <v>to_serial_to=to_serial_to_update,</v>
      </c>
    </row>
    <row r="9" spans="1:27" x14ac:dyDescent="0.25">
      <c r="B9" t="s">
        <v>1419</v>
      </c>
      <c r="C9" s="54"/>
      <c r="D9" t="str">
        <f t="shared" si="0"/>
        <v>book_status=None,</v>
      </c>
      <c r="H9" t="str">
        <f t="shared" si="4"/>
        <v xml:space="preserve">        if not book_status:book_status=''</v>
      </c>
      <c r="P9" t="str">
        <f t="shared" si="1"/>
        <v>"book_status": book_status,</v>
      </c>
      <c r="V9" t="str">
        <f t="shared" si="2"/>
        <v>book_status=book_status,</v>
      </c>
      <c r="AA9" t="str">
        <f t="shared" si="3"/>
        <v>book_status=book_status_update,</v>
      </c>
    </row>
    <row r="10" spans="1:27" x14ac:dyDescent="0.25">
      <c r="B10" t="s">
        <v>1420</v>
      </c>
      <c r="C10" s="54"/>
      <c r="D10" t="str">
        <f t="shared" si="0"/>
        <v>confirm_status=None,</v>
      </c>
      <c r="H10" t="str">
        <f t="shared" si="4"/>
        <v xml:space="preserve">        if not confirm_status:confirm_status=''</v>
      </c>
      <c r="P10" t="str">
        <f t="shared" si="1"/>
        <v>"confirm_status": confirm_status,</v>
      </c>
      <c r="V10" t="str">
        <f t="shared" si="2"/>
        <v>confirm_status=confirm_status,</v>
      </c>
      <c r="AA10" t="str">
        <f t="shared" si="3"/>
        <v>confirm_status=confirm_status_update,</v>
      </c>
    </row>
    <row r="11" spans="1:27" x14ac:dyDescent="0.25">
      <c r="B11" t="s">
        <v>1298</v>
      </c>
      <c r="C11" s="54"/>
      <c r="D11" t="str">
        <f t="shared" si="0"/>
        <v>branch_name=None,</v>
      </c>
      <c r="H11" t="str">
        <f t="shared" si="4"/>
        <v xml:space="preserve">        if not branch_name:branch_name=''</v>
      </c>
      <c r="P11" t="str">
        <f t="shared" si="1"/>
        <v>"branch_name": branch_name,</v>
      </c>
      <c r="V11" t="str">
        <f t="shared" si="2"/>
        <v>branch_name=branch_name,</v>
      </c>
      <c r="AA11" t="str">
        <f t="shared" si="3"/>
        <v>branch_name=branch_name_update,</v>
      </c>
    </row>
    <row r="12" spans="1:27" x14ac:dyDescent="0.25">
      <c r="B12" t="s">
        <v>1421</v>
      </c>
      <c r="C12" s="54"/>
      <c r="D12" t="str">
        <f t="shared" si="0"/>
        <v>user_name=None,</v>
      </c>
      <c r="H12" t="str">
        <f t="shared" si="4"/>
        <v xml:space="preserve">        if not user_name:user_name=''</v>
      </c>
      <c r="P12" t="str">
        <f t="shared" si="1"/>
        <v>"user_name": user_name,</v>
      </c>
      <c r="V12" t="str">
        <f t="shared" si="2"/>
        <v>user_name=user_name,</v>
      </c>
      <c r="AA12" t="str">
        <f t="shared" si="3"/>
        <v>user_name=user_name_update,</v>
      </c>
    </row>
    <row r="13" spans="1:27" x14ac:dyDescent="0.25">
      <c r="B13" t="s">
        <v>1422</v>
      </c>
      <c r="C13" s="54"/>
      <c r="D13" t="str">
        <f t="shared" si="0"/>
        <v>stock_leaves_status=None,</v>
      </c>
      <c r="H13" t="str">
        <f t="shared" si="4"/>
        <v xml:space="preserve">        if not stock_leaves_status:stock_leaves_status=''</v>
      </c>
      <c r="P13" t="str">
        <f t="shared" si="1"/>
        <v>"stock_leaves_status": stock_leaves_status,</v>
      </c>
      <c r="V13" t="str">
        <f t="shared" si="2"/>
        <v>stock_leaves_status=stock_leaves_status,</v>
      </c>
      <c r="AA13" t="str">
        <f t="shared" si="3"/>
        <v>stock_leaves_status=stock_leaves_status_update,</v>
      </c>
    </row>
    <row r="14" spans="1:27" x14ac:dyDescent="0.25">
      <c r="B14" t="s">
        <v>1411</v>
      </c>
      <c r="C14" s="54"/>
      <c r="D14" t="str">
        <f t="shared" si="0"/>
        <v>stock_type=None,</v>
      </c>
      <c r="H14" t="str">
        <f t="shared" si="4"/>
        <v xml:space="preserve">        if not stock_type:stock_type=''</v>
      </c>
      <c r="P14" t="str">
        <f t="shared" si="1"/>
        <v>"stock_type": stock_type,</v>
      </c>
      <c r="V14" t="str">
        <f t="shared" si="2"/>
        <v>stock_type=stock_type,</v>
      </c>
      <c r="AA14" t="str">
        <f t="shared" si="3"/>
        <v>stock_type=stock_type_update,</v>
      </c>
    </row>
    <row r="15" spans="1:27" x14ac:dyDescent="0.25">
      <c r="B15" t="s">
        <v>1300</v>
      </c>
      <c r="C15" s="54" t="s">
        <v>1367</v>
      </c>
      <c r="D15" t="str">
        <f t="shared" si="0"/>
        <v>amount=None,</v>
      </c>
      <c r="H15" t="str">
        <f t="shared" si="4"/>
        <v xml:space="preserve">        if not amount:amount=None</v>
      </c>
      <c r="P15" t="str">
        <f t="shared" si="1"/>
        <v>"amount": amount,</v>
      </c>
      <c r="V15" t="str">
        <f t="shared" si="2"/>
        <v>amount=amount,</v>
      </c>
      <c r="AA15" t="str">
        <f t="shared" si="3"/>
        <v>amount=amount_update,</v>
      </c>
    </row>
    <row r="16" spans="1:27" x14ac:dyDescent="0.25">
      <c r="B16" t="s">
        <v>1423</v>
      </c>
      <c r="C16" s="54" t="s">
        <v>1367</v>
      </c>
      <c r="D16" t="str">
        <f t="shared" si="0"/>
        <v>stock_balance=None,</v>
      </c>
      <c r="H16" t="str">
        <f t="shared" si="4"/>
        <v xml:space="preserve">        if not stock_balance:stock_balance=None</v>
      </c>
      <c r="P16" t="str">
        <f t="shared" si="1"/>
        <v>"stock_balance": stock_balance,</v>
      </c>
      <c r="V16" t="str">
        <f t="shared" si="2"/>
        <v>stock_balance=stock_balance,</v>
      </c>
      <c r="AA16" t="str">
        <f t="shared" si="3"/>
        <v>stock_balance=stock_balance_update,</v>
      </c>
    </row>
    <row r="17" spans="2:27" x14ac:dyDescent="0.25">
      <c r="B17" t="s">
        <v>1395</v>
      </c>
      <c r="C17" s="54"/>
      <c r="D17" t="str">
        <f t="shared" si="0"/>
        <v>currency=None,</v>
      </c>
      <c r="H17" t="str">
        <f t="shared" si="4"/>
        <v xml:space="preserve">        if not currency:currency=''</v>
      </c>
      <c r="P17" t="str">
        <f t="shared" si="1"/>
        <v>"currency": currency,</v>
      </c>
      <c r="V17" t="str">
        <f t="shared" si="2"/>
        <v>currency=currency,</v>
      </c>
      <c r="AA17" t="str">
        <f t="shared" si="3"/>
        <v>currency=currency_update,</v>
      </c>
    </row>
    <row r="18" spans="2:27" x14ac:dyDescent="0.25">
      <c r="B18" t="s">
        <v>1424</v>
      </c>
      <c r="C18" s="54"/>
      <c r="D18" t="str">
        <f t="shared" si="0"/>
        <v>ref_account_no=None,</v>
      </c>
      <c r="H18" t="str">
        <f t="shared" si="4"/>
        <v xml:space="preserve">        if not ref_account_no:ref_account_no=''</v>
      </c>
      <c r="P18" t="str">
        <f t="shared" si="1"/>
        <v>"ref_account_no": ref_account_no,</v>
      </c>
      <c r="V18" t="str">
        <f t="shared" si="2"/>
        <v>ref_account_no=ref_account_no,</v>
      </c>
      <c r="AA18" t="str">
        <f t="shared" si="3"/>
        <v>ref_account_no=ref_account_no_update,</v>
      </c>
    </row>
    <row r="19" spans="2:27" x14ac:dyDescent="0.25">
      <c r="B19" t="s">
        <v>1425</v>
      </c>
      <c r="C19" s="54"/>
      <c r="D19" t="str">
        <f t="shared" si="0"/>
        <v>user_approved=None,</v>
      </c>
      <c r="H19" t="str">
        <f t="shared" si="4"/>
        <v xml:space="preserve">        if not user_approved:user_approved=''</v>
      </c>
      <c r="P19" t="str">
        <f t="shared" si="1"/>
        <v>"user_approved": user_approved,</v>
      </c>
      <c r="V19" t="str">
        <f t="shared" si="2"/>
        <v>user_approved=user_approved,</v>
      </c>
      <c r="AA19" t="str">
        <f t="shared" si="3"/>
        <v>user_approved=user_approved_update,</v>
      </c>
    </row>
    <row r="20" spans="2:27" x14ac:dyDescent="0.25">
      <c r="B20" t="s">
        <v>1426</v>
      </c>
      <c r="C20" s="54"/>
      <c r="D20" t="str">
        <f t="shared" si="0"/>
        <v>assigned_teller_code=None,</v>
      </c>
      <c r="H20" t="str">
        <f t="shared" si="4"/>
        <v xml:space="preserve">        if not assigned_teller_code:assigned_teller_code=''</v>
      </c>
      <c r="P20" t="str">
        <f t="shared" si="1"/>
        <v>"assigned_teller_code": assigned_teller_code,</v>
      </c>
      <c r="V20" t="str">
        <f t="shared" si="2"/>
        <v>assigned_teller_code=assigned_teller_code,</v>
      </c>
      <c r="AA20" t="str">
        <f t="shared" si="3"/>
        <v>assigned_teller_code=assigned_teller_code_update,</v>
      </c>
    </row>
    <row r="21" spans="2:27" x14ac:dyDescent="0.25">
      <c r="B21" t="s">
        <v>1427</v>
      </c>
      <c r="C21" s="54" t="s">
        <v>1170</v>
      </c>
      <c r="D21" t="str">
        <f t="shared" si="0"/>
        <v>page_index=None,</v>
      </c>
      <c r="H21" t="str">
        <f t="shared" si="4"/>
        <v xml:space="preserve">        if not page_index:page_index=0</v>
      </c>
      <c r="P21" t="str">
        <f t="shared" si="1"/>
        <v>"page_index": page_index,</v>
      </c>
      <c r="V21" t="str">
        <f t="shared" si="2"/>
        <v>page_index=page_index,</v>
      </c>
      <c r="AA21" t="str">
        <f t="shared" si="3"/>
        <v>page_index=page_index_update,</v>
      </c>
    </row>
    <row r="22" spans="2:27" x14ac:dyDescent="0.25">
      <c r="B22" t="s">
        <v>1428</v>
      </c>
      <c r="C22" s="54" t="s">
        <v>1429</v>
      </c>
      <c r="D22" t="str">
        <f t="shared" si="0"/>
        <v>page_size=None,</v>
      </c>
      <c r="H22" t="str">
        <f t="shared" si="4"/>
        <v xml:space="preserve">        if not page_size:page_size=5</v>
      </c>
      <c r="P22" t="str">
        <f t="shared" si="1"/>
        <v>"page_size": page_size,</v>
      </c>
      <c r="V22" t="str">
        <f t="shared" si="2"/>
        <v>page_size=page_size,</v>
      </c>
      <c r="AA22" t="str">
        <f t="shared" si="3"/>
        <v>page_size=page_size_update,</v>
      </c>
    </row>
    <row r="23" spans="2:27" x14ac:dyDescent="0.25">
      <c r="C23" s="54" t="s">
        <v>1408</v>
      </c>
      <c r="D23" t="str">
        <f t="shared" si="0"/>
        <v>=None,</v>
      </c>
      <c r="H23" t="str">
        <f t="shared" si="4"/>
        <v xml:space="preserve">        if not :='1193: Close deposit account'</v>
      </c>
      <c r="P23" t="str">
        <f t="shared" si="1"/>
        <v>"": ,</v>
      </c>
      <c r="V23" t="str">
        <f t="shared" si="2"/>
        <v>=,</v>
      </c>
      <c r="AA23" t="str">
        <f t="shared" si="3"/>
        <v>=_update,</v>
      </c>
    </row>
    <row r="24" spans="2:27" x14ac:dyDescent="0.25">
      <c r="C24" s="54" t="s">
        <v>1406</v>
      </c>
      <c r="D24" t="str">
        <f t="shared" si="0"/>
        <v>=None,</v>
      </c>
      <c r="H24" t="str">
        <f t="shared" si="4"/>
        <v xml:space="preserve">        if not :='MMK'</v>
      </c>
      <c r="P24" t="str">
        <f t="shared" si="1"/>
        <v>"": ,</v>
      </c>
      <c r="V24" t="str">
        <f t="shared" si="2"/>
        <v>=,</v>
      </c>
      <c r="AA24" t="str">
        <f t="shared" si="3"/>
        <v>=_update,</v>
      </c>
    </row>
    <row r="25" spans="2:27" x14ac:dyDescent="0.25">
      <c r="C25" s="54" t="s">
        <v>1170</v>
      </c>
      <c r="D25" t="str">
        <f t="shared" si="0"/>
        <v>=None,</v>
      </c>
      <c r="H25" t="str">
        <f t="shared" si="4"/>
        <v xml:space="preserve">        if not :=0</v>
      </c>
      <c r="P25" t="str">
        <f t="shared" si="1"/>
        <v>"": ,</v>
      </c>
      <c r="V25" t="str">
        <f t="shared" si="2"/>
        <v>=,</v>
      </c>
      <c r="AA25" t="str">
        <f t="shared" si="3"/>
        <v>=_update,</v>
      </c>
    </row>
    <row r="26" spans="2:27" x14ac:dyDescent="0.25">
      <c r="C26" s="54" t="s">
        <v>1170</v>
      </c>
      <c r="D26" t="str">
        <f t="shared" si="0"/>
        <v>=None,</v>
      </c>
      <c r="H26" t="str">
        <f t="shared" si="4"/>
        <v xml:space="preserve">        if not :=0</v>
      </c>
      <c r="P26" t="str">
        <f t="shared" si="1"/>
        <v>"": ,</v>
      </c>
      <c r="V26" t="str">
        <f t="shared" si="2"/>
        <v>=,</v>
      </c>
      <c r="AA26" t="str">
        <f t="shared" si="3"/>
        <v>=_update,</v>
      </c>
    </row>
    <row r="27" spans="2:27" x14ac:dyDescent="0.25">
      <c r="C27" s="54" t="s">
        <v>1170</v>
      </c>
      <c r="D27" t="str">
        <f t="shared" si="0"/>
        <v>=None,</v>
      </c>
      <c r="H27" t="str">
        <f t="shared" si="4"/>
        <v xml:space="preserve">        if not :=0</v>
      </c>
      <c r="P27" t="str">
        <f t="shared" si="1"/>
        <v>"": ,</v>
      </c>
      <c r="V27" t="str">
        <f t="shared" si="2"/>
        <v>=,</v>
      </c>
      <c r="AA27" t="str">
        <f t="shared" si="3"/>
        <v>=_update,</v>
      </c>
    </row>
    <row r="28" spans="2:27" x14ac:dyDescent="0.25">
      <c r="C28" s="54" t="s">
        <v>1170</v>
      </c>
      <c r="D28" t="str">
        <f t="shared" si="0"/>
        <v>=None,</v>
      </c>
      <c r="H28" t="str">
        <f t="shared" si="4"/>
        <v xml:space="preserve">        if not :=0</v>
      </c>
      <c r="P28" t="str">
        <f t="shared" si="1"/>
        <v>"": ,</v>
      </c>
      <c r="V28" t="str">
        <f t="shared" si="2"/>
        <v>=,</v>
      </c>
      <c r="AA28" t="str">
        <f t="shared" si="3"/>
        <v>=_update,</v>
      </c>
    </row>
    <row r="29" spans="2:27" x14ac:dyDescent="0.25">
      <c r="C29" s="54" t="s">
        <v>1404</v>
      </c>
      <c r="D29" t="str">
        <f t="shared" si="0"/>
        <v>=None,</v>
      </c>
      <c r="H29" t="str">
        <f t="shared" si="4"/>
        <v xml:space="preserve">        if not :=[]</v>
      </c>
      <c r="P29" t="str">
        <f t="shared" si="1"/>
        <v>"": ,</v>
      </c>
      <c r="V29" t="str">
        <f t="shared" si="2"/>
        <v>=,</v>
      </c>
      <c r="AA29" t="str">
        <f t="shared" si="3"/>
        <v>=_update,</v>
      </c>
    </row>
    <row r="30" spans="2:27" x14ac:dyDescent="0.25">
      <c r="C30" s="54" t="s">
        <v>1367</v>
      </c>
      <c r="D30" t="str">
        <f t="shared" si="0"/>
        <v>=None,</v>
      </c>
      <c r="H30" t="str">
        <f t="shared" si="4"/>
        <v xml:space="preserve">        if not :=None</v>
      </c>
      <c r="P30" t="str">
        <f t="shared" si="1"/>
        <v>"": ,</v>
      </c>
      <c r="V30" t="str">
        <f t="shared" si="2"/>
        <v>=,</v>
      </c>
      <c r="AA30" t="str">
        <f t="shared" si="3"/>
        <v>=_update,</v>
      </c>
    </row>
    <row r="31" spans="2:27" x14ac:dyDescent="0.25">
      <c r="C31" s="54"/>
      <c r="D31" t="str">
        <f t="shared" si="0"/>
        <v>=None,</v>
      </c>
      <c r="H31" t="str">
        <f t="shared" si="4"/>
        <v xml:space="preserve">        if not :=''</v>
      </c>
      <c r="P31" t="str">
        <f t="shared" si="1"/>
        <v>"": ,</v>
      </c>
      <c r="V31" t="str">
        <f t="shared" si="2"/>
        <v>=,</v>
      </c>
      <c r="AA31" t="str">
        <f t="shared" si="3"/>
        <v>=_update,</v>
      </c>
    </row>
    <row r="32" spans="2:27" x14ac:dyDescent="0.25">
      <c r="C32" s="54"/>
      <c r="D32" t="str">
        <f t="shared" si="0"/>
        <v>=None,</v>
      </c>
      <c r="H32" t="str">
        <f t="shared" si="4"/>
        <v xml:space="preserve">        if not :=''</v>
      </c>
      <c r="P32" t="str">
        <f t="shared" si="1"/>
        <v>"": ,</v>
      </c>
      <c r="V32" t="str">
        <f t="shared" si="2"/>
        <v>=,</v>
      </c>
      <c r="AA32" t="str">
        <f t="shared" si="3"/>
        <v>=_update,</v>
      </c>
    </row>
    <row r="33" spans="3:27" x14ac:dyDescent="0.25">
      <c r="C33" s="54"/>
      <c r="D33" t="str">
        <f t="shared" si="0"/>
        <v>=None,</v>
      </c>
      <c r="H33" t="str">
        <f t="shared" si="4"/>
        <v xml:space="preserve">        if not :=''</v>
      </c>
      <c r="P33" t="str">
        <f t="shared" si="1"/>
        <v>"": ,</v>
      </c>
      <c r="V33" t="str">
        <f t="shared" si="2"/>
        <v>=,</v>
      </c>
      <c r="AA33" t="str">
        <f t="shared" si="3"/>
        <v>=_update,</v>
      </c>
    </row>
    <row r="34" spans="3:27" x14ac:dyDescent="0.25">
      <c r="C34" s="54"/>
      <c r="D34" t="str">
        <f t="shared" si="0"/>
        <v>=None,</v>
      </c>
      <c r="H34" t="str">
        <f t="shared" si="4"/>
        <v xml:space="preserve">        if not :=''</v>
      </c>
      <c r="P34" t="str">
        <f t="shared" si="1"/>
        <v>"": ,</v>
      </c>
      <c r="V34" t="str">
        <f t="shared" si="2"/>
        <v>=,</v>
      </c>
      <c r="AA34" t="str">
        <f t="shared" si="3"/>
        <v>=_update,</v>
      </c>
    </row>
    <row r="35" spans="3:27" x14ac:dyDescent="0.25">
      <c r="C35" s="54"/>
      <c r="D35" t="str">
        <f t="shared" ref="D35:D98" si="5">B35&amp;$C$1</f>
        <v>=None,</v>
      </c>
      <c r="H35" t="str">
        <f t="shared" ref="H35:H98" si="6">$H$1&amp;B35&amp;$I$1&amp;B35&amp;IF(C35="",$J$1,C35)</f>
        <v xml:space="preserve">        if not :=''</v>
      </c>
      <c r="P35" t="str">
        <f t="shared" ref="P35:P98" si="7">$O$1&amp;B35&amp;$P$1&amp;B35&amp;$Q$1</f>
        <v>"": ,</v>
      </c>
      <c r="V35" t="str">
        <f t="shared" ref="V35:V98" si="8">B35&amp;$V$1&amp;B35&amp;$W$1</f>
        <v>=,</v>
      </c>
      <c r="AA35" t="str">
        <f t="shared" ref="AA35:AA54" si="9">B35&amp;$V$1&amp;B35&amp;$AA$1&amp;$W$1</f>
        <v>=_update,</v>
      </c>
    </row>
    <row r="36" spans="3:27" x14ac:dyDescent="0.25">
      <c r="C36" s="54"/>
      <c r="D36" t="str">
        <f t="shared" si="5"/>
        <v>=None,</v>
      </c>
      <c r="H36" t="str">
        <f t="shared" si="6"/>
        <v xml:space="preserve">        if not :=''</v>
      </c>
      <c r="P36" t="str">
        <f t="shared" si="7"/>
        <v>"": ,</v>
      </c>
      <c r="V36" t="str">
        <f t="shared" si="8"/>
        <v>=,</v>
      </c>
      <c r="AA36" t="str">
        <f t="shared" si="9"/>
        <v>=_update,</v>
      </c>
    </row>
    <row r="37" spans="3:27" x14ac:dyDescent="0.25">
      <c r="C37" s="54"/>
      <c r="D37" t="str">
        <f t="shared" si="5"/>
        <v>=None,</v>
      </c>
      <c r="H37" t="str">
        <f t="shared" si="6"/>
        <v xml:space="preserve">        if not :=''</v>
      </c>
      <c r="P37" t="str">
        <f t="shared" si="7"/>
        <v>"": ,</v>
      </c>
      <c r="V37" t="str">
        <f t="shared" si="8"/>
        <v>=,</v>
      </c>
      <c r="AA37" t="str">
        <f t="shared" si="9"/>
        <v>=_update,</v>
      </c>
    </row>
    <row r="38" spans="3:27" x14ac:dyDescent="0.25">
      <c r="C38" s="54"/>
      <c r="D38" t="str">
        <f t="shared" si="5"/>
        <v>=None,</v>
      </c>
      <c r="H38" t="str">
        <f t="shared" si="6"/>
        <v xml:space="preserve">        if not :=''</v>
      </c>
      <c r="P38" t="str">
        <f t="shared" si="7"/>
        <v>"": ,</v>
      </c>
      <c r="V38" t="str">
        <f t="shared" si="8"/>
        <v>=,</v>
      </c>
      <c r="AA38" t="str">
        <f t="shared" si="9"/>
        <v>=_update,</v>
      </c>
    </row>
    <row r="39" spans="3:27" x14ac:dyDescent="0.25">
      <c r="C39" s="54"/>
      <c r="D39" t="str">
        <f t="shared" si="5"/>
        <v>=None,</v>
      </c>
      <c r="H39" t="str">
        <f t="shared" si="6"/>
        <v xml:space="preserve">        if not :=''</v>
      </c>
      <c r="P39" t="str">
        <f t="shared" si="7"/>
        <v>"": ,</v>
      </c>
      <c r="V39" t="str">
        <f t="shared" si="8"/>
        <v>=,</v>
      </c>
      <c r="AA39" t="str">
        <f t="shared" si="9"/>
        <v>=_update,</v>
      </c>
    </row>
    <row r="40" spans="3:27" x14ac:dyDescent="0.25">
      <c r="C40" s="54" t="s">
        <v>1401</v>
      </c>
      <c r="D40" t="str">
        <f t="shared" si="5"/>
        <v>=None,</v>
      </c>
      <c r="H40" t="str">
        <f t="shared" si="6"/>
        <v xml:space="preserve">        if not :='DPT'</v>
      </c>
      <c r="P40" t="str">
        <f t="shared" si="7"/>
        <v>"": ,</v>
      </c>
      <c r="V40" t="str">
        <f t="shared" si="8"/>
        <v>=,</v>
      </c>
      <c r="AA40" t="str">
        <f t="shared" si="9"/>
        <v>=_update,</v>
      </c>
    </row>
    <row r="41" spans="3:27" x14ac:dyDescent="0.25">
      <c r="C41" s="54"/>
      <c r="D41" t="str">
        <f t="shared" si="5"/>
        <v>=None,</v>
      </c>
      <c r="H41" t="str">
        <f t="shared" si="6"/>
        <v xml:space="preserve">        if not :=''</v>
      </c>
      <c r="P41" t="str">
        <f t="shared" si="7"/>
        <v>"": ,</v>
      </c>
      <c r="V41" t="str">
        <f t="shared" si="8"/>
        <v>=,</v>
      </c>
      <c r="AA41" t="str">
        <f t="shared" si="9"/>
        <v>=_update,</v>
      </c>
    </row>
    <row r="42" spans="3:27" x14ac:dyDescent="0.25">
      <c r="C42" s="54"/>
      <c r="D42" t="str">
        <f t="shared" si="5"/>
        <v>=None,</v>
      </c>
      <c r="H42" t="str">
        <f t="shared" si="6"/>
        <v xml:space="preserve">        if not :=''</v>
      </c>
      <c r="P42" t="str">
        <f t="shared" si="7"/>
        <v>"": ,</v>
      </c>
      <c r="V42" t="str">
        <f t="shared" si="8"/>
        <v>=,</v>
      </c>
      <c r="AA42" t="str">
        <f t="shared" si="9"/>
        <v>=_update,</v>
      </c>
    </row>
    <row r="43" spans="3:27" x14ac:dyDescent="0.25">
      <c r="C43" s="54" t="s">
        <v>1401</v>
      </c>
      <c r="D43" t="str">
        <f t="shared" si="5"/>
        <v>=None,</v>
      </c>
      <c r="H43" t="str">
        <f t="shared" si="6"/>
        <v xml:space="preserve">        if not :='DPT'</v>
      </c>
      <c r="P43" t="str">
        <f t="shared" si="7"/>
        <v>"": ,</v>
      </c>
      <c r="V43" t="str">
        <f t="shared" si="8"/>
        <v>=,</v>
      </c>
      <c r="AA43" t="str">
        <f t="shared" si="9"/>
        <v>=_update,</v>
      </c>
    </row>
    <row r="44" spans="3:27" x14ac:dyDescent="0.25">
      <c r="C44" s="54" t="s">
        <v>1367</v>
      </c>
      <c r="D44" t="str">
        <f t="shared" si="5"/>
        <v>=None,</v>
      </c>
      <c r="H44" t="str">
        <f t="shared" si="6"/>
        <v xml:space="preserve">        if not :=None</v>
      </c>
      <c r="P44" t="str">
        <f t="shared" si="7"/>
        <v>"": ,</v>
      </c>
      <c r="V44" t="str">
        <f t="shared" si="8"/>
        <v>=,</v>
      </c>
      <c r="AA44" t="str">
        <f t="shared" si="9"/>
        <v>=_update,</v>
      </c>
    </row>
    <row r="45" spans="3:27" x14ac:dyDescent="0.25">
      <c r="C45" s="54" t="s">
        <v>1390</v>
      </c>
      <c r="D45" t="str">
        <f t="shared" si="5"/>
        <v>=None,</v>
      </c>
      <c r="H45" t="str">
        <f t="shared" si="6"/>
        <v xml:space="preserve">        if not :='D'</v>
      </c>
      <c r="P45" t="str">
        <f t="shared" si="7"/>
        <v>"": ,</v>
      </c>
      <c r="V45" t="str">
        <f t="shared" si="8"/>
        <v>=,</v>
      </c>
      <c r="AA45" t="str">
        <f t="shared" si="9"/>
        <v>=_update,</v>
      </c>
    </row>
    <row r="46" spans="3:27" x14ac:dyDescent="0.25">
      <c r="C46" s="54" t="s">
        <v>1402</v>
      </c>
      <c r="D46" t="str">
        <f t="shared" si="5"/>
        <v>=None,</v>
      </c>
      <c r="H46" t="str">
        <f t="shared" si="6"/>
        <v xml:space="preserve">        if not :='F'</v>
      </c>
      <c r="P46" t="str">
        <f t="shared" si="7"/>
        <v>"": ,</v>
      </c>
      <c r="V46" t="str">
        <f t="shared" si="8"/>
        <v>=,</v>
      </c>
      <c r="AA46" t="str">
        <f t="shared" si="9"/>
        <v>=_update,</v>
      </c>
    </row>
    <row r="47" spans="3:27" x14ac:dyDescent="0.25">
      <c r="C47" s="54" t="s">
        <v>1403</v>
      </c>
      <c r="D47" t="str">
        <f t="shared" si="5"/>
        <v>=None,</v>
      </c>
      <c r="H47" t="str">
        <f t="shared" si="6"/>
        <v xml:space="preserve">        if not :='DEPOSIT'</v>
      </c>
      <c r="P47" t="str">
        <f t="shared" si="7"/>
        <v>"": ,</v>
      </c>
      <c r="V47" t="str">
        <f t="shared" si="8"/>
        <v>=,</v>
      </c>
      <c r="AA47" t="str">
        <f t="shared" si="9"/>
        <v>=_update,</v>
      </c>
    </row>
    <row r="48" spans="3:27" x14ac:dyDescent="0.25">
      <c r="C48" s="54" t="s">
        <v>1404</v>
      </c>
      <c r="D48" t="str">
        <f t="shared" si="5"/>
        <v>=None,</v>
      </c>
      <c r="H48" t="str">
        <f t="shared" si="6"/>
        <v xml:space="preserve">        if not :=[]</v>
      </c>
      <c r="P48" t="str">
        <f t="shared" si="7"/>
        <v>"": ,</v>
      </c>
      <c r="V48" t="str">
        <f t="shared" si="8"/>
        <v>=,</v>
      </c>
      <c r="AA48" t="str">
        <f t="shared" si="9"/>
        <v>=_update,</v>
      </c>
    </row>
    <row r="49" spans="3:27" x14ac:dyDescent="0.25">
      <c r="C49" s="54"/>
      <c r="D49" t="str">
        <f t="shared" si="5"/>
        <v>=None,</v>
      </c>
      <c r="H49" t="str">
        <f t="shared" si="6"/>
        <v xml:space="preserve">        if not :=''</v>
      </c>
      <c r="P49" t="str">
        <f t="shared" si="7"/>
        <v>"": ,</v>
      </c>
      <c r="V49" t="str">
        <f t="shared" si="8"/>
        <v>=,</v>
      </c>
      <c r="AA49" t="str">
        <f t="shared" si="9"/>
        <v>=_update,</v>
      </c>
    </row>
    <row r="50" spans="3:27" x14ac:dyDescent="0.25">
      <c r="C50" s="54" t="s">
        <v>1405</v>
      </c>
      <c r="D50" t="str">
        <f t="shared" si="5"/>
        <v>=None,</v>
      </c>
      <c r="H50" t="str">
        <f t="shared" si="6"/>
        <v xml:space="preserve">        if not :='CSH'</v>
      </c>
      <c r="P50" t="str">
        <f t="shared" si="7"/>
        <v>"": ,</v>
      </c>
      <c r="V50" t="str">
        <f t="shared" si="8"/>
        <v>=,</v>
      </c>
      <c r="AA50" t="str">
        <f t="shared" si="9"/>
        <v>=_update,</v>
      </c>
    </row>
    <row r="51" spans="3:27" x14ac:dyDescent="0.25">
      <c r="C51" s="54"/>
      <c r="D51" t="str">
        <f t="shared" si="5"/>
        <v>=None,</v>
      </c>
      <c r="H51" t="str">
        <f t="shared" si="6"/>
        <v xml:space="preserve">        if not :=''</v>
      </c>
      <c r="P51" t="str">
        <f t="shared" si="7"/>
        <v>"": ,</v>
      </c>
      <c r="V51" t="str">
        <f t="shared" si="8"/>
        <v>=,</v>
      </c>
      <c r="AA51" t="str">
        <f t="shared" si="9"/>
        <v>=_update,</v>
      </c>
    </row>
    <row r="52" spans="3:27" x14ac:dyDescent="0.25">
      <c r="C52" s="54" t="s">
        <v>1170</v>
      </c>
      <c r="D52" t="str">
        <f t="shared" si="5"/>
        <v>=None,</v>
      </c>
      <c r="H52" t="str">
        <f t="shared" si="6"/>
        <v xml:space="preserve">        if not :=0</v>
      </c>
      <c r="P52" t="str">
        <f t="shared" si="7"/>
        <v>"": ,</v>
      </c>
      <c r="V52" t="str">
        <f t="shared" si="8"/>
        <v>=,</v>
      </c>
      <c r="AA52" t="str">
        <f t="shared" si="9"/>
        <v>=_update,</v>
      </c>
    </row>
    <row r="53" spans="3:27" x14ac:dyDescent="0.25">
      <c r="C53" s="54" t="s">
        <v>1406</v>
      </c>
      <c r="D53" t="str">
        <f t="shared" si="5"/>
        <v>=None,</v>
      </c>
      <c r="H53" t="str">
        <f t="shared" si="6"/>
        <v xml:space="preserve">        if not :='MMK'</v>
      </c>
      <c r="P53" t="str">
        <f t="shared" si="7"/>
        <v>"": ,</v>
      </c>
      <c r="V53" t="str">
        <f t="shared" si="8"/>
        <v>=,</v>
      </c>
      <c r="AA53" t="str">
        <f t="shared" si="9"/>
        <v>=_update,</v>
      </c>
    </row>
    <row r="54" spans="3:27" x14ac:dyDescent="0.25">
      <c r="C54" s="54" t="s">
        <v>1407</v>
      </c>
      <c r="D54" t="str">
        <f t="shared" si="5"/>
        <v>=None,</v>
      </c>
      <c r="H54" t="str">
        <f t="shared" si="6"/>
        <v xml:space="preserve">        if not :='DPT-Account Linkage-Add'</v>
      </c>
      <c r="P54" t="str">
        <f t="shared" si="7"/>
        <v>"": ,</v>
      </c>
      <c r="V54" t="str">
        <f t="shared" si="8"/>
        <v>=,</v>
      </c>
      <c r="AA54" t="str">
        <f t="shared" si="9"/>
        <v>=_update,</v>
      </c>
    </row>
    <row r="55" spans="3:27" x14ac:dyDescent="0.25">
      <c r="C55" s="54" t="s">
        <v>1362</v>
      </c>
      <c r="D55" t="str">
        <f t="shared" si="5"/>
        <v>=None,</v>
      </c>
      <c r="H55" t="str">
        <f t="shared" si="6"/>
        <v xml:space="preserve">        if not :=1</v>
      </c>
      <c r="P55" t="str">
        <f t="shared" si="7"/>
        <v>"": ,</v>
      </c>
      <c r="V55" t="str">
        <f t="shared" si="8"/>
        <v>=,</v>
      </c>
    </row>
    <row r="56" spans="3:27" x14ac:dyDescent="0.25">
      <c r="C56" s="54"/>
      <c r="D56" t="str">
        <f t="shared" si="5"/>
        <v>=None,</v>
      </c>
      <c r="H56" t="str">
        <f t="shared" si="6"/>
        <v xml:space="preserve">        if not :=''</v>
      </c>
      <c r="P56" t="str">
        <f t="shared" si="7"/>
        <v>"": ,</v>
      </c>
      <c r="V56" t="str">
        <f t="shared" si="8"/>
        <v>=,</v>
      </c>
    </row>
    <row r="57" spans="3:27" x14ac:dyDescent="0.25">
      <c r="C57" s="54"/>
      <c r="D57" t="str">
        <f t="shared" si="5"/>
        <v>=None,</v>
      </c>
      <c r="H57" t="str">
        <f t="shared" si="6"/>
        <v xml:space="preserve">        if not :=''</v>
      </c>
      <c r="P57" t="str">
        <f t="shared" si="7"/>
        <v>"": ,</v>
      </c>
      <c r="V57" t="str">
        <f t="shared" si="8"/>
        <v>=,</v>
      </c>
    </row>
    <row r="58" spans="3:27" x14ac:dyDescent="0.25">
      <c r="C58" s="54" t="s">
        <v>1367</v>
      </c>
      <c r="D58" t="str">
        <f t="shared" si="5"/>
        <v>=None,</v>
      </c>
      <c r="H58" t="str">
        <f t="shared" si="6"/>
        <v xml:space="preserve">        if not :=None</v>
      </c>
      <c r="P58" t="str">
        <f t="shared" si="7"/>
        <v>"": ,</v>
      </c>
      <c r="V58" t="str">
        <f t="shared" si="8"/>
        <v>=,</v>
      </c>
    </row>
    <row r="59" spans="3:27" x14ac:dyDescent="0.25">
      <c r="C59" s="54" t="s">
        <v>1367</v>
      </c>
      <c r="D59" t="str">
        <f t="shared" si="5"/>
        <v>=None,</v>
      </c>
      <c r="H59" t="str">
        <f t="shared" si="6"/>
        <v xml:space="preserve">        if not :=None</v>
      </c>
      <c r="P59" t="str">
        <f t="shared" si="7"/>
        <v>"": ,</v>
      </c>
      <c r="V59" t="str">
        <f t="shared" si="8"/>
        <v>=,</v>
      </c>
    </row>
    <row r="60" spans="3:27" x14ac:dyDescent="0.25">
      <c r="C60" s="54"/>
      <c r="D60" t="str">
        <f t="shared" si="5"/>
        <v>=None,</v>
      </c>
      <c r="H60" t="str">
        <f t="shared" si="6"/>
        <v xml:space="preserve">        if not :=''</v>
      </c>
      <c r="P60" t="str">
        <f t="shared" si="7"/>
        <v>"": ,</v>
      </c>
      <c r="V60" t="str">
        <f t="shared" si="8"/>
        <v>=,</v>
      </c>
    </row>
    <row r="61" spans="3:27" x14ac:dyDescent="0.25">
      <c r="C61" s="54"/>
      <c r="D61" t="str">
        <f t="shared" si="5"/>
        <v>=None,</v>
      </c>
      <c r="H61" t="str">
        <f t="shared" si="6"/>
        <v xml:space="preserve">        if not :=''</v>
      </c>
      <c r="P61" t="str">
        <f t="shared" si="7"/>
        <v>"": ,</v>
      </c>
      <c r="V61" t="str">
        <f t="shared" si="8"/>
        <v>=,</v>
      </c>
    </row>
    <row r="62" spans="3:27" x14ac:dyDescent="0.25">
      <c r="C62" s="54"/>
      <c r="D62" t="str">
        <f t="shared" si="5"/>
        <v>=None,</v>
      </c>
      <c r="H62" t="str">
        <f t="shared" si="6"/>
        <v xml:space="preserve">        if not :=''</v>
      </c>
      <c r="P62" t="str">
        <f t="shared" si="7"/>
        <v>"": ,</v>
      </c>
      <c r="V62" t="str">
        <f t="shared" si="8"/>
        <v>=,</v>
      </c>
    </row>
    <row r="63" spans="3:27" x14ac:dyDescent="0.25">
      <c r="C63" s="54"/>
      <c r="D63" t="str">
        <f t="shared" si="5"/>
        <v>=None,</v>
      </c>
      <c r="H63" t="str">
        <f t="shared" si="6"/>
        <v xml:space="preserve">        if not :=''</v>
      </c>
      <c r="P63" t="str">
        <f t="shared" si="7"/>
        <v>"": ,</v>
      </c>
      <c r="V63" t="str">
        <f t="shared" si="8"/>
        <v>=,</v>
      </c>
    </row>
    <row r="64" spans="3:27" x14ac:dyDescent="0.25">
      <c r="C64" s="54"/>
      <c r="D64" t="str">
        <f t="shared" si="5"/>
        <v>=None,</v>
      </c>
      <c r="H64" t="str">
        <f t="shared" si="6"/>
        <v xml:space="preserve">        if not :=''</v>
      </c>
      <c r="P64" t="str">
        <f t="shared" si="7"/>
        <v>"": ,</v>
      </c>
      <c r="V64" t="str">
        <f t="shared" si="8"/>
        <v>=,</v>
      </c>
    </row>
    <row r="65" spans="3:22" x14ac:dyDescent="0.25">
      <c r="C65" s="54"/>
      <c r="D65" t="str">
        <f t="shared" si="5"/>
        <v>=None,</v>
      </c>
      <c r="H65" t="str">
        <f t="shared" si="6"/>
        <v xml:space="preserve">        if not :=''</v>
      </c>
      <c r="P65" t="str">
        <f t="shared" si="7"/>
        <v>"": ,</v>
      </c>
      <c r="V65" t="str">
        <f t="shared" si="8"/>
        <v>=,</v>
      </c>
    </row>
    <row r="66" spans="3:22" x14ac:dyDescent="0.25">
      <c r="D66" t="str">
        <f t="shared" si="5"/>
        <v>=None,</v>
      </c>
      <c r="H66" t="str">
        <f t="shared" si="6"/>
        <v xml:space="preserve">        if not :=''</v>
      </c>
      <c r="P66" t="str">
        <f t="shared" si="7"/>
        <v>"": ,</v>
      </c>
      <c r="V66" t="str">
        <f t="shared" si="8"/>
        <v>=,</v>
      </c>
    </row>
    <row r="67" spans="3:22" x14ac:dyDescent="0.25">
      <c r="D67" t="str">
        <f t="shared" si="5"/>
        <v>=None,</v>
      </c>
      <c r="H67" t="str">
        <f t="shared" si="6"/>
        <v xml:space="preserve">        if not :=''</v>
      </c>
      <c r="P67" t="str">
        <f t="shared" si="7"/>
        <v>"": ,</v>
      </c>
      <c r="V67" t="str">
        <f t="shared" si="8"/>
        <v>=,</v>
      </c>
    </row>
    <row r="68" spans="3:22" x14ac:dyDescent="0.25">
      <c r="D68" t="str">
        <f t="shared" si="5"/>
        <v>=None,</v>
      </c>
      <c r="H68" t="str">
        <f t="shared" si="6"/>
        <v xml:space="preserve">        if not :=''</v>
      </c>
      <c r="P68" t="str">
        <f t="shared" si="7"/>
        <v>"": ,</v>
      </c>
      <c r="V68" t="str">
        <f t="shared" si="8"/>
        <v>=,</v>
      </c>
    </row>
    <row r="69" spans="3:22" x14ac:dyDescent="0.25">
      <c r="D69" t="str">
        <f t="shared" si="5"/>
        <v>=None,</v>
      </c>
      <c r="H69" t="str">
        <f t="shared" si="6"/>
        <v xml:space="preserve">        if not :=''</v>
      </c>
      <c r="P69" t="str">
        <f t="shared" si="7"/>
        <v>"": ,</v>
      </c>
      <c r="V69" t="str">
        <f t="shared" si="8"/>
        <v>=,</v>
      </c>
    </row>
    <row r="70" spans="3:22" x14ac:dyDescent="0.25">
      <c r="D70" t="str">
        <f t="shared" si="5"/>
        <v>=None,</v>
      </c>
      <c r="H70" t="str">
        <f t="shared" si="6"/>
        <v xml:space="preserve">        if not :=''</v>
      </c>
      <c r="P70" t="str">
        <f t="shared" si="7"/>
        <v>"": ,</v>
      </c>
      <c r="V70" t="str">
        <f t="shared" si="8"/>
        <v>=,</v>
      </c>
    </row>
    <row r="71" spans="3:22" x14ac:dyDescent="0.25">
      <c r="D71" t="str">
        <f t="shared" si="5"/>
        <v>=None,</v>
      </c>
      <c r="H71" t="str">
        <f t="shared" si="6"/>
        <v xml:space="preserve">        if not :=''</v>
      </c>
      <c r="P71" t="str">
        <f t="shared" si="7"/>
        <v>"": ,</v>
      </c>
      <c r="V71" t="str">
        <f t="shared" si="8"/>
        <v>=,</v>
      </c>
    </row>
    <row r="72" spans="3:22" x14ac:dyDescent="0.25">
      <c r="D72" t="str">
        <f t="shared" si="5"/>
        <v>=None,</v>
      </c>
      <c r="H72" t="str">
        <f t="shared" si="6"/>
        <v xml:space="preserve">        if not :=''</v>
      </c>
      <c r="P72" t="str">
        <f t="shared" si="7"/>
        <v>"": ,</v>
      </c>
      <c r="V72" t="str">
        <f t="shared" si="8"/>
        <v>=,</v>
      </c>
    </row>
    <row r="73" spans="3:22" x14ac:dyDescent="0.25">
      <c r="D73" t="str">
        <f t="shared" si="5"/>
        <v>=None,</v>
      </c>
      <c r="H73" t="str">
        <f t="shared" si="6"/>
        <v xml:space="preserve">        if not :=''</v>
      </c>
      <c r="P73" t="str">
        <f t="shared" si="7"/>
        <v>"": ,</v>
      </c>
      <c r="V73" t="str">
        <f t="shared" si="8"/>
        <v>=,</v>
      </c>
    </row>
    <row r="74" spans="3:22" x14ac:dyDescent="0.25">
      <c r="D74" t="str">
        <f t="shared" si="5"/>
        <v>=None,</v>
      </c>
      <c r="H74" t="str">
        <f t="shared" si="6"/>
        <v xml:space="preserve">        if not :=''</v>
      </c>
      <c r="P74" t="str">
        <f t="shared" si="7"/>
        <v>"": ,</v>
      </c>
      <c r="V74" t="str">
        <f t="shared" si="8"/>
        <v>=,</v>
      </c>
    </row>
    <row r="75" spans="3:22" x14ac:dyDescent="0.25">
      <c r="D75" t="str">
        <f t="shared" si="5"/>
        <v>=None,</v>
      </c>
      <c r="H75" t="str">
        <f t="shared" si="6"/>
        <v xml:space="preserve">        if not :=''</v>
      </c>
      <c r="P75" t="str">
        <f t="shared" si="7"/>
        <v>"": ,</v>
      </c>
      <c r="V75" t="str">
        <f t="shared" si="8"/>
        <v>=,</v>
      </c>
    </row>
    <row r="76" spans="3:22" x14ac:dyDescent="0.25">
      <c r="D76" t="str">
        <f t="shared" si="5"/>
        <v>=None,</v>
      </c>
      <c r="H76" t="str">
        <f t="shared" si="6"/>
        <v xml:space="preserve">        if not :=''</v>
      </c>
      <c r="P76" t="str">
        <f t="shared" si="7"/>
        <v>"": ,</v>
      </c>
      <c r="V76" t="str">
        <f t="shared" si="8"/>
        <v>=,</v>
      </c>
    </row>
    <row r="77" spans="3:22" x14ac:dyDescent="0.25">
      <c r="C77" s="54"/>
      <c r="D77" t="str">
        <f t="shared" si="5"/>
        <v>=None,</v>
      </c>
      <c r="H77" t="str">
        <f t="shared" si="6"/>
        <v xml:space="preserve">        if not :=''</v>
      </c>
      <c r="P77" t="str">
        <f t="shared" si="7"/>
        <v>"": ,</v>
      </c>
      <c r="V77" t="str">
        <f t="shared" si="8"/>
        <v>=,</v>
      </c>
    </row>
    <row r="78" spans="3:22" x14ac:dyDescent="0.25">
      <c r="D78" t="str">
        <f t="shared" si="5"/>
        <v>=None,</v>
      </c>
      <c r="H78" t="str">
        <f t="shared" si="6"/>
        <v xml:space="preserve">        if not :=''</v>
      </c>
      <c r="P78" t="str">
        <f t="shared" si="7"/>
        <v>"": ,</v>
      </c>
      <c r="V78" t="str">
        <f t="shared" si="8"/>
        <v>=,</v>
      </c>
    </row>
    <row r="79" spans="3:22" x14ac:dyDescent="0.25">
      <c r="D79" t="str">
        <f t="shared" si="5"/>
        <v>=None,</v>
      </c>
      <c r="H79" t="str">
        <f t="shared" si="6"/>
        <v xml:space="preserve">        if not :=''</v>
      </c>
      <c r="P79" t="str">
        <f t="shared" si="7"/>
        <v>"": ,</v>
      </c>
      <c r="V79" t="str">
        <f t="shared" si="8"/>
        <v>=,</v>
      </c>
    </row>
    <row r="80" spans="3:22" x14ac:dyDescent="0.25">
      <c r="D80" t="str">
        <f t="shared" si="5"/>
        <v>=None,</v>
      </c>
      <c r="H80" t="str">
        <f t="shared" si="6"/>
        <v xml:space="preserve">        if not :=''</v>
      </c>
      <c r="P80" t="str">
        <f t="shared" si="7"/>
        <v>"": ,</v>
      </c>
      <c r="V80" t="str">
        <f t="shared" si="8"/>
        <v>=,</v>
      </c>
    </row>
    <row r="81" spans="3:22" x14ac:dyDescent="0.25">
      <c r="D81" t="str">
        <f t="shared" si="5"/>
        <v>=None,</v>
      </c>
      <c r="H81" t="str">
        <f t="shared" si="6"/>
        <v xml:space="preserve">        if not :=''</v>
      </c>
      <c r="P81" t="str">
        <f t="shared" si="7"/>
        <v>"": ,</v>
      </c>
      <c r="V81" t="str">
        <f t="shared" si="8"/>
        <v>=,</v>
      </c>
    </row>
    <row r="82" spans="3:22" x14ac:dyDescent="0.25">
      <c r="D82" t="str">
        <f t="shared" si="5"/>
        <v>=None,</v>
      </c>
      <c r="H82" t="str">
        <f t="shared" si="6"/>
        <v xml:space="preserve">        if not :=''</v>
      </c>
      <c r="P82" t="str">
        <f t="shared" si="7"/>
        <v>"": ,</v>
      </c>
      <c r="V82" t="str">
        <f t="shared" si="8"/>
        <v>=,</v>
      </c>
    </row>
    <row r="83" spans="3:22" x14ac:dyDescent="0.25">
      <c r="D83" t="str">
        <f t="shared" si="5"/>
        <v>=None,</v>
      </c>
      <c r="H83" t="str">
        <f t="shared" si="6"/>
        <v xml:space="preserve">        if not :=''</v>
      </c>
      <c r="P83" t="str">
        <f t="shared" si="7"/>
        <v>"": ,</v>
      </c>
      <c r="V83" t="str">
        <f t="shared" si="8"/>
        <v>=,</v>
      </c>
    </row>
    <row r="84" spans="3:22" x14ac:dyDescent="0.25">
      <c r="D84" t="str">
        <f t="shared" si="5"/>
        <v>=None,</v>
      </c>
      <c r="H84" t="str">
        <f t="shared" si="6"/>
        <v xml:space="preserve">        if not :=''</v>
      </c>
      <c r="P84" t="str">
        <f t="shared" si="7"/>
        <v>"": ,</v>
      </c>
      <c r="V84" t="str">
        <f t="shared" si="8"/>
        <v>=,</v>
      </c>
    </row>
    <row r="85" spans="3:22" x14ac:dyDescent="0.25">
      <c r="D85" t="str">
        <f t="shared" si="5"/>
        <v>=None,</v>
      </c>
      <c r="H85" t="str">
        <f t="shared" si="6"/>
        <v xml:space="preserve">        if not :=''</v>
      </c>
      <c r="P85" t="str">
        <f t="shared" si="7"/>
        <v>"": ,</v>
      </c>
      <c r="V85" t="str">
        <f t="shared" si="8"/>
        <v>=,</v>
      </c>
    </row>
    <row r="86" spans="3:22" x14ac:dyDescent="0.25">
      <c r="C86" s="54" t="s">
        <v>1170</v>
      </c>
      <c r="D86" t="str">
        <f t="shared" si="5"/>
        <v>=None,</v>
      </c>
      <c r="H86" t="str">
        <f t="shared" si="6"/>
        <v xml:space="preserve">        if not :=0</v>
      </c>
      <c r="P86" t="str">
        <f t="shared" si="7"/>
        <v>"": ,</v>
      </c>
      <c r="V86" t="str">
        <f t="shared" si="8"/>
        <v>=,</v>
      </c>
    </row>
    <row r="87" spans="3:22" x14ac:dyDescent="0.25">
      <c r="D87" t="str">
        <f t="shared" si="5"/>
        <v>=None,</v>
      </c>
      <c r="H87" t="str">
        <f t="shared" si="6"/>
        <v xml:space="preserve">        if not :=''</v>
      </c>
      <c r="P87" t="str">
        <f t="shared" si="7"/>
        <v>"": ,</v>
      </c>
      <c r="V87" t="str">
        <f t="shared" si="8"/>
        <v>=,</v>
      </c>
    </row>
    <row r="88" spans="3:22" x14ac:dyDescent="0.25">
      <c r="D88" t="str">
        <f t="shared" si="5"/>
        <v>=None,</v>
      </c>
      <c r="H88" t="str">
        <f t="shared" si="6"/>
        <v xml:space="preserve">        if not :=''</v>
      </c>
      <c r="P88" t="str">
        <f t="shared" si="7"/>
        <v>"": ,</v>
      </c>
      <c r="V88" t="str">
        <f t="shared" si="8"/>
        <v>=,</v>
      </c>
    </row>
    <row r="89" spans="3:22" x14ac:dyDescent="0.25">
      <c r="D89" t="str">
        <f t="shared" si="5"/>
        <v>=None,</v>
      </c>
      <c r="H89" t="str">
        <f t="shared" si="6"/>
        <v xml:space="preserve">        if not :=''</v>
      </c>
      <c r="P89" t="str">
        <f t="shared" si="7"/>
        <v>"": ,</v>
      </c>
      <c r="V89" t="str">
        <f t="shared" si="8"/>
        <v>=,</v>
      </c>
    </row>
    <row r="90" spans="3:22" x14ac:dyDescent="0.25">
      <c r="D90" t="str">
        <f t="shared" si="5"/>
        <v>=None,</v>
      </c>
      <c r="H90" t="str">
        <f t="shared" si="6"/>
        <v xml:space="preserve">        if not :=''</v>
      </c>
      <c r="P90" t="str">
        <f t="shared" si="7"/>
        <v>"": ,</v>
      </c>
      <c r="V90" t="str">
        <f t="shared" si="8"/>
        <v>=,</v>
      </c>
    </row>
    <row r="91" spans="3:22" x14ac:dyDescent="0.25">
      <c r="D91" t="str">
        <f t="shared" si="5"/>
        <v>=None,</v>
      </c>
      <c r="H91" t="str">
        <f t="shared" si="6"/>
        <v xml:space="preserve">        if not :=''</v>
      </c>
      <c r="P91" t="str">
        <f t="shared" si="7"/>
        <v>"": ,</v>
      </c>
      <c r="V91" t="str">
        <f t="shared" si="8"/>
        <v>=,</v>
      </c>
    </row>
    <row r="92" spans="3:22" x14ac:dyDescent="0.25">
      <c r="D92" t="str">
        <f t="shared" si="5"/>
        <v>=None,</v>
      </c>
      <c r="H92" t="str">
        <f t="shared" si="6"/>
        <v xml:space="preserve">        if not :=''</v>
      </c>
      <c r="P92" t="str">
        <f t="shared" si="7"/>
        <v>"": ,</v>
      </c>
      <c r="V92" t="str">
        <f t="shared" si="8"/>
        <v>=,</v>
      </c>
    </row>
    <row r="93" spans="3:22" x14ac:dyDescent="0.25">
      <c r="D93" t="str">
        <f t="shared" si="5"/>
        <v>=None,</v>
      </c>
      <c r="H93" t="str">
        <f t="shared" si="6"/>
        <v xml:space="preserve">        if not :=''</v>
      </c>
      <c r="P93" t="str">
        <f t="shared" si="7"/>
        <v>"": ,</v>
      </c>
      <c r="V93" t="str">
        <f t="shared" si="8"/>
        <v>=,</v>
      </c>
    </row>
    <row r="94" spans="3:22" x14ac:dyDescent="0.25">
      <c r="D94" t="str">
        <f t="shared" si="5"/>
        <v>=None,</v>
      </c>
      <c r="H94" t="str">
        <f t="shared" si="6"/>
        <v xml:space="preserve">        if not :=''</v>
      </c>
      <c r="P94" t="str">
        <f t="shared" si="7"/>
        <v>"": ,</v>
      </c>
      <c r="V94" t="str">
        <f t="shared" si="8"/>
        <v>=,</v>
      </c>
    </row>
    <row r="95" spans="3:22" x14ac:dyDescent="0.25">
      <c r="D95" t="str">
        <f t="shared" si="5"/>
        <v>=None,</v>
      </c>
      <c r="H95" t="str">
        <f t="shared" si="6"/>
        <v xml:space="preserve">        if not :=''</v>
      </c>
      <c r="P95" t="str">
        <f t="shared" si="7"/>
        <v>"": ,</v>
      </c>
      <c r="V95" t="str">
        <f t="shared" si="8"/>
        <v>=,</v>
      </c>
    </row>
    <row r="96" spans="3:22" x14ac:dyDescent="0.25">
      <c r="D96" t="str">
        <f t="shared" si="5"/>
        <v>=None,</v>
      </c>
      <c r="H96" t="str">
        <f t="shared" si="6"/>
        <v xml:space="preserve">        if not :=''</v>
      </c>
      <c r="P96" t="str">
        <f t="shared" si="7"/>
        <v>"": ,</v>
      </c>
      <c r="V96" t="str">
        <f t="shared" si="8"/>
        <v>=,</v>
      </c>
    </row>
    <row r="97" spans="4:22" x14ac:dyDescent="0.25">
      <c r="D97" t="str">
        <f t="shared" si="5"/>
        <v>=None,</v>
      </c>
      <c r="H97" t="str">
        <f t="shared" si="6"/>
        <v xml:space="preserve">        if not :=''</v>
      </c>
      <c r="P97" t="str">
        <f t="shared" si="7"/>
        <v>"": ,</v>
      </c>
      <c r="V97" t="str">
        <f t="shared" si="8"/>
        <v>=,</v>
      </c>
    </row>
    <row r="98" spans="4:22" x14ac:dyDescent="0.25">
      <c r="D98" t="str">
        <f t="shared" si="5"/>
        <v>=None,</v>
      </c>
      <c r="H98" t="str">
        <f t="shared" si="6"/>
        <v xml:space="preserve">        if not :=''</v>
      </c>
      <c r="P98" t="str">
        <f t="shared" si="7"/>
        <v>"": ,</v>
      </c>
      <c r="V98" t="str">
        <f t="shared" si="8"/>
        <v>=,</v>
      </c>
    </row>
    <row r="99" spans="4:22" x14ac:dyDescent="0.25">
      <c r="D99" t="str">
        <f t="shared" ref="D99:D120" si="10">B99&amp;$C$1</f>
        <v>=None,</v>
      </c>
      <c r="H99" t="str">
        <f t="shared" ref="H99:H120" si="11">$H$1&amp;B99&amp;$I$1&amp;B99&amp;IF(C99="",$J$1,C99)</f>
        <v xml:space="preserve">        if not :=''</v>
      </c>
      <c r="P99" t="str">
        <f t="shared" ref="P99:P120" si="12">$O$1&amp;B99&amp;$P$1&amp;B99&amp;$Q$1</f>
        <v>"": ,</v>
      </c>
      <c r="V99" t="str">
        <f t="shared" ref="V99:V120" si="13">B99&amp;$V$1&amp;B99&amp;$W$1</f>
        <v>=,</v>
      </c>
    </row>
    <row r="100" spans="4:22" x14ac:dyDescent="0.25">
      <c r="D100" t="str">
        <f t="shared" si="10"/>
        <v>=None,</v>
      </c>
      <c r="H100" t="str">
        <f t="shared" si="11"/>
        <v xml:space="preserve">        if not :=''</v>
      </c>
      <c r="P100" t="str">
        <f t="shared" si="12"/>
        <v>"": ,</v>
      </c>
      <c r="V100" t="str">
        <f t="shared" si="13"/>
        <v>=,</v>
      </c>
    </row>
    <row r="101" spans="4:22" x14ac:dyDescent="0.25">
      <c r="D101" t="str">
        <f t="shared" si="10"/>
        <v>=None,</v>
      </c>
      <c r="H101" t="str">
        <f t="shared" si="11"/>
        <v xml:space="preserve">        if not :=''</v>
      </c>
      <c r="P101" t="str">
        <f t="shared" si="12"/>
        <v>"": ,</v>
      </c>
      <c r="V101" t="str">
        <f t="shared" si="13"/>
        <v>=,</v>
      </c>
    </row>
    <row r="102" spans="4:22" x14ac:dyDescent="0.25">
      <c r="D102" t="str">
        <f t="shared" si="10"/>
        <v>=None,</v>
      </c>
      <c r="H102" t="str">
        <f t="shared" si="11"/>
        <v xml:space="preserve">        if not :=''</v>
      </c>
      <c r="P102" t="str">
        <f t="shared" si="12"/>
        <v>"": ,</v>
      </c>
      <c r="V102" t="str">
        <f t="shared" si="13"/>
        <v>=,</v>
      </c>
    </row>
    <row r="103" spans="4:22" x14ac:dyDescent="0.25">
      <c r="D103" t="str">
        <f t="shared" si="10"/>
        <v>=None,</v>
      </c>
      <c r="H103" t="str">
        <f t="shared" si="11"/>
        <v xml:space="preserve">        if not :=''</v>
      </c>
      <c r="P103" t="str">
        <f t="shared" si="12"/>
        <v>"": ,</v>
      </c>
      <c r="V103" t="str">
        <f t="shared" si="13"/>
        <v>=,</v>
      </c>
    </row>
    <row r="104" spans="4:22" x14ac:dyDescent="0.25">
      <c r="D104" t="str">
        <f t="shared" si="10"/>
        <v>=None,</v>
      </c>
      <c r="H104" t="str">
        <f t="shared" si="11"/>
        <v xml:space="preserve">        if not :=''</v>
      </c>
      <c r="P104" t="str">
        <f t="shared" si="12"/>
        <v>"": ,</v>
      </c>
      <c r="V104" t="str">
        <f t="shared" si="13"/>
        <v>=,</v>
      </c>
    </row>
    <row r="105" spans="4:22" x14ac:dyDescent="0.25">
      <c r="D105" t="str">
        <f t="shared" si="10"/>
        <v>=None,</v>
      </c>
      <c r="H105" t="str">
        <f t="shared" si="11"/>
        <v xml:space="preserve">        if not :=''</v>
      </c>
      <c r="P105" t="str">
        <f t="shared" si="12"/>
        <v>"": ,</v>
      </c>
      <c r="V105" t="str">
        <f t="shared" si="13"/>
        <v>=,</v>
      </c>
    </row>
    <row r="106" spans="4:22" x14ac:dyDescent="0.25">
      <c r="D106" t="str">
        <f t="shared" si="10"/>
        <v>=None,</v>
      </c>
      <c r="H106" t="str">
        <f t="shared" si="11"/>
        <v xml:space="preserve">        if not :=''</v>
      </c>
      <c r="P106" t="str">
        <f t="shared" si="12"/>
        <v>"": ,</v>
      </c>
      <c r="V106" t="str">
        <f t="shared" si="13"/>
        <v>=,</v>
      </c>
    </row>
    <row r="107" spans="4:22" x14ac:dyDescent="0.25">
      <c r="D107" t="str">
        <f t="shared" si="10"/>
        <v>=None,</v>
      </c>
      <c r="H107" t="str">
        <f t="shared" si="11"/>
        <v xml:space="preserve">        if not :=''</v>
      </c>
      <c r="P107" t="str">
        <f t="shared" si="12"/>
        <v>"": ,</v>
      </c>
      <c r="V107" t="str">
        <f t="shared" si="13"/>
        <v>=,</v>
      </c>
    </row>
    <row r="108" spans="4:22" x14ac:dyDescent="0.25">
      <c r="D108" t="str">
        <f t="shared" si="10"/>
        <v>=None,</v>
      </c>
      <c r="H108" t="str">
        <f t="shared" si="11"/>
        <v xml:space="preserve">        if not :=''</v>
      </c>
      <c r="P108" t="str">
        <f t="shared" si="12"/>
        <v>"": ,</v>
      </c>
      <c r="V108" t="str">
        <f t="shared" si="13"/>
        <v>=,</v>
      </c>
    </row>
    <row r="109" spans="4:22" x14ac:dyDescent="0.25">
      <c r="D109" t="str">
        <f t="shared" si="10"/>
        <v>=None,</v>
      </c>
      <c r="H109" t="str">
        <f t="shared" si="11"/>
        <v xml:space="preserve">        if not :=''</v>
      </c>
      <c r="P109" t="str">
        <f t="shared" si="12"/>
        <v>"": ,</v>
      </c>
      <c r="V109" t="str">
        <f t="shared" si="13"/>
        <v>=,</v>
      </c>
    </row>
    <row r="110" spans="4:22" x14ac:dyDescent="0.25">
      <c r="D110" t="str">
        <f t="shared" si="10"/>
        <v>=None,</v>
      </c>
      <c r="H110" t="str">
        <f t="shared" si="11"/>
        <v xml:space="preserve">        if not :=''</v>
      </c>
      <c r="P110" t="str">
        <f t="shared" si="12"/>
        <v>"": ,</v>
      </c>
      <c r="V110" t="str">
        <f t="shared" si="13"/>
        <v>=,</v>
      </c>
    </row>
    <row r="111" spans="4:22" x14ac:dyDescent="0.25">
      <c r="D111" t="str">
        <f t="shared" si="10"/>
        <v>=None,</v>
      </c>
      <c r="H111" t="str">
        <f t="shared" si="11"/>
        <v xml:space="preserve">        if not :=''</v>
      </c>
      <c r="P111" t="str">
        <f t="shared" si="12"/>
        <v>"": ,</v>
      </c>
      <c r="V111" t="str">
        <f t="shared" si="13"/>
        <v>=,</v>
      </c>
    </row>
    <row r="112" spans="4:22" x14ac:dyDescent="0.25">
      <c r="D112" t="str">
        <f t="shared" si="10"/>
        <v>=None,</v>
      </c>
      <c r="H112" t="str">
        <f t="shared" si="11"/>
        <v xml:space="preserve">        if not :=''</v>
      </c>
      <c r="P112" t="str">
        <f t="shared" si="12"/>
        <v>"": ,</v>
      </c>
      <c r="V112" t="str">
        <f t="shared" si="13"/>
        <v>=,</v>
      </c>
    </row>
    <row r="113" spans="4:22" x14ac:dyDescent="0.25">
      <c r="D113" t="str">
        <f t="shared" si="10"/>
        <v>=None,</v>
      </c>
      <c r="H113" t="str">
        <f t="shared" si="11"/>
        <v xml:space="preserve">        if not :=''</v>
      </c>
      <c r="P113" t="str">
        <f t="shared" si="12"/>
        <v>"": ,</v>
      </c>
      <c r="V113" t="str">
        <f t="shared" si="13"/>
        <v>=,</v>
      </c>
    </row>
    <row r="114" spans="4:22" x14ac:dyDescent="0.25">
      <c r="D114" t="str">
        <f t="shared" si="10"/>
        <v>=None,</v>
      </c>
      <c r="H114" t="str">
        <f t="shared" si="11"/>
        <v xml:space="preserve">        if not :=''</v>
      </c>
      <c r="P114" t="str">
        <f t="shared" si="12"/>
        <v>"": ,</v>
      </c>
      <c r="V114" t="str">
        <f t="shared" si="13"/>
        <v>=,</v>
      </c>
    </row>
    <row r="115" spans="4:22" x14ac:dyDescent="0.25">
      <c r="D115" t="str">
        <f t="shared" si="10"/>
        <v>=None,</v>
      </c>
      <c r="H115" t="str">
        <f t="shared" si="11"/>
        <v xml:space="preserve">        if not :=''</v>
      </c>
      <c r="P115" t="str">
        <f t="shared" si="12"/>
        <v>"": ,</v>
      </c>
      <c r="V115" t="str">
        <f t="shared" si="13"/>
        <v>=,</v>
      </c>
    </row>
    <row r="116" spans="4:22" x14ac:dyDescent="0.25">
      <c r="D116" t="str">
        <f t="shared" si="10"/>
        <v>=None,</v>
      </c>
      <c r="H116" t="str">
        <f t="shared" si="11"/>
        <v xml:space="preserve">        if not :=''</v>
      </c>
      <c r="P116" t="str">
        <f t="shared" si="12"/>
        <v>"": ,</v>
      </c>
      <c r="V116" t="str">
        <f t="shared" si="13"/>
        <v>=,</v>
      </c>
    </row>
    <row r="117" spans="4:22" x14ac:dyDescent="0.25">
      <c r="D117" t="str">
        <f t="shared" si="10"/>
        <v>=None,</v>
      </c>
      <c r="H117" t="str">
        <f t="shared" si="11"/>
        <v xml:space="preserve">        if not :=''</v>
      </c>
      <c r="P117" t="str">
        <f t="shared" si="12"/>
        <v>"": ,</v>
      </c>
      <c r="V117" t="str">
        <f t="shared" si="13"/>
        <v>=,</v>
      </c>
    </row>
    <row r="118" spans="4:22" x14ac:dyDescent="0.25">
      <c r="D118" t="str">
        <f t="shared" si="10"/>
        <v>=None,</v>
      </c>
      <c r="H118" t="str">
        <f t="shared" si="11"/>
        <v xml:space="preserve">        if not :=''</v>
      </c>
      <c r="P118" t="str">
        <f t="shared" si="12"/>
        <v>"": ,</v>
      </c>
      <c r="V118" t="str">
        <f t="shared" si="13"/>
        <v>=,</v>
      </c>
    </row>
    <row r="119" spans="4:22" x14ac:dyDescent="0.25">
      <c r="D119" t="str">
        <f t="shared" si="10"/>
        <v>=None,</v>
      </c>
      <c r="H119" t="str">
        <f t="shared" si="11"/>
        <v xml:space="preserve">        if not :=''</v>
      </c>
      <c r="P119" t="str">
        <f t="shared" si="12"/>
        <v>"": ,</v>
      </c>
      <c r="V119" t="str">
        <f t="shared" si="13"/>
        <v>=,</v>
      </c>
    </row>
    <row r="120" spans="4:22" x14ac:dyDescent="0.25">
      <c r="D120" t="str">
        <f t="shared" si="10"/>
        <v>=None,</v>
      </c>
      <c r="H120" t="str">
        <f t="shared" si="11"/>
        <v xml:space="preserve">        if not :=''</v>
      </c>
      <c r="P120" t="str">
        <f t="shared" si="12"/>
        <v>"": ,</v>
      </c>
      <c r="V120" t="str">
        <f t="shared" si="13"/>
        <v>=,</v>
      </c>
    </row>
  </sheetData>
  <phoneticPr fontId="1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8"/>
  <sheetViews>
    <sheetView topLeftCell="A4" workbookViewId="0">
      <selection activeCell="F13" sqref="F13"/>
    </sheetView>
  </sheetViews>
  <sheetFormatPr defaultRowHeight="15" x14ac:dyDescent="0.25"/>
  <cols>
    <col min="1" max="1" width="14.28515625" bestFit="1" customWidth="1"/>
    <col min="2" max="2" width="26.85546875" bestFit="1" customWidth="1"/>
    <col min="3" max="3" width="6.140625" bestFit="1" customWidth="1"/>
    <col min="4" max="4" width="22.140625" bestFit="1" customWidth="1"/>
    <col min="5" max="5" width="10" customWidth="1"/>
    <col min="6" max="6" width="15.85546875" customWidth="1"/>
  </cols>
  <sheetData>
    <row r="1" spans="1:8" x14ac:dyDescent="0.25">
      <c r="E1" t="s">
        <v>1353</v>
      </c>
      <c r="F1" s="54" t="s">
        <v>1358</v>
      </c>
      <c r="G1" t="s">
        <v>1376</v>
      </c>
      <c r="H1" s="54" t="s">
        <v>1377</v>
      </c>
    </row>
    <row r="2" spans="1:8" x14ac:dyDescent="0.25">
      <c r="A2" s="95" t="s">
        <v>1372</v>
      </c>
      <c r="B2" s="95" t="s">
        <v>1373</v>
      </c>
      <c r="C2" s="95" t="s">
        <v>1374</v>
      </c>
      <c r="D2" s="95" t="s">
        <v>1375</v>
      </c>
      <c r="E2" s="95" t="s">
        <v>1354</v>
      </c>
      <c r="F2" s="95" t="s">
        <v>1355</v>
      </c>
      <c r="G2" s="95" t="s">
        <v>1356</v>
      </c>
      <c r="H2" s="95" t="s">
        <v>1357</v>
      </c>
    </row>
    <row r="3" spans="1:8" x14ac:dyDescent="0.25">
      <c r="A3" t="s">
        <v>1328</v>
      </c>
      <c r="E3" t="str">
        <f>IF(A3="","",$E$1&amp;A3&amp;$F$1&amp;$G$1&amp;A3&amp;$H$1)</f>
        <v>assert 'status' in data_actual, "Expected: key 'status' exists."</v>
      </c>
      <c r="F3" t="str">
        <f>IF(B3="","",$E$1&amp;B3&amp;$F$1&amp;"["&amp;A3&amp;"]"&amp;$G$1&amp;B3&amp;$H$1)</f>
        <v/>
      </c>
      <c r="G3" t="str">
        <f>IF(C3="","",$E$1&amp;C3&amp;$F$1&amp;"['"&amp;$A$4&amp;"']"&amp;"['"&amp;B2&amp;"']"&amp;$G$1&amp;C3&amp;$H$1)</f>
        <v/>
      </c>
      <c r="H3" t="str">
        <f>IF(D3="","",$E$1&amp;D3&amp;$F$1&amp;"['"&amp;$A$4&amp;"']"&amp;"['"&amp;$B$36&amp;"']"&amp;"[0]"&amp;$G$1&amp;D3&amp;$H$1)</f>
        <v/>
      </c>
    </row>
    <row r="4" spans="1:8" x14ac:dyDescent="0.25">
      <c r="A4" t="s">
        <v>1329</v>
      </c>
      <c r="E4" t="str">
        <f t="shared" ref="E4:E67" si="0">IF(A4="","",$E$1&amp;A4&amp;$F$1&amp;$G$1&amp;A4&amp;$H$1)</f>
        <v>assert 'data' in data_actual, "Expected: key 'data' exists."</v>
      </c>
      <c r="F4" t="str">
        <f>IF(B4="","",$E$1&amp;B4&amp;$F$1&amp;"["&amp;A4&amp;"]"&amp;$G$1&amp;B4&amp;$H$1)</f>
        <v/>
      </c>
      <c r="G4" t="str">
        <f>IF(C4="","",$E$1&amp;C4&amp;$F$1&amp;"['"&amp;$A$4&amp;"']"&amp;"['"&amp;B3&amp;"']"&amp;$G$1&amp;C4&amp;$H$1)</f>
        <v/>
      </c>
      <c r="H4" t="str">
        <f>IF(D4="","",$E$1&amp;D4&amp;$F$1&amp;"['"&amp;$A$4&amp;"']"&amp;"['"&amp;$B$36&amp;"']"&amp;"[0]"&amp;$G$1&amp;D4&amp;$H$1)</f>
        <v/>
      </c>
    </row>
    <row r="5" spans="1:8" x14ac:dyDescent="0.25">
      <c r="B5" t="s">
        <v>1411</v>
      </c>
      <c r="E5" t="str">
        <f t="shared" si="0"/>
        <v/>
      </c>
      <c r="F5" t="str">
        <f>IF(B5="","",$E$1&amp;B5&amp;$F$1&amp;"['"&amp;$A$4&amp;"']"&amp;$G$1&amp;B5&amp;$H$1)</f>
        <v>assert 'stock_type' in data_actual['data'], "Expected: key 'stock_type' exists."</v>
      </c>
    </row>
    <row r="6" spans="1:8" x14ac:dyDescent="0.25">
      <c r="B6" t="s">
        <v>1297</v>
      </c>
      <c r="E6" t="str">
        <f t="shared" si="0"/>
        <v/>
      </c>
      <c r="F6" t="str">
        <f t="shared" ref="F6:F69" si="1">IF(B6="","",$E$1&amp;B6&amp;$F$1&amp;"['"&amp;$A$4&amp;"']"&amp;$G$1&amp;B6&amp;$H$1)</f>
        <v>assert 'account_number' in data_actual['data'], "Expected: key 'account_number' exists."</v>
      </c>
    </row>
    <row r="7" spans="1:8" x14ac:dyDescent="0.25">
      <c r="B7" t="s">
        <v>1536</v>
      </c>
      <c r="E7" t="str">
        <f t="shared" si="0"/>
        <v/>
      </c>
      <c r="F7" t="str">
        <f t="shared" si="1"/>
        <v>assert 'serial_no' in data_actual['data'], "Expected: key 'serial_no' exists."</v>
      </c>
    </row>
    <row r="8" spans="1:8" x14ac:dyDescent="0.25">
      <c r="B8" t="s">
        <v>1412</v>
      </c>
      <c r="E8" t="str">
        <f t="shared" si="0"/>
        <v/>
      </c>
      <c r="F8" t="str">
        <f t="shared" si="1"/>
        <v>assert 'stock_prefix' in data_actual['data'], "Expected: key 'stock_prefix' exists."</v>
      </c>
    </row>
    <row r="9" spans="1:8" x14ac:dyDescent="0.25">
      <c r="B9" t="s">
        <v>1537</v>
      </c>
      <c r="E9" t="str">
        <f t="shared" si="0"/>
        <v/>
      </c>
      <c r="F9" t="str">
        <f t="shared" si="1"/>
        <v>assert 'method' in data_actual['data'], "Expected: key 'method' exists."</v>
      </c>
      <c r="G9" t="str">
        <f>IF(C9="","",$E$1&amp;C9&amp;$F$1&amp;"['"&amp;$A$4&amp;"']"&amp;"['"&amp;B8&amp;"']"&amp;$G$1&amp;C9&amp;$H$1)</f>
        <v/>
      </c>
    </row>
    <row r="10" spans="1:8" x14ac:dyDescent="0.25">
      <c r="B10" t="s">
        <v>1538</v>
      </c>
      <c r="E10" t="str">
        <f t="shared" si="0"/>
        <v/>
      </c>
      <c r="F10" t="str">
        <f t="shared" si="1"/>
        <v>assert 'account_number_for_fee' in data_actual['data'], "Expected: key 'account_number_for_fee' exists."</v>
      </c>
      <c r="G10" t="str">
        <f>IF(C10="","",$E$1&amp;C10&amp;$F$1&amp;"['"&amp;$A$4&amp;"']"&amp;"['"&amp;B9&amp;"']"&amp;$G$1&amp;C10&amp;$H$1)</f>
        <v/>
      </c>
    </row>
    <row r="11" spans="1:8" x14ac:dyDescent="0.25">
      <c r="B11" t="s">
        <v>1413</v>
      </c>
      <c r="E11" t="str">
        <f t="shared" si="0"/>
        <v/>
      </c>
      <c r="F11" t="str">
        <f t="shared" si="1"/>
        <v>assert 'currency_code' in data_actual['data'], "Expected: key 'currency_code' exists."</v>
      </c>
    </row>
    <row r="12" spans="1:8" x14ac:dyDescent="0.25">
      <c r="B12" t="s">
        <v>1298</v>
      </c>
      <c r="E12" t="str">
        <f t="shared" si="0"/>
        <v/>
      </c>
      <c r="F12" t="str">
        <f t="shared" si="1"/>
        <v>assert 'branch_name' in data_actual['data'], "Expected: key 'branch_name' exists."</v>
      </c>
    </row>
    <row r="13" spans="1:8" x14ac:dyDescent="0.25">
      <c r="B13" t="s">
        <v>1515</v>
      </c>
      <c r="E13" t="str">
        <f t="shared" si="0"/>
        <v/>
      </c>
      <c r="F13" t="str">
        <f t="shared" si="1"/>
        <v>assert 'total_fee' in data_actual['data'], "Expected: key 'total_fee' exists."</v>
      </c>
    </row>
    <row r="14" spans="1:8" x14ac:dyDescent="0.25">
      <c r="B14" t="s">
        <v>1301</v>
      </c>
      <c r="E14" t="str">
        <f t="shared" si="0"/>
        <v/>
      </c>
      <c r="F14" t="str">
        <f t="shared" si="1"/>
        <v>assert 'fee_data' in data_actual['data'], "Expected: key 'fee_data' exists."</v>
      </c>
    </row>
    <row r="15" spans="1:8" x14ac:dyDescent="0.25">
      <c r="B15" t="s">
        <v>1331</v>
      </c>
      <c r="E15" t="str">
        <f t="shared" si="0"/>
        <v/>
      </c>
      <c r="F15" t="str">
        <f t="shared" si="1"/>
        <v>assert 'transaction_code' in data_actual['data'], "Expected: key 'transaction_code' exists."</v>
      </c>
    </row>
    <row r="16" spans="1:8" x14ac:dyDescent="0.25">
      <c r="B16" t="s">
        <v>1332</v>
      </c>
      <c r="E16" t="str">
        <f t="shared" si="0"/>
        <v/>
      </c>
      <c r="F16" t="str">
        <f t="shared" si="1"/>
        <v>assert 'transaction_number' in data_actual['data'], "Expected: key 'transaction_number' exists."</v>
      </c>
    </row>
    <row r="17" spans="2:6" x14ac:dyDescent="0.25">
      <c r="B17" t="s">
        <v>1333</v>
      </c>
      <c r="E17" t="str">
        <f t="shared" si="0"/>
        <v/>
      </c>
      <c r="F17" t="str">
        <f t="shared" si="1"/>
        <v>assert 'transaction_type' in data_actual['data'], "Expected: key 'transaction_type' exists."</v>
      </c>
    </row>
    <row r="18" spans="2:6" x14ac:dyDescent="0.25">
      <c r="B18" t="s">
        <v>1334</v>
      </c>
      <c r="E18" t="str">
        <f t="shared" si="0"/>
        <v/>
      </c>
      <c r="F18" t="str">
        <f t="shared" si="1"/>
        <v>assert 'sub_code' in data_actual['data'], "Expected: key 'sub_code' exists."</v>
      </c>
    </row>
    <row r="19" spans="2:6" x14ac:dyDescent="0.25">
      <c r="B19" t="s">
        <v>1335</v>
      </c>
      <c r="E19" t="str">
        <f t="shared" si="0"/>
        <v/>
      </c>
      <c r="F19" t="str">
        <f t="shared" si="1"/>
        <v>assert 'transaction_date' in data_actual['data'], "Expected: key 'transaction_date' exists."</v>
      </c>
    </row>
    <row r="20" spans="2:6" x14ac:dyDescent="0.25">
      <c r="B20" t="s">
        <v>1336</v>
      </c>
      <c r="E20" t="str">
        <f t="shared" si="0"/>
        <v/>
      </c>
      <c r="F20" t="str">
        <f t="shared" si="1"/>
        <v>assert 'service_sys_date' in data_actual['data'], "Expected: key 'service_sys_date' exists."</v>
      </c>
    </row>
    <row r="21" spans="2:6" x14ac:dyDescent="0.25">
      <c r="B21" t="s">
        <v>1337</v>
      </c>
      <c r="E21" t="str">
        <f t="shared" si="0"/>
        <v/>
      </c>
      <c r="F21" t="str">
        <f t="shared" si="1"/>
        <v>assert 'reference_id' in data_actual['data'], "Expected: key 'reference_id' exists."</v>
      </c>
    </row>
    <row r="22" spans="2:6" x14ac:dyDescent="0.25">
      <c r="B22" t="s">
        <v>1338</v>
      </c>
      <c r="E22" t="str">
        <f t="shared" si="0"/>
        <v/>
      </c>
      <c r="F22" t="str">
        <f t="shared" si="1"/>
        <v>assert 'ref_id' in data_actual['data'], "Expected: key 'ref_id' exists."</v>
      </c>
    </row>
    <row r="23" spans="2:6" x14ac:dyDescent="0.25">
      <c r="B23" t="s">
        <v>1339</v>
      </c>
      <c r="E23" t="str">
        <f t="shared" si="0"/>
        <v/>
      </c>
      <c r="F23" t="str">
        <f t="shared" si="1"/>
        <v>assert 'reference_code' in data_actual['data'], "Expected: key 'reference_code' exists."</v>
      </c>
    </row>
    <row r="24" spans="2:6" x14ac:dyDescent="0.25">
      <c r="B24" t="s">
        <v>1340</v>
      </c>
      <c r="E24" t="str">
        <f t="shared" si="0"/>
        <v/>
      </c>
      <c r="F24" t="str">
        <f t="shared" si="1"/>
        <v>assert 'business_code' in data_actual['data'], "Expected: key 'business_code' exists."</v>
      </c>
    </row>
    <row r="25" spans="2:6" x14ac:dyDescent="0.25">
      <c r="B25" t="s">
        <v>1341</v>
      </c>
      <c r="E25" t="str">
        <f t="shared" si="0"/>
        <v/>
      </c>
      <c r="F25" t="str">
        <f t="shared" si="1"/>
        <v>assert 'value_date' in data_actual['data'], "Expected: key 'value_date' exists."</v>
      </c>
    </row>
    <row r="26" spans="2:6" x14ac:dyDescent="0.25">
      <c r="B26" t="s">
        <v>1342</v>
      </c>
      <c r="E26" t="str">
        <f t="shared" si="0"/>
        <v/>
      </c>
      <c r="F26" t="str">
        <f t="shared" si="1"/>
        <v>assert 'current_user_code' in data_actual['data'], "Expected: key 'current_user_code' exists."</v>
      </c>
    </row>
    <row r="27" spans="2:6" x14ac:dyDescent="0.25">
      <c r="B27" t="s">
        <v>1343</v>
      </c>
      <c r="E27" t="str">
        <f t="shared" si="0"/>
        <v/>
      </c>
      <c r="F27" t="str">
        <f t="shared" si="1"/>
        <v>assert 'current_branch_code' in data_actual['data'], "Expected: key 'current_branch_code' exists."</v>
      </c>
    </row>
    <row r="28" spans="2:6" x14ac:dyDescent="0.25">
      <c r="B28" t="s">
        <v>1344</v>
      </c>
      <c r="E28" t="str">
        <f t="shared" si="0"/>
        <v/>
      </c>
      <c r="F28" t="str">
        <f t="shared" si="1"/>
        <v>assert 'current_username' in data_actual['data'], "Expected: key 'current_username' exists."</v>
      </c>
    </row>
    <row r="29" spans="2:6" x14ac:dyDescent="0.25">
      <c r="B29" t="s">
        <v>1345</v>
      </c>
      <c r="E29" t="str">
        <f t="shared" si="0"/>
        <v/>
      </c>
      <c r="F29" t="str">
        <f t="shared" si="1"/>
        <v>assert 'current_loginname' in data_actual['data'], "Expected: key 'current_loginname' exists."</v>
      </c>
    </row>
    <row r="30" spans="2:6" x14ac:dyDescent="0.25">
      <c r="B30" t="s">
        <v>1318</v>
      </c>
      <c r="E30" t="str">
        <f t="shared" si="0"/>
        <v/>
      </c>
      <c r="F30" t="str">
        <f t="shared" si="1"/>
        <v>assert 'user_approve' in data_actual['data'], "Expected: key 'user_approve' exists."</v>
      </c>
    </row>
    <row r="31" spans="2:6" x14ac:dyDescent="0.25">
      <c r="B31" t="s">
        <v>1328</v>
      </c>
      <c r="E31" t="str">
        <f t="shared" si="0"/>
        <v/>
      </c>
      <c r="F31" t="str">
        <f t="shared" si="1"/>
        <v>assert 'status' in data_actual['data'], "Expected: key 'status' exists."</v>
      </c>
    </row>
    <row r="32" spans="2:6" x14ac:dyDescent="0.25">
      <c r="B32" t="s">
        <v>1346</v>
      </c>
      <c r="E32" t="str">
        <f t="shared" si="0"/>
        <v/>
      </c>
      <c r="F32" t="str">
        <f t="shared" si="1"/>
        <v>assert 'is_reverse' in data_actual['data'], "Expected: key 'is_reverse' exists."</v>
      </c>
    </row>
    <row r="33" spans="2:8" x14ac:dyDescent="0.25">
      <c r="B33" t="s">
        <v>1347</v>
      </c>
      <c r="E33" t="str">
        <f t="shared" si="0"/>
        <v/>
      </c>
      <c r="F33" t="str">
        <f t="shared" si="1"/>
        <v>assert 'amount1' in data_actual['data'], "Expected: key 'amount1' exists."</v>
      </c>
    </row>
    <row r="34" spans="2:8" x14ac:dyDescent="0.25">
      <c r="B34" t="s">
        <v>1299</v>
      </c>
      <c r="E34" t="str">
        <f t="shared" si="0"/>
        <v/>
      </c>
      <c r="F34" t="str">
        <f t="shared" si="1"/>
        <v>assert 'description' in data_actual['data'], "Expected: key 'description' exists."</v>
      </c>
    </row>
    <row r="35" spans="2:8" x14ac:dyDescent="0.25">
      <c r="B35" t="s">
        <v>1348</v>
      </c>
      <c r="E35" t="str">
        <f t="shared" si="0"/>
        <v/>
      </c>
      <c r="F35" t="str">
        <f t="shared" si="1"/>
        <v>assert 'token' in data_actual['data'], "Expected: key 'token' exists."</v>
      </c>
    </row>
    <row r="36" spans="2:8" x14ac:dyDescent="0.25">
      <c r="B36" t="s">
        <v>1349</v>
      </c>
      <c r="E36" t="str">
        <f t="shared" si="0"/>
        <v/>
      </c>
      <c r="F36" t="str">
        <f t="shared" si="1"/>
        <v>assert 'is_transaction_reverse' in data_actual['data'], "Expected: key 'is_transaction_reverse' exists."</v>
      </c>
      <c r="H36" t="str">
        <f>IF(D36="","",$E$1&amp;D36&amp;$F$1&amp;"['"&amp;$A$4&amp;"']"&amp;"['"&amp;$B$35&amp;"']"&amp;"[0]"&amp;$G$1&amp;D36&amp;$H$1)</f>
        <v/>
      </c>
    </row>
    <row r="37" spans="2:8" x14ac:dyDescent="0.25">
      <c r="B37" t="s">
        <v>1350</v>
      </c>
      <c r="C37" t="s">
        <v>1370</v>
      </c>
      <c r="D37" t="s">
        <v>1370</v>
      </c>
      <c r="E37" t="str">
        <f t="shared" si="0"/>
        <v/>
      </c>
      <c r="F37" t="str">
        <f t="shared" si="1"/>
        <v>assert 'is_transaction_compensated' in data_actual['data'], "Expected: key 'is_transaction_compensated' exists."</v>
      </c>
      <c r="G37" t="str">
        <f>IF(C37="","",$E$1&amp;C37&amp;$F$1&amp;"['"&amp;$A$4&amp;"']"&amp;"['"&amp;B36&amp;"']"&amp;$G$1&amp;C37&amp;$H$1)</f>
        <v>assert 'reason_of_account_opening' in data_actual['data']['is_transaction_reverse'], "Expected: key 'reason_of_account_opening' exists."</v>
      </c>
      <c r="H37" t="str">
        <f>IF(D37="","",$E$1&amp;D37&amp;$F$1&amp;"['"&amp;$A$4&amp;"']"&amp;"['"&amp;$B$36&amp;"']"&amp;"[0]"&amp;$G$1&amp;D37&amp;$H$1)</f>
        <v>assert 'reason_of_account_opening' in data_actual['data']['is_transaction_reverse'][0], "Expected: key 'reason_of_account_opening' exists."</v>
      </c>
    </row>
    <row r="38" spans="2:8" x14ac:dyDescent="0.25">
      <c r="C38" t="s">
        <v>1371</v>
      </c>
      <c r="D38" t="s">
        <v>1371</v>
      </c>
      <c r="E38" t="str">
        <f t="shared" si="0"/>
        <v/>
      </c>
      <c r="F38" t="str">
        <f t="shared" si="1"/>
        <v/>
      </c>
      <c r="G38" t="str">
        <f>IF(C38="","",$E$1&amp;C38&amp;$F$1&amp;"['"&amp;$A$4&amp;"']"&amp;"['"&amp;B37&amp;"']"&amp;$G$1&amp;C38&amp;$H$1)</f>
        <v>assert 'relationship_manager' in data_actual['data']['is_transaction_compensated'], "Expected: key 'relationship_manager' exists."</v>
      </c>
      <c r="H38" t="str">
        <f>IF(D38="","",$E$1&amp;D38&amp;$F$1&amp;"['"&amp;$A$4&amp;"']"&amp;"['"&amp;$B$36&amp;"']"&amp;"[0]"&amp;$G$1&amp;D38&amp;$H$1)</f>
        <v>assert 'relationship_manager' in data_actual['data']['is_transaction_reverse'][0], "Expected: key 'relationship_manager' exists."</v>
      </c>
    </row>
    <row r="39" spans="2:8" x14ac:dyDescent="0.25">
      <c r="E39" t="str">
        <f t="shared" si="0"/>
        <v/>
      </c>
      <c r="F39" t="str">
        <f t="shared" si="1"/>
        <v/>
      </c>
      <c r="H39" t="str">
        <f t="shared" ref="H39:H52" si="2">IF(D39="","",$E$1&amp;D39&amp;$F$1&amp;"['"&amp;$A$4&amp;"']"&amp;"['"&amp;$B$35&amp;"']"&amp;"[0]"&amp;$G$1&amp;D39&amp;$H$1)</f>
        <v/>
      </c>
    </row>
    <row r="40" spans="2:8" x14ac:dyDescent="0.25">
      <c r="E40" t="str">
        <f t="shared" si="0"/>
        <v/>
      </c>
      <c r="F40" t="str">
        <f t="shared" si="1"/>
        <v/>
      </c>
      <c r="H40" t="str">
        <f t="shared" si="2"/>
        <v/>
      </c>
    </row>
    <row r="41" spans="2:8" x14ac:dyDescent="0.25">
      <c r="E41" t="str">
        <f t="shared" si="0"/>
        <v/>
      </c>
      <c r="F41" t="str">
        <f t="shared" si="1"/>
        <v/>
      </c>
      <c r="H41" t="str">
        <f t="shared" si="2"/>
        <v/>
      </c>
    </row>
    <row r="42" spans="2:8" x14ac:dyDescent="0.25">
      <c r="E42" t="str">
        <f t="shared" si="0"/>
        <v/>
      </c>
      <c r="F42" t="str">
        <f t="shared" si="1"/>
        <v/>
      </c>
      <c r="H42" t="str">
        <f t="shared" si="2"/>
        <v/>
      </c>
    </row>
    <row r="43" spans="2:8" x14ac:dyDescent="0.25">
      <c r="E43" t="str">
        <f t="shared" si="0"/>
        <v/>
      </c>
      <c r="F43" t="str">
        <f t="shared" si="1"/>
        <v/>
      </c>
      <c r="H43" t="str">
        <f t="shared" si="2"/>
        <v/>
      </c>
    </row>
    <row r="44" spans="2:8" x14ac:dyDescent="0.25">
      <c r="E44" t="str">
        <f t="shared" si="0"/>
        <v/>
      </c>
      <c r="F44" t="str">
        <f t="shared" si="1"/>
        <v/>
      </c>
      <c r="H44" t="str">
        <f t="shared" si="2"/>
        <v/>
      </c>
    </row>
    <row r="45" spans="2:8" x14ac:dyDescent="0.25">
      <c r="E45" t="str">
        <f t="shared" si="0"/>
        <v/>
      </c>
      <c r="F45" t="str">
        <f t="shared" si="1"/>
        <v/>
      </c>
      <c r="H45" t="str">
        <f t="shared" si="2"/>
        <v/>
      </c>
    </row>
    <row r="46" spans="2:8" x14ac:dyDescent="0.25">
      <c r="E46" t="str">
        <f t="shared" si="0"/>
        <v/>
      </c>
      <c r="F46" t="str">
        <f t="shared" si="1"/>
        <v/>
      </c>
      <c r="H46" t="str">
        <f t="shared" si="2"/>
        <v/>
      </c>
    </row>
    <row r="47" spans="2:8" x14ac:dyDescent="0.25">
      <c r="E47" t="str">
        <f t="shared" si="0"/>
        <v/>
      </c>
      <c r="F47" t="str">
        <f t="shared" si="1"/>
        <v/>
      </c>
      <c r="H47" t="str">
        <f t="shared" si="2"/>
        <v/>
      </c>
    </row>
    <row r="48" spans="2:8" x14ac:dyDescent="0.25">
      <c r="E48" t="str">
        <f t="shared" si="0"/>
        <v/>
      </c>
      <c r="F48" t="str">
        <f t="shared" si="1"/>
        <v/>
      </c>
      <c r="H48" t="str">
        <f t="shared" si="2"/>
        <v/>
      </c>
    </row>
    <row r="49" spans="2:8" x14ac:dyDescent="0.25">
      <c r="B49" t="s">
        <v>1344</v>
      </c>
      <c r="E49" t="str">
        <f t="shared" si="0"/>
        <v/>
      </c>
      <c r="F49" t="str">
        <f t="shared" si="1"/>
        <v>assert 'current_username' in data_actual['data'], "Expected: key 'current_username' exists."</v>
      </c>
      <c r="H49" t="str">
        <f t="shared" si="2"/>
        <v/>
      </c>
    </row>
    <row r="50" spans="2:8" x14ac:dyDescent="0.25">
      <c r="B50" t="s">
        <v>1345</v>
      </c>
      <c r="E50" t="str">
        <f t="shared" si="0"/>
        <v/>
      </c>
      <c r="F50" t="str">
        <f t="shared" si="1"/>
        <v>assert 'current_loginname' in data_actual['data'], "Expected: key 'current_loginname' exists."</v>
      </c>
      <c r="H50" t="str">
        <f t="shared" si="2"/>
        <v/>
      </c>
    </row>
    <row r="51" spans="2:8" x14ac:dyDescent="0.25">
      <c r="B51" t="s">
        <v>1318</v>
      </c>
      <c r="E51" t="str">
        <f t="shared" si="0"/>
        <v/>
      </c>
      <c r="F51" t="str">
        <f t="shared" si="1"/>
        <v>assert 'user_approve' in data_actual['data'], "Expected: key 'user_approve' exists."</v>
      </c>
      <c r="H51" t="str">
        <f t="shared" si="2"/>
        <v/>
      </c>
    </row>
    <row r="52" spans="2:8" x14ac:dyDescent="0.25">
      <c r="B52" t="s">
        <v>1328</v>
      </c>
      <c r="E52" t="str">
        <f t="shared" si="0"/>
        <v/>
      </c>
      <c r="F52" t="str">
        <f t="shared" si="1"/>
        <v>assert 'status' in data_actual['data'], "Expected: key 'status' exists."</v>
      </c>
      <c r="H52" t="str">
        <f t="shared" si="2"/>
        <v/>
      </c>
    </row>
    <row r="53" spans="2:8" x14ac:dyDescent="0.25">
      <c r="B53" t="s">
        <v>1346</v>
      </c>
      <c r="E53" t="str">
        <f t="shared" si="0"/>
        <v/>
      </c>
      <c r="F53" t="str">
        <f t="shared" si="1"/>
        <v>assert 'is_reverse' in data_actual['data'], "Expected: key 'is_reverse' exists."</v>
      </c>
    </row>
    <row r="54" spans="2:8" x14ac:dyDescent="0.25">
      <c r="B54" t="s">
        <v>1347</v>
      </c>
      <c r="E54" t="str">
        <f t="shared" si="0"/>
        <v/>
      </c>
      <c r="F54" t="str">
        <f t="shared" si="1"/>
        <v>assert 'amount1' in data_actual['data'], "Expected: key 'amount1' exists."</v>
      </c>
    </row>
    <row r="55" spans="2:8" x14ac:dyDescent="0.25">
      <c r="B55" t="s">
        <v>1299</v>
      </c>
      <c r="E55" t="str">
        <f t="shared" si="0"/>
        <v/>
      </c>
      <c r="F55" t="str">
        <f t="shared" si="1"/>
        <v>assert 'description' in data_actual['data'], "Expected: key 'description' exists."</v>
      </c>
    </row>
    <row r="56" spans="2:8" x14ac:dyDescent="0.25">
      <c r="B56" t="s">
        <v>1348</v>
      </c>
      <c r="E56" t="str">
        <f t="shared" si="0"/>
        <v/>
      </c>
      <c r="F56" t="str">
        <f t="shared" si="1"/>
        <v>assert 'token' in data_actual['data'], "Expected: key 'token' exists."</v>
      </c>
    </row>
    <row r="57" spans="2:8" x14ac:dyDescent="0.25">
      <c r="B57" t="s">
        <v>1349</v>
      </c>
      <c r="E57" t="str">
        <f t="shared" si="0"/>
        <v/>
      </c>
      <c r="F57" t="str">
        <f t="shared" si="1"/>
        <v>assert 'is_transaction_reverse' in data_actual['data'], "Expected: key 'is_transaction_reverse' exists."</v>
      </c>
    </row>
    <row r="58" spans="2:8" x14ac:dyDescent="0.25">
      <c r="B58" t="s">
        <v>1350</v>
      </c>
      <c r="E58" t="str">
        <f t="shared" si="0"/>
        <v/>
      </c>
      <c r="F58" t="str">
        <f t="shared" si="1"/>
        <v>assert 'is_transaction_compensated' in data_actual['data'], "Expected: key 'is_transaction_compensated' exists."</v>
      </c>
    </row>
    <row r="59" spans="2:8" x14ac:dyDescent="0.25">
      <c r="B59" t="s">
        <v>1299</v>
      </c>
      <c r="E59" t="str">
        <f t="shared" si="0"/>
        <v/>
      </c>
      <c r="F59" t="str">
        <f t="shared" si="1"/>
        <v>assert 'description' in data_actual['data'], "Expected: key 'description' exists."</v>
      </c>
    </row>
    <row r="60" spans="2:8" x14ac:dyDescent="0.25">
      <c r="B60" t="s">
        <v>1348</v>
      </c>
      <c r="E60" t="str">
        <f t="shared" si="0"/>
        <v/>
      </c>
      <c r="F60" t="str">
        <f t="shared" si="1"/>
        <v>assert 'token' in data_actual['data'], "Expected: key 'token' exists."</v>
      </c>
    </row>
    <row r="61" spans="2:8" x14ac:dyDescent="0.25">
      <c r="B61" t="s">
        <v>1349</v>
      </c>
      <c r="E61" t="str">
        <f t="shared" si="0"/>
        <v/>
      </c>
      <c r="F61" t="str">
        <f t="shared" si="1"/>
        <v>assert 'is_transaction_reverse' in data_actual['data'], "Expected: key 'is_transaction_reverse' exists."</v>
      </c>
    </row>
    <row r="62" spans="2:8" x14ac:dyDescent="0.25">
      <c r="B62" t="s">
        <v>1350</v>
      </c>
      <c r="E62" t="str">
        <f t="shared" si="0"/>
        <v/>
      </c>
      <c r="F62" t="str">
        <f t="shared" si="1"/>
        <v>assert 'is_transaction_compensated' in data_actual['data'], "Expected: key 'is_transaction_compensated' exists."</v>
      </c>
    </row>
    <row r="63" spans="2:8" x14ac:dyDescent="0.25">
      <c r="E63" t="str">
        <f t="shared" si="0"/>
        <v/>
      </c>
      <c r="F63" t="str">
        <f t="shared" si="1"/>
        <v/>
      </c>
    </row>
    <row r="64" spans="2:8" x14ac:dyDescent="0.25">
      <c r="E64" t="str">
        <f t="shared" si="0"/>
        <v/>
      </c>
      <c r="F64" t="str">
        <f t="shared" si="1"/>
        <v/>
      </c>
    </row>
    <row r="65" spans="1:6" x14ac:dyDescent="0.25">
      <c r="E65" t="str">
        <f t="shared" si="0"/>
        <v/>
      </c>
      <c r="F65" t="str">
        <f t="shared" si="1"/>
        <v/>
      </c>
    </row>
    <row r="66" spans="1:6" x14ac:dyDescent="0.25">
      <c r="E66" t="str">
        <f t="shared" si="0"/>
        <v/>
      </c>
      <c r="F66" t="str">
        <f t="shared" si="1"/>
        <v/>
      </c>
    </row>
    <row r="67" spans="1:6" x14ac:dyDescent="0.25">
      <c r="E67" t="str">
        <f t="shared" si="0"/>
        <v/>
      </c>
      <c r="F67" t="str">
        <f t="shared" si="1"/>
        <v/>
      </c>
    </row>
    <row r="68" spans="1:6" x14ac:dyDescent="0.25">
      <c r="B68" t="s">
        <v>1297</v>
      </c>
      <c r="E68" t="str">
        <f t="shared" ref="E68:E78" si="3">IF(A68="","",$E$1&amp;A68&amp;$F$1&amp;$G$1&amp;A68&amp;$H$1)</f>
        <v/>
      </c>
      <c r="F68" t="str">
        <f t="shared" si="1"/>
        <v>assert 'account_number' in data_actual['data'], "Expected: key 'account_number' exists."</v>
      </c>
    </row>
    <row r="69" spans="1:6" x14ac:dyDescent="0.25">
      <c r="B69" t="s">
        <v>1300</v>
      </c>
      <c r="E69" t="str">
        <f t="shared" si="3"/>
        <v/>
      </c>
      <c r="F69" t="str">
        <f t="shared" si="1"/>
        <v>assert 'amount' in data_actual['data'], "Expected: key 'amount' exists."</v>
      </c>
    </row>
    <row r="70" spans="1:6" x14ac:dyDescent="0.25">
      <c r="B70" t="s">
        <v>1394</v>
      </c>
      <c r="E70" t="str">
        <f t="shared" si="3"/>
        <v/>
      </c>
      <c r="F70" t="str">
        <f t="shared" ref="F70:F78" si="4">IF(B70="","",$E$1&amp;B70&amp;$F$1&amp;"['"&amp;$A$4&amp;"']"&amp;$G$1&amp;B70&amp;$H$1)</f>
        <v>assert 'debit_or_credit' in data_actual['data'], "Expected: key 'debit_or_credit' exists."</v>
      </c>
    </row>
    <row r="71" spans="1:6" x14ac:dyDescent="0.25">
      <c r="B71" t="s">
        <v>1395</v>
      </c>
      <c r="E71" t="str">
        <f t="shared" si="3"/>
        <v/>
      </c>
      <c r="F71" t="str">
        <f t="shared" si="4"/>
        <v>assert 'currency' in data_actual['data'], "Expected: key 'currency' exists."</v>
      </c>
    </row>
    <row r="72" spans="1:6" x14ac:dyDescent="0.25">
      <c r="B72" t="s">
        <v>1391</v>
      </c>
      <c r="E72" t="str">
        <f t="shared" si="3"/>
        <v/>
      </c>
      <c r="F72" t="str">
        <f t="shared" si="4"/>
        <v>assert 'available_balance' in data_actual['data'], "Expected: key 'available_balance' exists."</v>
      </c>
    </row>
    <row r="73" spans="1:6" x14ac:dyDescent="0.25">
      <c r="B73" t="s">
        <v>1332</v>
      </c>
      <c r="E73" t="str">
        <f t="shared" si="3"/>
        <v/>
      </c>
      <c r="F73" t="str">
        <f t="shared" si="4"/>
        <v>assert 'transaction_number' in data_actual['data'], "Expected: key 'transaction_number' exists."</v>
      </c>
    </row>
    <row r="74" spans="1:6" x14ac:dyDescent="0.25">
      <c r="B74" t="s">
        <v>1335</v>
      </c>
      <c r="E74" t="str">
        <f t="shared" si="3"/>
        <v/>
      </c>
      <c r="F74" t="str">
        <f t="shared" si="4"/>
        <v>assert 'transaction_date' in data_actual['data'], "Expected: key 'transaction_date' exists."</v>
      </c>
    </row>
    <row r="75" spans="1:6" x14ac:dyDescent="0.25">
      <c r="B75" t="s">
        <v>1299</v>
      </c>
      <c r="E75" t="str">
        <f t="shared" si="3"/>
        <v/>
      </c>
      <c r="F75" t="str">
        <f t="shared" si="4"/>
        <v>assert 'description' in data_actual['data'], "Expected: key 'description' exists."</v>
      </c>
    </row>
    <row r="76" spans="1:6" x14ac:dyDescent="0.25">
      <c r="E76" t="str">
        <f t="shared" si="3"/>
        <v/>
      </c>
      <c r="F76" t="str">
        <f t="shared" si="4"/>
        <v/>
      </c>
    </row>
    <row r="77" spans="1:6" x14ac:dyDescent="0.25">
      <c r="A77" t="s">
        <v>1351</v>
      </c>
      <c r="E77" t="str">
        <f t="shared" si="3"/>
        <v>assert 'error_message' in data_actual, "Expected: key 'error_message' exists."</v>
      </c>
      <c r="F77" t="str">
        <f t="shared" si="4"/>
        <v/>
      </c>
    </row>
    <row r="78" spans="1:6" x14ac:dyDescent="0.25">
      <c r="A78" t="s">
        <v>1352</v>
      </c>
      <c r="E78" t="str">
        <f t="shared" si="3"/>
        <v>assert 'error_code' in data_actual, "Expected: key 'error_code' exists."</v>
      </c>
      <c r="F78" t="str">
        <f t="shared" si="4"/>
        <v/>
      </c>
    </row>
  </sheetData>
  <phoneticPr fontId="16" type="noConversion"/>
  <pageMargins left="0.7" right="0.7" top="0.75" bottom="0.75" header="0.3" footer="0.3"/>
  <pageSetup orientation="portrait" horizontalDpi="200"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6"/>
  <sheetViews>
    <sheetView workbookViewId="0">
      <selection activeCell="F34" sqref="F2:F34"/>
    </sheetView>
  </sheetViews>
  <sheetFormatPr defaultRowHeight="15" x14ac:dyDescent="0.25"/>
  <cols>
    <col min="1" max="1" width="26.85546875" bestFit="1" customWidth="1"/>
    <col min="3" max="3" width="22.140625" bestFit="1" customWidth="1"/>
    <col min="4" max="4" width="47.85546875" bestFit="1" customWidth="1"/>
    <col min="5" max="5" width="24.7109375" customWidth="1"/>
  </cols>
  <sheetData>
    <row r="1" spans="1:8" x14ac:dyDescent="0.25">
      <c r="F1" t="s">
        <v>1396</v>
      </c>
      <c r="G1" s="54" t="s">
        <v>1398</v>
      </c>
      <c r="H1" s="54" t="s">
        <v>1397</v>
      </c>
    </row>
    <row r="2" spans="1:8" x14ac:dyDescent="0.25">
      <c r="A2" t="s">
        <v>1411</v>
      </c>
      <c r="C2" t="str">
        <f>"value_data_"&amp;A2</f>
        <v>value_data_stock_type</v>
      </c>
      <c r="D2" t="str">
        <f>"data_actual['data']['"&amp;A2&amp;"']"</f>
        <v>data_actual['data']['stock_type']</v>
      </c>
      <c r="E2" t="str">
        <f>C2&amp;" = "&amp;D2</f>
        <v>value_data_stock_type = data_actual['data']['stock_type']</v>
      </c>
      <c r="F2" t="str">
        <f>$F$1&amp;A2&amp;$G$1&amp;C2&amp;$H$1</f>
        <v>AU.assert_equals('stock_type', , value_data_stock_type)</v>
      </c>
    </row>
    <row r="3" spans="1:8" x14ac:dyDescent="0.25">
      <c r="A3" t="s">
        <v>1297</v>
      </c>
      <c r="C3" t="str">
        <f t="shared" ref="C3:C72" si="0">"value_data_"&amp;A3</f>
        <v>value_data_account_number</v>
      </c>
      <c r="D3" t="str">
        <f t="shared" ref="D3:D72" si="1">"data_actual['data']['"&amp;A3&amp;"']"</f>
        <v>data_actual['data']['account_number']</v>
      </c>
      <c r="E3" t="str">
        <f t="shared" ref="E3:E82" si="2">C3&amp;" = "&amp;D3</f>
        <v>value_data_account_number = data_actual['data']['account_number']</v>
      </c>
      <c r="F3" t="str">
        <f t="shared" ref="F3:F66" si="3">$F$1&amp;A3&amp;$G$1&amp;C3&amp;$H$1</f>
        <v>AU.assert_equals('account_number', , value_data_account_number)</v>
      </c>
    </row>
    <row r="4" spans="1:8" x14ac:dyDescent="0.25">
      <c r="A4" t="s">
        <v>1536</v>
      </c>
      <c r="C4" t="str">
        <f t="shared" si="0"/>
        <v>value_data_serial_no</v>
      </c>
      <c r="D4" t="str">
        <f t="shared" si="1"/>
        <v>data_actual['data']['serial_no']</v>
      </c>
      <c r="E4" t="str">
        <f t="shared" si="2"/>
        <v>value_data_serial_no = data_actual['data']['serial_no']</v>
      </c>
      <c r="F4" t="str">
        <f t="shared" si="3"/>
        <v>AU.assert_equals('serial_no', , value_data_serial_no)</v>
      </c>
    </row>
    <row r="5" spans="1:8" x14ac:dyDescent="0.25">
      <c r="A5" t="s">
        <v>1412</v>
      </c>
      <c r="C5" t="str">
        <f t="shared" si="0"/>
        <v>value_data_stock_prefix</v>
      </c>
      <c r="D5" t="str">
        <f t="shared" si="1"/>
        <v>data_actual['data']['stock_prefix']</v>
      </c>
      <c r="E5" t="str">
        <f t="shared" si="2"/>
        <v>value_data_stock_prefix = data_actual['data']['stock_prefix']</v>
      </c>
      <c r="F5" t="str">
        <f t="shared" si="3"/>
        <v>AU.assert_equals('stock_prefix', , value_data_stock_prefix)</v>
      </c>
    </row>
    <row r="6" spans="1:8" x14ac:dyDescent="0.25">
      <c r="A6" t="s">
        <v>1537</v>
      </c>
      <c r="C6" t="str">
        <f t="shared" si="0"/>
        <v>value_data_method</v>
      </c>
      <c r="D6" t="str">
        <f t="shared" si="1"/>
        <v>data_actual['data']['method']</v>
      </c>
      <c r="E6" t="str">
        <f t="shared" si="2"/>
        <v>value_data_method = data_actual['data']['method']</v>
      </c>
      <c r="F6" t="str">
        <f t="shared" si="3"/>
        <v>AU.assert_equals('method', , value_data_method)</v>
      </c>
    </row>
    <row r="7" spans="1:8" x14ac:dyDescent="0.25">
      <c r="A7" t="s">
        <v>1538</v>
      </c>
      <c r="C7" t="str">
        <f t="shared" si="0"/>
        <v>value_data_account_number_for_fee</v>
      </c>
      <c r="D7" t="str">
        <f t="shared" si="1"/>
        <v>data_actual['data']['account_number_for_fee']</v>
      </c>
      <c r="E7" t="str">
        <f t="shared" si="2"/>
        <v>value_data_account_number_for_fee = data_actual['data']['account_number_for_fee']</v>
      </c>
      <c r="F7" t="str">
        <f t="shared" si="3"/>
        <v>AU.assert_equals('account_number_for_fee', , value_data_account_number_for_fee)</v>
      </c>
    </row>
    <row r="8" spans="1:8" x14ac:dyDescent="0.25">
      <c r="A8" t="s">
        <v>1413</v>
      </c>
      <c r="C8" t="str">
        <f t="shared" si="0"/>
        <v>value_data_currency_code</v>
      </c>
      <c r="D8" t="str">
        <f t="shared" si="1"/>
        <v>data_actual['data']['currency_code']</v>
      </c>
      <c r="E8" t="str">
        <f t="shared" si="2"/>
        <v>value_data_currency_code = data_actual['data']['currency_code']</v>
      </c>
      <c r="F8" t="str">
        <f t="shared" si="3"/>
        <v>AU.assert_equals('currency_code', , value_data_currency_code)</v>
      </c>
    </row>
    <row r="9" spans="1:8" x14ac:dyDescent="0.25">
      <c r="A9" t="s">
        <v>1298</v>
      </c>
      <c r="C9" t="str">
        <f t="shared" si="0"/>
        <v>value_data_branch_name</v>
      </c>
      <c r="D9" t="str">
        <f t="shared" si="1"/>
        <v>data_actual['data']['branch_name']</v>
      </c>
      <c r="E9" t="str">
        <f t="shared" si="2"/>
        <v>value_data_branch_name = data_actual['data']['branch_name']</v>
      </c>
      <c r="F9" t="str">
        <f t="shared" si="3"/>
        <v>AU.assert_equals('branch_name', , value_data_branch_name)</v>
      </c>
    </row>
    <row r="10" spans="1:8" x14ac:dyDescent="0.25">
      <c r="A10" t="s">
        <v>1515</v>
      </c>
      <c r="C10" t="str">
        <f t="shared" si="0"/>
        <v>value_data_total_fee</v>
      </c>
      <c r="D10" t="str">
        <f t="shared" si="1"/>
        <v>data_actual['data']['total_fee']</v>
      </c>
      <c r="E10" t="str">
        <f t="shared" si="2"/>
        <v>value_data_total_fee = data_actual['data']['total_fee']</v>
      </c>
      <c r="F10" t="str">
        <f t="shared" si="3"/>
        <v>AU.assert_equals('total_fee', , value_data_total_fee)</v>
      </c>
    </row>
    <row r="11" spans="1:8" x14ac:dyDescent="0.25">
      <c r="A11" t="s">
        <v>1301</v>
      </c>
      <c r="C11" t="str">
        <f t="shared" si="0"/>
        <v>value_data_fee_data</v>
      </c>
      <c r="D11" t="str">
        <f t="shared" si="1"/>
        <v>data_actual['data']['fee_data']</v>
      </c>
      <c r="E11" t="str">
        <f t="shared" si="2"/>
        <v>value_data_fee_data = data_actual['data']['fee_data']</v>
      </c>
      <c r="F11" t="str">
        <f t="shared" si="3"/>
        <v>AU.assert_equals('fee_data', , value_data_fee_data)</v>
      </c>
    </row>
    <row r="12" spans="1:8" x14ac:dyDescent="0.25">
      <c r="A12" t="s">
        <v>1331</v>
      </c>
      <c r="C12" t="str">
        <f t="shared" si="0"/>
        <v>value_data_transaction_code</v>
      </c>
      <c r="D12" t="str">
        <f t="shared" si="1"/>
        <v>data_actual['data']['transaction_code']</v>
      </c>
      <c r="E12" t="str">
        <f t="shared" si="2"/>
        <v>value_data_transaction_code = data_actual['data']['transaction_code']</v>
      </c>
      <c r="F12" t="str">
        <f t="shared" si="3"/>
        <v>AU.assert_equals('transaction_code', , value_data_transaction_code)</v>
      </c>
    </row>
    <row r="13" spans="1:8" x14ac:dyDescent="0.25">
      <c r="A13" t="s">
        <v>1332</v>
      </c>
      <c r="C13" t="str">
        <f t="shared" si="0"/>
        <v>value_data_transaction_number</v>
      </c>
      <c r="D13" t="str">
        <f t="shared" si="1"/>
        <v>data_actual['data']['transaction_number']</v>
      </c>
      <c r="E13" t="str">
        <f t="shared" si="2"/>
        <v>value_data_transaction_number = data_actual['data']['transaction_number']</v>
      </c>
      <c r="F13" t="str">
        <f t="shared" si="3"/>
        <v>AU.assert_equals('transaction_number', , value_data_transaction_number)</v>
      </c>
    </row>
    <row r="14" spans="1:8" x14ac:dyDescent="0.25">
      <c r="A14" t="s">
        <v>1333</v>
      </c>
      <c r="C14" t="str">
        <f t="shared" si="0"/>
        <v>value_data_transaction_type</v>
      </c>
      <c r="D14" t="str">
        <f t="shared" si="1"/>
        <v>data_actual['data']['transaction_type']</v>
      </c>
      <c r="E14" t="str">
        <f t="shared" si="2"/>
        <v>value_data_transaction_type = data_actual['data']['transaction_type']</v>
      </c>
      <c r="F14" t="str">
        <f t="shared" si="3"/>
        <v>AU.assert_equals('transaction_type', , value_data_transaction_type)</v>
      </c>
    </row>
    <row r="15" spans="1:8" x14ac:dyDescent="0.25">
      <c r="A15" t="s">
        <v>1334</v>
      </c>
      <c r="C15" t="str">
        <f t="shared" si="0"/>
        <v>value_data_sub_code</v>
      </c>
      <c r="D15" t="str">
        <f t="shared" si="1"/>
        <v>data_actual['data']['sub_code']</v>
      </c>
      <c r="E15" t="str">
        <f t="shared" si="2"/>
        <v>value_data_sub_code = data_actual['data']['sub_code']</v>
      </c>
      <c r="F15" t="str">
        <f t="shared" si="3"/>
        <v>AU.assert_equals('sub_code', , value_data_sub_code)</v>
      </c>
    </row>
    <row r="16" spans="1:8" x14ac:dyDescent="0.25">
      <c r="A16" t="s">
        <v>1335</v>
      </c>
      <c r="C16" t="str">
        <f t="shared" si="0"/>
        <v>value_data_transaction_date</v>
      </c>
      <c r="D16" t="str">
        <f t="shared" si="1"/>
        <v>data_actual['data']['transaction_date']</v>
      </c>
      <c r="E16" t="str">
        <f t="shared" si="2"/>
        <v>value_data_transaction_date = data_actual['data']['transaction_date']</v>
      </c>
      <c r="F16" t="str">
        <f t="shared" si="3"/>
        <v>AU.assert_equals('transaction_date', , value_data_transaction_date)</v>
      </c>
    </row>
    <row r="17" spans="1:6" x14ac:dyDescent="0.25">
      <c r="A17" t="s">
        <v>1336</v>
      </c>
      <c r="C17" t="str">
        <f t="shared" si="0"/>
        <v>value_data_service_sys_date</v>
      </c>
      <c r="D17" t="str">
        <f t="shared" si="1"/>
        <v>data_actual['data']['service_sys_date']</v>
      </c>
      <c r="E17" t="str">
        <f t="shared" si="2"/>
        <v>value_data_service_sys_date = data_actual['data']['service_sys_date']</v>
      </c>
      <c r="F17" t="str">
        <f t="shared" si="3"/>
        <v>AU.assert_equals('service_sys_date', , value_data_service_sys_date)</v>
      </c>
    </row>
    <row r="18" spans="1:6" x14ac:dyDescent="0.25">
      <c r="A18" t="s">
        <v>1337</v>
      </c>
      <c r="C18" t="str">
        <f t="shared" si="0"/>
        <v>value_data_reference_id</v>
      </c>
      <c r="D18" t="str">
        <f t="shared" si="1"/>
        <v>data_actual['data']['reference_id']</v>
      </c>
      <c r="E18" t="str">
        <f t="shared" si="2"/>
        <v>value_data_reference_id = data_actual['data']['reference_id']</v>
      </c>
      <c r="F18" t="str">
        <f t="shared" si="3"/>
        <v>AU.assert_equals('reference_id', , value_data_reference_id)</v>
      </c>
    </row>
    <row r="19" spans="1:6" x14ac:dyDescent="0.25">
      <c r="A19" t="s">
        <v>1338</v>
      </c>
      <c r="C19" t="str">
        <f t="shared" si="0"/>
        <v>value_data_ref_id</v>
      </c>
      <c r="D19" t="str">
        <f t="shared" si="1"/>
        <v>data_actual['data']['ref_id']</v>
      </c>
      <c r="E19" t="str">
        <f t="shared" si="2"/>
        <v>value_data_ref_id = data_actual['data']['ref_id']</v>
      </c>
      <c r="F19" t="str">
        <f t="shared" si="3"/>
        <v>AU.assert_equals('ref_id', , value_data_ref_id)</v>
      </c>
    </row>
    <row r="20" spans="1:6" x14ac:dyDescent="0.25">
      <c r="A20" t="s">
        <v>1339</v>
      </c>
      <c r="C20" t="str">
        <f t="shared" si="0"/>
        <v>value_data_reference_code</v>
      </c>
      <c r="D20" t="str">
        <f t="shared" si="1"/>
        <v>data_actual['data']['reference_code']</v>
      </c>
      <c r="E20" t="str">
        <f t="shared" si="2"/>
        <v>value_data_reference_code = data_actual['data']['reference_code']</v>
      </c>
      <c r="F20" t="str">
        <f t="shared" si="3"/>
        <v>AU.assert_equals('reference_code', , value_data_reference_code)</v>
      </c>
    </row>
    <row r="21" spans="1:6" x14ac:dyDescent="0.25">
      <c r="A21" t="s">
        <v>1340</v>
      </c>
      <c r="C21" t="str">
        <f t="shared" si="0"/>
        <v>value_data_business_code</v>
      </c>
      <c r="D21" t="str">
        <f t="shared" si="1"/>
        <v>data_actual['data']['business_code']</v>
      </c>
      <c r="E21" t="str">
        <f t="shared" si="2"/>
        <v>value_data_business_code = data_actual['data']['business_code']</v>
      </c>
      <c r="F21" t="str">
        <f t="shared" si="3"/>
        <v>AU.assert_equals('business_code', , value_data_business_code)</v>
      </c>
    </row>
    <row r="22" spans="1:6" x14ac:dyDescent="0.25">
      <c r="A22" t="s">
        <v>1341</v>
      </c>
      <c r="C22" t="str">
        <f t="shared" si="0"/>
        <v>value_data_value_date</v>
      </c>
      <c r="D22" t="str">
        <f t="shared" si="1"/>
        <v>data_actual['data']['value_date']</v>
      </c>
      <c r="E22" t="str">
        <f t="shared" si="2"/>
        <v>value_data_value_date = data_actual['data']['value_date']</v>
      </c>
      <c r="F22" t="str">
        <f t="shared" si="3"/>
        <v>AU.assert_equals('value_date', , value_data_value_date)</v>
      </c>
    </row>
    <row r="23" spans="1:6" x14ac:dyDescent="0.25">
      <c r="A23" t="s">
        <v>1342</v>
      </c>
      <c r="C23" t="str">
        <f t="shared" si="0"/>
        <v>value_data_current_user_code</v>
      </c>
      <c r="D23" t="str">
        <f t="shared" si="1"/>
        <v>data_actual['data']['current_user_code']</v>
      </c>
      <c r="E23" t="str">
        <f t="shared" si="2"/>
        <v>value_data_current_user_code = data_actual['data']['current_user_code']</v>
      </c>
      <c r="F23" t="str">
        <f t="shared" si="3"/>
        <v>AU.assert_equals('current_user_code', , value_data_current_user_code)</v>
      </c>
    </row>
    <row r="24" spans="1:6" x14ac:dyDescent="0.25">
      <c r="A24" t="s">
        <v>1343</v>
      </c>
      <c r="C24" t="str">
        <f t="shared" si="0"/>
        <v>value_data_current_branch_code</v>
      </c>
      <c r="D24" t="str">
        <f t="shared" si="1"/>
        <v>data_actual['data']['current_branch_code']</v>
      </c>
      <c r="E24" t="str">
        <f t="shared" si="2"/>
        <v>value_data_current_branch_code = data_actual['data']['current_branch_code']</v>
      </c>
      <c r="F24" t="str">
        <f t="shared" si="3"/>
        <v>AU.assert_equals('current_branch_code', , value_data_current_branch_code)</v>
      </c>
    </row>
    <row r="25" spans="1:6" x14ac:dyDescent="0.25">
      <c r="A25" t="s">
        <v>1344</v>
      </c>
      <c r="C25" t="str">
        <f t="shared" si="0"/>
        <v>value_data_current_username</v>
      </c>
      <c r="D25" t="str">
        <f t="shared" si="1"/>
        <v>data_actual['data']['current_username']</v>
      </c>
      <c r="E25" t="str">
        <f t="shared" si="2"/>
        <v>value_data_current_username = data_actual['data']['current_username']</v>
      </c>
      <c r="F25" t="str">
        <f t="shared" si="3"/>
        <v>AU.assert_equals('current_username', , value_data_current_username)</v>
      </c>
    </row>
    <row r="26" spans="1:6" x14ac:dyDescent="0.25">
      <c r="A26" t="s">
        <v>1345</v>
      </c>
      <c r="C26" t="str">
        <f t="shared" si="0"/>
        <v>value_data_current_loginname</v>
      </c>
      <c r="D26" t="str">
        <f t="shared" si="1"/>
        <v>data_actual['data']['current_loginname']</v>
      </c>
      <c r="E26" t="str">
        <f t="shared" si="2"/>
        <v>value_data_current_loginname = data_actual['data']['current_loginname']</v>
      </c>
      <c r="F26" t="str">
        <f t="shared" si="3"/>
        <v>AU.assert_equals('current_loginname', , value_data_current_loginname)</v>
      </c>
    </row>
    <row r="27" spans="1:6" x14ac:dyDescent="0.25">
      <c r="A27" t="s">
        <v>1318</v>
      </c>
      <c r="C27" t="str">
        <f t="shared" si="0"/>
        <v>value_data_user_approve</v>
      </c>
      <c r="D27" t="str">
        <f t="shared" si="1"/>
        <v>data_actual['data']['user_approve']</v>
      </c>
      <c r="E27" t="str">
        <f t="shared" si="2"/>
        <v>value_data_user_approve = data_actual['data']['user_approve']</v>
      </c>
      <c r="F27" t="str">
        <f t="shared" si="3"/>
        <v>AU.assert_equals('user_approve', , value_data_user_approve)</v>
      </c>
    </row>
    <row r="28" spans="1:6" x14ac:dyDescent="0.25">
      <c r="A28" t="s">
        <v>1328</v>
      </c>
      <c r="C28" t="str">
        <f t="shared" si="0"/>
        <v>value_data_status</v>
      </c>
      <c r="D28" t="str">
        <f t="shared" si="1"/>
        <v>data_actual['data']['status']</v>
      </c>
      <c r="E28" t="str">
        <f t="shared" si="2"/>
        <v>value_data_status = data_actual['data']['status']</v>
      </c>
      <c r="F28" t="str">
        <f t="shared" si="3"/>
        <v>AU.assert_equals('status', , value_data_status)</v>
      </c>
    </row>
    <row r="29" spans="1:6" x14ac:dyDescent="0.25">
      <c r="A29" t="s">
        <v>1346</v>
      </c>
      <c r="C29" t="str">
        <f t="shared" si="0"/>
        <v>value_data_is_reverse</v>
      </c>
      <c r="D29" t="str">
        <f t="shared" si="1"/>
        <v>data_actual['data']['is_reverse']</v>
      </c>
      <c r="E29" t="str">
        <f t="shared" si="2"/>
        <v>value_data_is_reverse = data_actual['data']['is_reverse']</v>
      </c>
      <c r="F29" t="str">
        <f t="shared" si="3"/>
        <v>AU.assert_equals('is_reverse', , value_data_is_reverse)</v>
      </c>
    </row>
    <row r="30" spans="1:6" x14ac:dyDescent="0.25">
      <c r="A30" t="s">
        <v>1347</v>
      </c>
      <c r="C30" t="str">
        <f t="shared" si="0"/>
        <v>value_data_amount1</v>
      </c>
      <c r="D30" t="str">
        <f t="shared" si="1"/>
        <v>data_actual['data']['amount1']</v>
      </c>
      <c r="E30" t="str">
        <f t="shared" si="2"/>
        <v>value_data_amount1 = data_actual['data']['amount1']</v>
      </c>
      <c r="F30" t="str">
        <f t="shared" si="3"/>
        <v>AU.assert_equals('amount1', , value_data_amount1)</v>
      </c>
    </row>
    <row r="31" spans="1:6" x14ac:dyDescent="0.25">
      <c r="A31" t="s">
        <v>1299</v>
      </c>
      <c r="C31" t="str">
        <f t="shared" si="0"/>
        <v>value_data_description</v>
      </c>
      <c r="D31" t="str">
        <f t="shared" si="1"/>
        <v>data_actual['data']['description']</v>
      </c>
      <c r="E31" t="str">
        <f t="shared" si="2"/>
        <v>value_data_description = data_actual['data']['description']</v>
      </c>
      <c r="F31" t="str">
        <f t="shared" si="3"/>
        <v>AU.assert_equals('description', , value_data_description)</v>
      </c>
    </row>
    <row r="32" spans="1:6" x14ac:dyDescent="0.25">
      <c r="A32" t="s">
        <v>1348</v>
      </c>
      <c r="C32" t="str">
        <f t="shared" si="0"/>
        <v>value_data_token</v>
      </c>
      <c r="D32" t="str">
        <f t="shared" si="1"/>
        <v>data_actual['data']['token']</v>
      </c>
      <c r="E32" t="str">
        <f t="shared" si="2"/>
        <v>value_data_token = data_actual['data']['token']</v>
      </c>
      <c r="F32" t="str">
        <f t="shared" si="3"/>
        <v>AU.assert_equals('token', , value_data_token)</v>
      </c>
    </row>
    <row r="33" spans="1:6" x14ac:dyDescent="0.25">
      <c r="A33" t="s">
        <v>1349</v>
      </c>
      <c r="C33" t="str">
        <f t="shared" si="0"/>
        <v>value_data_is_transaction_reverse</v>
      </c>
      <c r="D33" t="str">
        <f t="shared" si="1"/>
        <v>data_actual['data']['is_transaction_reverse']</v>
      </c>
      <c r="E33" t="str">
        <f t="shared" si="2"/>
        <v>value_data_is_transaction_reverse = data_actual['data']['is_transaction_reverse']</v>
      </c>
      <c r="F33" t="str">
        <f t="shared" si="3"/>
        <v>AU.assert_equals('is_transaction_reverse', , value_data_is_transaction_reverse)</v>
      </c>
    </row>
    <row r="34" spans="1:6" x14ac:dyDescent="0.25">
      <c r="A34" t="s">
        <v>1350</v>
      </c>
      <c r="C34" t="str">
        <f t="shared" si="0"/>
        <v>value_data_is_transaction_compensated</v>
      </c>
      <c r="D34" t="str">
        <f t="shared" si="1"/>
        <v>data_actual['data']['is_transaction_compensated']</v>
      </c>
      <c r="E34" t="str">
        <f t="shared" si="2"/>
        <v>value_data_is_transaction_compensated = data_actual['data']['is_transaction_compensated']</v>
      </c>
      <c r="F34" t="str">
        <f t="shared" si="3"/>
        <v>AU.assert_equals('is_transaction_compensated', , value_data_is_transaction_compensated)</v>
      </c>
    </row>
    <row r="35" spans="1:6" x14ac:dyDescent="0.25">
      <c r="C35" t="str">
        <f t="shared" si="0"/>
        <v>value_data_</v>
      </c>
      <c r="D35" t="str">
        <f t="shared" si="1"/>
        <v>data_actual['data']['']</v>
      </c>
      <c r="E35" t="str">
        <f t="shared" si="2"/>
        <v>value_data_ = data_actual['data']['']</v>
      </c>
      <c r="F35" t="str">
        <f t="shared" si="3"/>
        <v>AU.assert_equals('', , value_data_)</v>
      </c>
    </row>
    <row r="36" spans="1:6" x14ac:dyDescent="0.25">
      <c r="C36" t="str">
        <f t="shared" si="0"/>
        <v>value_data_</v>
      </c>
      <c r="D36" t="str">
        <f t="shared" si="1"/>
        <v>data_actual['data']['']</v>
      </c>
      <c r="E36" t="str">
        <f t="shared" si="2"/>
        <v>value_data_ = data_actual['data']['']</v>
      </c>
      <c r="F36" t="str">
        <f t="shared" si="3"/>
        <v>AU.assert_equals('', , value_data_)</v>
      </c>
    </row>
    <row r="37" spans="1:6" x14ac:dyDescent="0.25">
      <c r="C37" t="str">
        <f t="shared" si="0"/>
        <v>value_data_</v>
      </c>
      <c r="D37" t="str">
        <f t="shared" si="1"/>
        <v>data_actual['data']['']</v>
      </c>
      <c r="E37" t="str">
        <f t="shared" si="2"/>
        <v>value_data_ = data_actual['data']['']</v>
      </c>
      <c r="F37" t="str">
        <f t="shared" si="3"/>
        <v>AU.assert_equals('', , value_data_)</v>
      </c>
    </row>
    <row r="38" spans="1:6" x14ac:dyDescent="0.25">
      <c r="C38" t="str">
        <f t="shared" si="0"/>
        <v>value_data_</v>
      </c>
      <c r="D38" t="str">
        <f t="shared" si="1"/>
        <v>data_actual['data']['']</v>
      </c>
      <c r="E38" t="str">
        <f t="shared" si="2"/>
        <v>value_data_ = data_actual['data']['']</v>
      </c>
      <c r="F38" t="str">
        <f t="shared" si="3"/>
        <v>AU.assert_equals('', , value_data_)</v>
      </c>
    </row>
    <row r="39" spans="1:6" x14ac:dyDescent="0.25">
      <c r="C39" t="str">
        <f t="shared" si="0"/>
        <v>value_data_</v>
      </c>
      <c r="D39" t="str">
        <f t="shared" si="1"/>
        <v>data_actual['data']['']</v>
      </c>
      <c r="E39" t="str">
        <f t="shared" si="2"/>
        <v>value_data_ = data_actual['data']['']</v>
      </c>
      <c r="F39" t="str">
        <f t="shared" si="3"/>
        <v>AU.assert_equals('', , value_data_)</v>
      </c>
    </row>
    <row r="40" spans="1:6" x14ac:dyDescent="0.25">
      <c r="C40" t="str">
        <f t="shared" si="0"/>
        <v>value_data_</v>
      </c>
      <c r="D40" t="str">
        <f t="shared" si="1"/>
        <v>data_actual['data']['']</v>
      </c>
      <c r="E40" t="str">
        <f t="shared" si="2"/>
        <v>value_data_ = data_actual['data']['']</v>
      </c>
      <c r="F40" t="str">
        <f t="shared" si="3"/>
        <v>AU.assert_equals('', , value_data_)</v>
      </c>
    </row>
    <row r="41" spans="1:6" x14ac:dyDescent="0.25">
      <c r="C41" t="str">
        <f t="shared" si="0"/>
        <v>value_data_</v>
      </c>
      <c r="D41" t="str">
        <f t="shared" si="1"/>
        <v>data_actual['data']['']</v>
      </c>
      <c r="E41" t="str">
        <f t="shared" si="2"/>
        <v>value_data_ = data_actual['data']['']</v>
      </c>
      <c r="F41" t="str">
        <f t="shared" si="3"/>
        <v>AU.assert_equals('', , value_data_)</v>
      </c>
    </row>
    <row r="42" spans="1:6" x14ac:dyDescent="0.25">
      <c r="C42" t="str">
        <f t="shared" si="0"/>
        <v>value_data_</v>
      </c>
      <c r="D42" t="str">
        <f t="shared" si="1"/>
        <v>data_actual['data']['']</v>
      </c>
      <c r="E42" t="str">
        <f t="shared" si="2"/>
        <v>value_data_ = data_actual['data']['']</v>
      </c>
      <c r="F42" t="str">
        <f t="shared" si="3"/>
        <v>AU.assert_equals('', , value_data_)</v>
      </c>
    </row>
    <row r="43" spans="1:6" x14ac:dyDescent="0.25">
      <c r="C43" t="str">
        <f t="shared" si="0"/>
        <v>value_data_</v>
      </c>
      <c r="D43" t="str">
        <f t="shared" si="1"/>
        <v>data_actual['data']['']</v>
      </c>
      <c r="E43" t="str">
        <f t="shared" si="2"/>
        <v>value_data_ = data_actual['data']['']</v>
      </c>
      <c r="F43" t="str">
        <f t="shared" si="3"/>
        <v>AU.assert_equals('', , value_data_)</v>
      </c>
    </row>
    <row r="44" spans="1:6" x14ac:dyDescent="0.25">
      <c r="A44" t="s">
        <v>1339</v>
      </c>
      <c r="C44" t="str">
        <f t="shared" si="0"/>
        <v>value_data_reference_code</v>
      </c>
      <c r="D44" t="str">
        <f t="shared" si="1"/>
        <v>data_actual['data']['reference_code']</v>
      </c>
      <c r="E44" t="str">
        <f t="shared" si="2"/>
        <v>value_data_reference_code = data_actual['data']['reference_code']</v>
      </c>
      <c r="F44" t="str">
        <f t="shared" si="3"/>
        <v>AU.assert_equals('reference_code', , value_data_reference_code)</v>
      </c>
    </row>
    <row r="45" spans="1:6" x14ac:dyDescent="0.25">
      <c r="A45" t="s">
        <v>1340</v>
      </c>
      <c r="C45" t="str">
        <f t="shared" si="0"/>
        <v>value_data_business_code</v>
      </c>
      <c r="D45" t="str">
        <f t="shared" si="1"/>
        <v>data_actual['data']['business_code']</v>
      </c>
      <c r="E45" t="str">
        <f t="shared" si="2"/>
        <v>value_data_business_code = data_actual['data']['business_code']</v>
      </c>
      <c r="F45" t="str">
        <f t="shared" si="3"/>
        <v>AU.assert_equals('business_code', , value_data_business_code)</v>
      </c>
    </row>
    <row r="46" spans="1:6" x14ac:dyDescent="0.25">
      <c r="A46" t="s">
        <v>1341</v>
      </c>
      <c r="C46" t="str">
        <f t="shared" si="0"/>
        <v>value_data_value_date</v>
      </c>
      <c r="D46" t="str">
        <f t="shared" si="1"/>
        <v>data_actual['data']['value_date']</v>
      </c>
      <c r="E46" t="str">
        <f t="shared" si="2"/>
        <v>value_data_value_date = data_actual['data']['value_date']</v>
      </c>
      <c r="F46" t="str">
        <f t="shared" si="3"/>
        <v>AU.assert_equals('value_date', , value_data_value_date)</v>
      </c>
    </row>
    <row r="47" spans="1:6" x14ac:dyDescent="0.25">
      <c r="A47" t="s">
        <v>1342</v>
      </c>
      <c r="C47" t="str">
        <f t="shared" si="0"/>
        <v>value_data_current_user_code</v>
      </c>
      <c r="D47" t="str">
        <f t="shared" si="1"/>
        <v>data_actual['data']['current_user_code']</v>
      </c>
      <c r="E47" t="str">
        <f t="shared" si="2"/>
        <v>value_data_current_user_code = data_actual['data']['current_user_code']</v>
      </c>
      <c r="F47" t="str">
        <f t="shared" si="3"/>
        <v>AU.assert_equals('current_user_code', , value_data_current_user_code)</v>
      </c>
    </row>
    <row r="48" spans="1:6" x14ac:dyDescent="0.25">
      <c r="A48" t="s">
        <v>1343</v>
      </c>
      <c r="C48" t="str">
        <f t="shared" si="0"/>
        <v>value_data_current_branch_code</v>
      </c>
      <c r="D48" t="str">
        <f t="shared" si="1"/>
        <v>data_actual['data']['current_branch_code']</v>
      </c>
      <c r="E48" t="str">
        <f t="shared" si="2"/>
        <v>value_data_current_branch_code = data_actual['data']['current_branch_code']</v>
      </c>
      <c r="F48" t="str">
        <f t="shared" si="3"/>
        <v>AU.assert_equals('current_branch_code', , value_data_current_branch_code)</v>
      </c>
    </row>
    <row r="49" spans="1:6" x14ac:dyDescent="0.25">
      <c r="A49" t="s">
        <v>1344</v>
      </c>
      <c r="C49" t="str">
        <f t="shared" ref="C49:C60" si="4">"value_data_"&amp;A49</f>
        <v>value_data_current_username</v>
      </c>
      <c r="D49" t="str">
        <f t="shared" ref="D49:D60" si="5">"data_actual['data']['"&amp;A49&amp;"']"</f>
        <v>data_actual['data']['current_username']</v>
      </c>
      <c r="E49" t="str">
        <f t="shared" ref="E49:E60" si="6">C49&amp;" = "&amp;D49</f>
        <v>value_data_current_username = data_actual['data']['current_username']</v>
      </c>
      <c r="F49" t="str">
        <f t="shared" si="3"/>
        <v>AU.assert_equals('current_username', , value_data_current_username)</v>
      </c>
    </row>
    <row r="50" spans="1:6" x14ac:dyDescent="0.25">
      <c r="A50" t="s">
        <v>1345</v>
      </c>
      <c r="C50" t="str">
        <f t="shared" si="4"/>
        <v>value_data_current_loginname</v>
      </c>
      <c r="D50" t="str">
        <f t="shared" si="5"/>
        <v>data_actual['data']['current_loginname']</v>
      </c>
      <c r="E50" t="str">
        <f t="shared" si="6"/>
        <v>value_data_current_loginname = data_actual['data']['current_loginname']</v>
      </c>
      <c r="F50" t="str">
        <f t="shared" si="3"/>
        <v>AU.assert_equals('current_loginname', , value_data_current_loginname)</v>
      </c>
    </row>
    <row r="51" spans="1:6" x14ac:dyDescent="0.25">
      <c r="A51" t="s">
        <v>1318</v>
      </c>
      <c r="C51" t="str">
        <f t="shared" si="4"/>
        <v>value_data_user_approve</v>
      </c>
      <c r="D51" t="str">
        <f t="shared" si="5"/>
        <v>data_actual['data']['user_approve']</v>
      </c>
      <c r="E51" t="str">
        <f t="shared" si="6"/>
        <v>value_data_user_approve = data_actual['data']['user_approve']</v>
      </c>
      <c r="F51" t="str">
        <f t="shared" si="3"/>
        <v>AU.assert_equals('user_approve', , value_data_user_approve)</v>
      </c>
    </row>
    <row r="52" spans="1:6" x14ac:dyDescent="0.25">
      <c r="A52" t="s">
        <v>1328</v>
      </c>
      <c r="C52" t="str">
        <f t="shared" si="4"/>
        <v>value_data_status</v>
      </c>
      <c r="D52" t="str">
        <f t="shared" si="5"/>
        <v>data_actual['data']['status']</v>
      </c>
      <c r="E52" t="str">
        <f t="shared" si="6"/>
        <v>value_data_status = data_actual['data']['status']</v>
      </c>
      <c r="F52" t="str">
        <f t="shared" si="3"/>
        <v>AU.assert_equals('status', , value_data_status)</v>
      </c>
    </row>
    <row r="53" spans="1:6" x14ac:dyDescent="0.25">
      <c r="A53" t="s">
        <v>1346</v>
      </c>
      <c r="C53" t="str">
        <f t="shared" si="4"/>
        <v>value_data_is_reverse</v>
      </c>
      <c r="D53" t="str">
        <f t="shared" si="5"/>
        <v>data_actual['data']['is_reverse']</v>
      </c>
      <c r="E53" t="str">
        <f t="shared" si="6"/>
        <v>value_data_is_reverse = data_actual['data']['is_reverse']</v>
      </c>
      <c r="F53" t="str">
        <f t="shared" si="3"/>
        <v>AU.assert_equals('is_reverse', , value_data_is_reverse)</v>
      </c>
    </row>
    <row r="54" spans="1:6" x14ac:dyDescent="0.25">
      <c r="A54" t="s">
        <v>1347</v>
      </c>
      <c r="C54" t="str">
        <f t="shared" si="4"/>
        <v>value_data_amount1</v>
      </c>
      <c r="D54" t="str">
        <f t="shared" si="5"/>
        <v>data_actual['data']['amount1']</v>
      </c>
      <c r="E54" t="str">
        <f t="shared" si="6"/>
        <v>value_data_amount1 = data_actual['data']['amount1']</v>
      </c>
      <c r="F54" t="str">
        <f t="shared" si="3"/>
        <v>AU.assert_equals('amount1', , value_data_amount1)</v>
      </c>
    </row>
    <row r="55" spans="1:6" x14ac:dyDescent="0.25">
      <c r="A55" t="s">
        <v>1299</v>
      </c>
      <c r="C55" t="str">
        <f t="shared" si="4"/>
        <v>value_data_description</v>
      </c>
      <c r="D55" t="str">
        <f t="shared" si="5"/>
        <v>data_actual['data']['description']</v>
      </c>
      <c r="E55" t="str">
        <f t="shared" si="6"/>
        <v>value_data_description = data_actual['data']['description']</v>
      </c>
      <c r="F55" t="str">
        <f t="shared" si="3"/>
        <v>AU.assert_equals('description', , value_data_description)</v>
      </c>
    </row>
    <row r="56" spans="1:6" x14ac:dyDescent="0.25">
      <c r="A56" t="s">
        <v>1348</v>
      </c>
      <c r="C56" t="str">
        <f t="shared" si="4"/>
        <v>value_data_token</v>
      </c>
      <c r="D56" t="str">
        <f t="shared" si="5"/>
        <v>data_actual['data']['token']</v>
      </c>
      <c r="E56" t="str">
        <f t="shared" si="6"/>
        <v>value_data_token = data_actual['data']['token']</v>
      </c>
      <c r="F56" t="str">
        <f t="shared" si="3"/>
        <v>AU.assert_equals('token', , value_data_token)</v>
      </c>
    </row>
    <row r="57" spans="1:6" x14ac:dyDescent="0.25">
      <c r="A57" t="s">
        <v>1349</v>
      </c>
      <c r="C57" t="str">
        <f t="shared" si="4"/>
        <v>value_data_is_transaction_reverse</v>
      </c>
      <c r="D57" t="str">
        <f t="shared" si="5"/>
        <v>data_actual['data']['is_transaction_reverse']</v>
      </c>
      <c r="E57" t="str">
        <f t="shared" si="6"/>
        <v>value_data_is_transaction_reverse = data_actual['data']['is_transaction_reverse']</v>
      </c>
      <c r="F57" t="str">
        <f t="shared" si="3"/>
        <v>AU.assert_equals('is_transaction_reverse', , value_data_is_transaction_reverse)</v>
      </c>
    </row>
    <row r="58" spans="1:6" x14ac:dyDescent="0.25">
      <c r="A58" t="s">
        <v>1350</v>
      </c>
      <c r="C58" t="str">
        <f t="shared" si="4"/>
        <v>value_data_is_transaction_compensated</v>
      </c>
      <c r="D58" t="str">
        <f t="shared" si="5"/>
        <v>data_actual['data']['is_transaction_compensated']</v>
      </c>
      <c r="E58" t="str">
        <f t="shared" si="6"/>
        <v>value_data_is_transaction_compensated = data_actual['data']['is_transaction_compensated']</v>
      </c>
      <c r="F58" t="str">
        <f t="shared" si="3"/>
        <v>AU.assert_equals('is_transaction_compensated', , value_data_is_transaction_compensated)</v>
      </c>
    </row>
    <row r="59" spans="1:6" x14ac:dyDescent="0.25">
      <c r="C59" t="str">
        <f t="shared" si="4"/>
        <v>value_data_</v>
      </c>
      <c r="D59" t="str">
        <f t="shared" si="5"/>
        <v>data_actual['data']['']</v>
      </c>
      <c r="E59" t="str">
        <f t="shared" si="6"/>
        <v>value_data_ = data_actual['data']['']</v>
      </c>
      <c r="F59" t="str">
        <f t="shared" si="3"/>
        <v>AU.assert_equals('', , value_data_)</v>
      </c>
    </row>
    <row r="60" spans="1:6" x14ac:dyDescent="0.25">
      <c r="C60" t="str">
        <f t="shared" si="4"/>
        <v>value_data_</v>
      </c>
      <c r="D60" t="str">
        <f t="shared" si="5"/>
        <v>data_actual['data']['']</v>
      </c>
      <c r="E60" t="str">
        <f t="shared" si="6"/>
        <v>value_data_ = data_actual['data']['']</v>
      </c>
      <c r="F60" t="str">
        <f t="shared" si="3"/>
        <v>AU.assert_equals('', , value_data_)</v>
      </c>
    </row>
    <row r="61" spans="1:6" x14ac:dyDescent="0.25">
      <c r="C61" t="str">
        <f t="shared" si="0"/>
        <v>value_data_</v>
      </c>
      <c r="D61" t="str">
        <f t="shared" si="1"/>
        <v>data_actual['data']['']</v>
      </c>
      <c r="E61" t="str">
        <f t="shared" si="2"/>
        <v>value_data_ = data_actual['data']['']</v>
      </c>
      <c r="F61" t="str">
        <f t="shared" si="3"/>
        <v>AU.assert_equals('', , value_data_)</v>
      </c>
    </row>
    <row r="62" spans="1:6" x14ac:dyDescent="0.25">
      <c r="C62" t="str">
        <f t="shared" si="0"/>
        <v>value_data_</v>
      </c>
      <c r="D62" t="str">
        <f t="shared" si="1"/>
        <v>data_actual['data']['']</v>
      </c>
      <c r="E62" t="str">
        <f t="shared" si="2"/>
        <v>value_data_ = data_actual['data']['']</v>
      </c>
      <c r="F62" t="str">
        <f t="shared" si="3"/>
        <v>AU.assert_equals('', , value_data_)</v>
      </c>
    </row>
    <row r="63" spans="1:6" x14ac:dyDescent="0.25">
      <c r="C63" t="str">
        <f t="shared" si="0"/>
        <v>value_data_</v>
      </c>
      <c r="D63" t="str">
        <f t="shared" si="1"/>
        <v>data_actual['data']['']</v>
      </c>
      <c r="E63" t="str">
        <f t="shared" si="2"/>
        <v>value_data_ = data_actual['data']['']</v>
      </c>
      <c r="F63" t="str">
        <f t="shared" si="3"/>
        <v>AU.assert_equals('', , value_data_)</v>
      </c>
    </row>
    <row r="64" spans="1:6" x14ac:dyDescent="0.25">
      <c r="C64" t="str">
        <f t="shared" si="0"/>
        <v>value_data_</v>
      </c>
      <c r="D64" t="str">
        <f t="shared" si="1"/>
        <v>data_actual['data']['']</v>
      </c>
      <c r="E64" t="str">
        <f t="shared" si="2"/>
        <v>value_data_ = data_actual['data']['']</v>
      </c>
      <c r="F64" t="str">
        <f t="shared" si="3"/>
        <v>AU.assert_equals('', , value_data_)</v>
      </c>
    </row>
    <row r="65" spans="1:6" x14ac:dyDescent="0.25">
      <c r="C65" t="str">
        <f t="shared" si="0"/>
        <v>value_data_</v>
      </c>
      <c r="D65" t="str">
        <f t="shared" si="1"/>
        <v>data_actual['data']['']</v>
      </c>
      <c r="E65" t="str">
        <f t="shared" si="2"/>
        <v>value_data_ = data_actual['data']['']</v>
      </c>
      <c r="F65" t="str">
        <f t="shared" si="3"/>
        <v>AU.assert_equals('', , value_data_)</v>
      </c>
    </row>
    <row r="66" spans="1:6" x14ac:dyDescent="0.25">
      <c r="C66" t="str">
        <f t="shared" si="0"/>
        <v>value_data_</v>
      </c>
      <c r="D66" t="str">
        <f t="shared" si="1"/>
        <v>data_actual['data']['']</v>
      </c>
      <c r="E66" t="str">
        <f t="shared" si="2"/>
        <v>value_data_ = data_actual['data']['']</v>
      </c>
      <c r="F66" t="str">
        <f t="shared" si="3"/>
        <v>AU.assert_equals('', , value_data_)</v>
      </c>
    </row>
    <row r="67" spans="1:6" x14ac:dyDescent="0.25">
      <c r="C67" t="str">
        <f t="shared" si="0"/>
        <v>value_data_</v>
      </c>
      <c r="D67" t="str">
        <f t="shared" si="1"/>
        <v>data_actual['data']['']</v>
      </c>
      <c r="E67" t="str">
        <f t="shared" si="2"/>
        <v>value_data_ = data_actual['data']['']</v>
      </c>
      <c r="F67" t="str">
        <f t="shared" ref="F67:F72" si="7">$F$1&amp;A67&amp;$G$1&amp;C67&amp;$H$1</f>
        <v>AU.assert_equals('', , value_data_)</v>
      </c>
    </row>
    <row r="68" spans="1:6" x14ac:dyDescent="0.25">
      <c r="C68" t="str">
        <f t="shared" si="0"/>
        <v>value_data_</v>
      </c>
      <c r="D68" t="str">
        <f t="shared" si="1"/>
        <v>data_actual['data']['']</v>
      </c>
      <c r="E68" t="str">
        <f t="shared" si="2"/>
        <v>value_data_ = data_actual['data']['']</v>
      </c>
      <c r="F68" t="str">
        <f t="shared" si="7"/>
        <v>AU.assert_equals('', , value_data_)</v>
      </c>
    </row>
    <row r="69" spans="1:6" x14ac:dyDescent="0.25">
      <c r="C69" t="str">
        <f t="shared" si="0"/>
        <v>value_data_</v>
      </c>
      <c r="D69" t="str">
        <f t="shared" si="1"/>
        <v>data_actual['data']['']</v>
      </c>
      <c r="E69" t="str">
        <f t="shared" si="2"/>
        <v>value_data_ = data_actual['data']['']</v>
      </c>
      <c r="F69" t="str">
        <f t="shared" si="7"/>
        <v>AU.assert_equals('', , value_data_)</v>
      </c>
    </row>
    <row r="70" spans="1:6" x14ac:dyDescent="0.25">
      <c r="C70" t="str">
        <f t="shared" si="0"/>
        <v>value_data_</v>
      </c>
      <c r="D70" t="str">
        <f t="shared" si="1"/>
        <v>data_actual['data']['']</v>
      </c>
      <c r="E70" t="str">
        <f t="shared" si="2"/>
        <v>value_data_ = data_actual['data']['']</v>
      </c>
      <c r="F70" t="str">
        <f t="shared" si="7"/>
        <v>AU.assert_equals('', , value_data_)</v>
      </c>
    </row>
    <row r="71" spans="1:6" x14ac:dyDescent="0.25">
      <c r="C71" t="str">
        <f t="shared" si="0"/>
        <v>value_data_</v>
      </c>
      <c r="D71" t="str">
        <f t="shared" si="1"/>
        <v>data_actual['data']['']</v>
      </c>
      <c r="E71" t="str">
        <f t="shared" si="2"/>
        <v>value_data_ = data_actual['data']['']</v>
      </c>
      <c r="F71" t="str">
        <f t="shared" si="7"/>
        <v>AU.assert_equals('', , value_data_)</v>
      </c>
    </row>
    <row r="72" spans="1:6" x14ac:dyDescent="0.25">
      <c r="C72" t="str">
        <f t="shared" si="0"/>
        <v>value_data_</v>
      </c>
      <c r="D72" t="str">
        <f t="shared" si="1"/>
        <v>data_actual['data']['']</v>
      </c>
      <c r="E72" t="str">
        <f t="shared" si="2"/>
        <v>value_data_ = data_actual['data']['']</v>
      </c>
      <c r="F72" t="str">
        <f t="shared" si="7"/>
        <v>AU.assert_equals('', , value_data_)</v>
      </c>
    </row>
    <row r="76" spans="1:6" x14ac:dyDescent="0.25">
      <c r="D76" t="s">
        <v>1399</v>
      </c>
      <c r="E76" s="54" t="s">
        <v>1400</v>
      </c>
    </row>
    <row r="77" spans="1:6" x14ac:dyDescent="0.25">
      <c r="A77" t="s">
        <v>1303</v>
      </c>
      <c r="C77" t="str">
        <f>"value_fee_data_"&amp;A77</f>
        <v>value_fee_data_ifc_name</v>
      </c>
      <c r="D77" t="str">
        <f>$D$76&amp;A77&amp;$E$76</f>
        <v>data_actual['data']['fee_data'][0]['ifc_name']</v>
      </c>
      <c r="E77" t="str">
        <f>C77&amp;" = "&amp;D77</f>
        <v>value_fee_data_ifc_name = data_actual['data']['fee_data'][0]['ifc_name']</v>
      </c>
      <c r="F77" t="str">
        <f>$F$1&amp;A77&amp;$G$1&amp;C77&amp;$H$1</f>
        <v>AU.assert_equals('ifc_name', , value_fee_data_ifc_name)</v>
      </c>
    </row>
    <row r="78" spans="1:6" x14ac:dyDescent="0.25">
      <c r="A78" t="s">
        <v>1302</v>
      </c>
      <c r="C78" t="str">
        <f t="shared" ref="C78:C93" si="8">"value_fee_data_"&amp;A78</f>
        <v>value_fee_data_share_fee</v>
      </c>
      <c r="D78" t="str">
        <f t="shared" ref="D78:D93" si="9">$D$76&amp;A78&amp;$E$76</f>
        <v>data_actual['data']['fee_data'][0]['share_fee']</v>
      </c>
      <c r="E78" t="str">
        <f t="shared" si="2"/>
        <v>value_fee_data_share_fee = data_actual['data']['fee_data'][0]['share_fee']</v>
      </c>
      <c r="F78" t="str">
        <f t="shared" ref="F78:F93" si="10">$F$1&amp;A78&amp;$G$1&amp;C78&amp;$H$1</f>
        <v>AU.assert_equals('share_fee', , value_fee_data_share_fee)</v>
      </c>
    </row>
    <row r="79" spans="1:6" x14ac:dyDescent="0.25">
      <c r="A79" t="s">
        <v>1305</v>
      </c>
      <c r="C79" t="str">
        <f t="shared" si="8"/>
        <v>value_fee_data_ifc_code</v>
      </c>
      <c r="D79" t="str">
        <f t="shared" si="9"/>
        <v>data_actual['data']['fee_data'][0]['ifc_code']</v>
      </c>
      <c r="E79" t="str">
        <f t="shared" si="2"/>
        <v>value_fee_data_ifc_code = data_actual['data']['fee_data'][0]['ifc_code']</v>
      </c>
      <c r="F79" t="str">
        <f t="shared" si="10"/>
        <v>AU.assert_equals('ifc_code', , value_fee_data_ifc_code)</v>
      </c>
    </row>
    <row r="80" spans="1:6" x14ac:dyDescent="0.25">
      <c r="A80" t="s">
        <v>1306</v>
      </c>
      <c r="C80" t="str">
        <f t="shared" si="8"/>
        <v>value_fee_data_payrate</v>
      </c>
      <c r="D80" t="str">
        <f t="shared" si="9"/>
        <v>data_actual['data']['fee_data'][0]['payrate']</v>
      </c>
      <c r="E80" t="str">
        <f t="shared" si="2"/>
        <v>value_fee_data_payrate = data_actual['data']['fee_data'][0]['payrate']</v>
      </c>
      <c r="F80" t="str">
        <f t="shared" si="10"/>
        <v>AU.assert_equals('payrate', , value_fee_data_payrate)</v>
      </c>
    </row>
    <row r="81" spans="1:6" x14ac:dyDescent="0.25">
      <c r="A81" t="s">
        <v>1307</v>
      </c>
      <c r="C81" t="str">
        <f t="shared" si="8"/>
        <v>value_fee_data_ifc_value</v>
      </c>
      <c r="D81" t="str">
        <f t="shared" si="9"/>
        <v>data_actual['data']['fee_data'][0]['ifc_value']</v>
      </c>
      <c r="E81" t="str">
        <f t="shared" si="2"/>
        <v>value_fee_data_ifc_value = data_actual['data']['fee_data'][0]['ifc_value']</v>
      </c>
      <c r="F81" t="str">
        <f t="shared" si="10"/>
        <v>AU.assert_equals('ifc_value', , value_fee_data_ifc_value)</v>
      </c>
    </row>
    <row r="82" spans="1:6" x14ac:dyDescent="0.25">
      <c r="A82" t="s">
        <v>1308</v>
      </c>
      <c r="C82" t="str">
        <f t="shared" si="8"/>
        <v>value_fee_data_ifc_amount</v>
      </c>
      <c r="D82" t="str">
        <f t="shared" si="9"/>
        <v>data_actual['data']['fee_data'][0]['ifc_amount']</v>
      </c>
      <c r="E82" t="str">
        <f t="shared" si="2"/>
        <v>value_fee_data_ifc_amount = data_actual['data']['fee_data'][0]['ifc_amount']</v>
      </c>
      <c r="F82" t="str">
        <f t="shared" si="10"/>
        <v>AU.assert_equals('ifc_amount', , value_fee_data_ifc_amount)</v>
      </c>
    </row>
    <row r="83" spans="1:6" x14ac:dyDescent="0.25">
      <c r="A83" t="s">
        <v>1309</v>
      </c>
      <c r="C83" t="str">
        <f t="shared" si="8"/>
        <v>value_fee_data_currency_account_code</v>
      </c>
      <c r="D83" t="str">
        <f t="shared" si="9"/>
        <v>data_actual['data']['fee_data'][0]['currency_account_code']</v>
      </c>
      <c r="E83" t="str">
        <f t="shared" ref="E83:E93" si="11">C83&amp;" = "&amp;D83</f>
        <v>value_fee_data_currency_account_code = data_actual['data']['fee_data'][0]['currency_account_code']</v>
      </c>
      <c r="F83" t="str">
        <f t="shared" si="10"/>
        <v>AU.assert_equals('currency_account_code', , value_fee_data_currency_account_code)</v>
      </c>
    </row>
    <row r="84" spans="1:6" x14ac:dyDescent="0.25">
      <c r="A84" t="s">
        <v>1310</v>
      </c>
      <c r="C84" t="str">
        <f t="shared" si="8"/>
        <v>value_fee_data_floor_value</v>
      </c>
      <c r="D84" t="str">
        <f t="shared" si="9"/>
        <v>data_actual['data']['fee_data'][0]['floor_value']</v>
      </c>
      <c r="E84" t="str">
        <f t="shared" si="11"/>
        <v>value_fee_data_floor_value = data_actual['data']['fee_data'][0]['floor_value']</v>
      </c>
      <c r="F84" t="str">
        <f t="shared" si="10"/>
        <v>AU.assert_equals('floor_value', , value_fee_data_floor_value)</v>
      </c>
    </row>
    <row r="85" spans="1:6" x14ac:dyDescent="0.25">
      <c r="A85" t="s">
        <v>1311</v>
      </c>
      <c r="C85" t="str">
        <f t="shared" si="8"/>
        <v>value_fee_data_ceiling_value</v>
      </c>
      <c r="D85" t="str">
        <f t="shared" si="9"/>
        <v>data_actual['data']['fee_data'][0]['ceiling_value']</v>
      </c>
      <c r="E85" t="str">
        <f t="shared" si="11"/>
        <v>value_fee_data_ceiling_value = data_actual['data']['fee_data'][0]['ceiling_value']</v>
      </c>
      <c r="F85" t="str">
        <f t="shared" si="10"/>
        <v>AU.assert_equals('ceiling_value', , value_fee_data_ceiling_value)</v>
      </c>
    </row>
    <row r="86" spans="1:6" x14ac:dyDescent="0.25">
      <c r="A86" t="s">
        <v>1312</v>
      </c>
      <c r="C86" t="str">
        <f t="shared" si="8"/>
        <v>value_fee_data_share_rate</v>
      </c>
      <c r="D86" t="str">
        <f t="shared" si="9"/>
        <v>data_actual['data']['fee_data'][0]['share_rate']</v>
      </c>
      <c r="E86" t="str">
        <f t="shared" si="11"/>
        <v>value_fee_data_share_rate = data_actual['data']['fee_data'][0]['share_rate']</v>
      </c>
      <c r="F86" t="str">
        <f t="shared" si="10"/>
        <v>AU.assert_equals('share_rate', , value_fee_data_share_rate)</v>
      </c>
    </row>
    <row r="87" spans="1:6" x14ac:dyDescent="0.25">
      <c r="A87" t="s">
        <v>1313</v>
      </c>
      <c r="C87" t="str">
        <f t="shared" si="8"/>
        <v>value_fee_data_share_amount</v>
      </c>
      <c r="D87" t="str">
        <f t="shared" si="9"/>
        <v>data_actual['data']['fee_data'][0]['share_amount']</v>
      </c>
      <c r="E87" t="str">
        <f t="shared" si="11"/>
        <v>value_fee_data_share_amount = data_actual['data']['fee_data'][0]['share_amount']</v>
      </c>
      <c r="F87" t="str">
        <f t="shared" si="10"/>
        <v>AU.assert_equals('share_amount', , value_fee_data_share_amount)</v>
      </c>
    </row>
    <row r="88" spans="1:6" x14ac:dyDescent="0.25">
      <c r="A88" t="s">
        <v>1314</v>
      </c>
      <c r="C88" t="str">
        <f t="shared" si="8"/>
        <v>value_fee_data_round_rate</v>
      </c>
      <c r="D88" t="str">
        <f t="shared" si="9"/>
        <v>data_actual['data']['fee_data'][0]['round_rate']</v>
      </c>
      <c r="E88" t="str">
        <f t="shared" si="11"/>
        <v>value_fee_data_round_rate = data_actual['data']['fee_data'][0]['round_rate']</v>
      </c>
      <c r="F88" t="str">
        <f t="shared" si="10"/>
        <v>AU.assert_equals('round_rate', , value_fee_data_round_rate)</v>
      </c>
    </row>
    <row r="89" spans="1:6" x14ac:dyDescent="0.25">
      <c r="A89" t="s">
        <v>1315</v>
      </c>
      <c r="C89" t="str">
        <f t="shared" si="8"/>
        <v>value_fee_data_round_amount</v>
      </c>
      <c r="D89" t="str">
        <f t="shared" si="9"/>
        <v>data_actual['data']['fee_data'][0]['round_amount']</v>
      </c>
      <c r="E89" t="str">
        <f t="shared" si="11"/>
        <v>value_fee_data_round_amount = data_actual['data']['fee_data'][0]['round_amount']</v>
      </c>
      <c r="F89" t="str">
        <f t="shared" si="10"/>
        <v>AU.assert_equals('round_amount', , value_fee_data_round_amount)</v>
      </c>
    </row>
    <row r="90" spans="1:6" x14ac:dyDescent="0.25">
      <c r="A90" t="s">
        <v>1316</v>
      </c>
      <c r="C90" t="str">
        <f t="shared" si="8"/>
        <v>value_fee_data_currency_fee_code</v>
      </c>
      <c r="D90" t="str">
        <f t="shared" si="9"/>
        <v>data_actual['data']['fee_data'][0]['currency_fee_code']</v>
      </c>
      <c r="E90" t="str">
        <f t="shared" si="11"/>
        <v>value_fee_data_currency_fee_code = data_actual['data']['fee_data'][0]['currency_fee_code']</v>
      </c>
      <c r="F90" t="str">
        <f t="shared" si="10"/>
        <v>AU.assert_equals('currency_fee_code', , value_fee_data_currency_fee_code)</v>
      </c>
    </row>
    <row r="91" spans="1:6" x14ac:dyDescent="0.25">
      <c r="A91" t="s">
        <v>1317</v>
      </c>
      <c r="C91" t="str">
        <f t="shared" si="8"/>
        <v>value_fee_data_pay_source</v>
      </c>
      <c r="D91" t="str">
        <f t="shared" si="9"/>
        <v>data_actual['data']['fee_data'][0]['pay_source']</v>
      </c>
      <c r="E91" t="str">
        <f t="shared" si="11"/>
        <v>value_fee_data_pay_source = data_actual['data']['fee_data'][0]['pay_source']</v>
      </c>
      <c r="F91" t="str">
        <f t="shared" si="10"/>
        <v>AU.assert_equals('pay_source', , value_fee_data_pay_source)</v>
      </c>
    </row>
    <row r="92" spans="1:6" x14ac:dyDescent="0.25">
      <c r="A92" t="s">
        <v>1330</v>
      </c>
      <c r="C92" t="str">
        <f t="shared" si="8"/>
        <v>value_fee_data_value_typect</v>
      </c>
      <c r="D92" t="str">
        <f t="shared" si="9"/>
        <v>data_actual['data']['fee_data'][0]['value_typect']</v>
      </c>
      <c r="E92" t="str">
        <f t="shared" si="11"/>
        <v>value_fee_data_value_typect = data_actual['data']['fee_data'][0]['value_typect']</v>
      </c>
      <c r="F92" t="str">
        <f t="shared" si="10"/>
        <v>AU.assert_equals('value_typect', , value_fee_data_value_typect)</v>
      </c>
    </row>
    <row r="93" spans="1:6" x14ac:dyDescent="0.25">
      <c r="A93" t="s">
        <v>1304</v>
      </c>
      <c r="C93" t="str">
        <f t="shared" si="8"/>
        <v>value_fee_data_value_type</v>
      </c>
      <c r="D93" t="str">
        <f t="shared" si="9"/>
        <v>data_actual['data']['fee_data'][0]['value_type']</v>
      </c>
      <c r="E93" t="str">
        <f t="shared" si="11"/>
        <v>value_fee_data_value_type = data_actual['data']['fee_data'][0]['value_type']</v>
      </c>
      <c r="F93" t="str">
        <f t="shared" si="10"/>
        <v>AU.assert_equals('value_type', , value_fee_data_value_type)</v>
      </c>
    </row>
    <row r="96" spans="1:6" x14ac:dyDescent="0.25">
      <c r="A96" t="s">
        <v>1369</v>
      </c>
      <c r="C96" t="str">
        <f>"value_ifc_balances_2_"&amp;A96</f>
        <v>value_ifc_balances_2_id</v>
      </c>
      <c r="D96" t="str">
        <f>"data_actual['data']['ifc_balances'][2]['"&amp;A96&amp;"']"</f>
        <v>data_actual['data']['ifc_balances'][2]['id']</v>
      </c>
      <c r="E96" t="str">
        <f t="shared" ref="E96:E134" si="12">C96&amp;" = "&amp;D96</f>
        <v>value_ifc_balances_2_id = data_actual['data']['ifc_balances'][2]['id']</v>
      </c>
      <c r="F96" t="str">
        <f>$F$1&amp;A96&amp;$G$1&amp;C96&amp;$H$1</f>
        <v>AU.assert_equals('id', , value_ifc_balances_2_id)</v>
      </c>
    </row>
    <row r="97" spans="1:6" x14ac:dyDescent="0.25">
      <c r="A97" t="s">
        <v>1378</v>
      </c>
      <c r="C97" t="str">
        <f t="shared" ref="C97:C134" si="13">"value_ifc_balances_2_"&amp;A97</f>
        <v>value_ifc_balances_2_module_code</v>
      </c>
      <c r="D97" t="str">
        <f t="shared" ref="D97:D134" si="14">"data_actual['data']['ifc_balances'][2]['"&amp;A97&amp;"']"</f>
        <v>data_actual['data']['ifc_balances'][2]['module_code']</v>
      </c>
      <c r="E97" t="str">
        <f t="shared" si="12"/>
        <v>value_ifc_balances_2_module_code = data_actual['data']['ifc_balances'][2]['module_code']</v>
      </c>
      <c r="F97" t="str">
        <f t="shared" ref="F97:F134" si="15">$F$1&amp;A97&amp;$G$1&amp;C97&amp;$H$1</f>
        <v>AU.assert_equals('module_code', , value_ifc_balances_2_module_code)</v>
      </c>
    </row>
    <row r="98" spans="1:6" x14ac:dyDescent="0.25">
      <c r="A98" t="s">
        <v>1297</v>
      </c>
      <c r="C98" t="str">
        <f t="shared" si="13"/>
        <v>value_ifc_balances_2_account_number</v>
      </c>
      <c r="D98" t="str">
        <f t="shared" si="14"/>
        <v>data_actual['data']['ifc_balances'][2]['account_number']</v>
      </c>
      <c r="E98" t="str">
        <f t="shared" si="12"/>
        <v>value_ifc_balances_2_account_number = data_actual['data']['ifc_balances'][2]['account_number']</v>
      </c>
      <c r="F98" t="str">
        <f t="shared" si="15"/>
        <v>AU.assert_equals('account_number', , value_ifc_balances_2_account_number)</v>
      </c>
    </row>
    <row r="99" spans="1:6" x14ac:dyDescent="0.25">
      <c r="A99" t="s">
        <v>1305</v>
      </c>
      <c r="C99" t="str">
        <f t="shared" si="13"/>
        <v>value_ifc_balances_2_ifc_code</v>
      </c>
      <c r="D99" t="str">
        <f t="shared" si="14"/>
        <v>data_actual['data']['ifc_balances'][2]['ifc_code']</v>
      </c>
      <c r="E99" t="str">
        <f t="shared" si="12"/>
        <v>value_ifc_balances_2_ifc_code = data_actual['data']['ifc_balances'][2]['ifc_code']</v>
      </c>
      <c r="F99" t="str">
        <f t="shared" si="15"/>
        <v>AU.assert_equals('ifc_code', , value_ifc_balances_2_ifc_code)</v>
      </c>
    </row>
    <row r="100" spans="1:6" x14ac:dyDescent="0.25">
      <c r="A100" t="s">
        <v>1379</v>
      </c>
      <c r="C100" t="str">
        <f t="shared" si="13"/>
        <v>value_ifc_balances_2_value_base</v>
      </c>
      <c r="D100" t="str">
        <f t="shared" si="14"/>
        <v>data_actual['data']['ifc_balances'][2]['value_base']</v>
      </c>
      <c r="E100" t="str">
        <f t="shared" si="12"/>
        <v>value_ifc_balances_2_value_base = data_actual['data']['ifc_balances'][2]['value_base']</v>
      </c>
      <c r="F100" t="str">
        <f t="shared" si="15"/>
        <v>AU.assert_equals('value_base', , value_ifc_balances_2_value_base)</v>
      </c>
    </row>
    <row r="101" spans="1:6" x14ac:dyDescent="0.25">
      <c r="A101" t="s">
        <v>1307</v>
      </c>
      <c r="C101" t="str">
        <f t="shared" si="13"/>
        <v>value_ifc_balances_2_ifc_value</v>
      </c>
      <c r="D101" t="str">
        <f t="shared" si="14"/>
        <v>data_actual['data']['ifc_balances'][2]['ifc_value']</v>
      </c>
      <c r="E101" t="str">
        <f t="shared" si="12"/>
        <v>value_ifc_balances_2_ifc_value = data_actual['data']['ifc_balances'][2]['ifc_value']</v>
      </c>
      <c r="F101" t="str">
        <f t="shared" si="15"/>
        <v>AU.assert_equals('ifc_value', , value_ifc_balances_2_ifc_value)</v>
      </c>
    </row>
    <row r="102" spans="1:6" x14ac:dyDescent="0.25">
      <c r="A102" t="s">
        <v>1380</v>
      </c>
      <c r="C102" t="str">
        <f t="shared" si="13"/>
        <v>value_ifc_balances_2_margin_value</v>
      </c>
      <c r="D102" t="str">
        <f t="shared" si="14"/>
        <v>data_actual['data']['ifc_balances'][2]['margin_value']</v>
      </c>
      <c r="E102" t="str">
        <f t="shared" si="12"/>
        <v>value_ifc_balances_2_margin_value = data_actual['data']['ifc_balances'][2]['margin_value']</v>
      </c>
      <c r="F102" t="str">
        <f t="shared" si="15"/>
        <v>AU.assert_equals('margin_value', , value_ifc_balances_2_margin_value)</v>
      </c>
    </row>
    <row r="103" spans="1:6" x14ac:dyDescent="0.25">
      <c r="A103" t="s">
        <v>1300</v>
      </c>
      <c r="C103" t="str">
        <f t="shared" si="13"/>
        <v>value_ifc_balances_2_amount</v>
      </c>
      <c r="D103" t="str">
        <f t="shared" si="14"/>
        <v>data_actual['data']['ifc_balances'][2]['amount']</v>
      </c>
      <c r="E103" t="str">
        <f t="shared" si="12"/>
        <v>value_ifc_balances_2_amount = data_actual['data']['ifc_balances'][2]['amount']</v>
      </c>
      <c r="F103" t="str">
        <f t="shared" si="15"/>
        <v>AU.assert_equals('amount', , value_ifc_balances_2_amount)</v>
      </c>
    </row>
    <row r="104" spans="1:6" x14ac:dyDescent="0.25">
      <c r="A104" t="s">
        <v>1381</v>
      </c>
      <c r="C104" t="str">
        <f t="shared" si="13"/>
        <v>value_ifc_balances_2_paid</v>
      </c>
      <c r="D104" t="str">
        <f t="shared" si="14"/>
        <v>data_actual['data']['ifc_balances'][2]['paid']</v>
      </c>
      <c r="E104" t="str">
        <f t="shared" si="12"/>
        <v>value_ifc_balances_2_paid = data_actual['data']['ifc_balances'][2]['paid']</v>
      </c>
      <c r="F104" t="str">
        <f t="shared" si="15"/>
        <v>AU.assert_equals('paid', , value_ifc_balances_2_paid)</v>
      </c>
    </row>
    <row r="105" spans="1:6" x14ac:dyDescent="0.25">
      <c r="A105" t="s">
        <v>1382</v>
      </c>
      <c r="C105" t="str">
        <f t="shared" si="13"/>
        <v>value_ifc_balances_2_lamt</v>
      </c>
      <c r="D105" t="str">
        <f t="shared" si="14"/>
        <v>data_actual['data']['ifc_balances'][2]['lamt']</v>
      </c>
      <c r="E105" t="str">
        <f t="shared" si="12"/>
        <v>value_ifc_balances_2_lamt = data_actual['data']['ifc_balances'][2]['lamt']</v>
      </c>
      <c r="F105" t="str">
        <f t="shared" si="15"/>
        <v>AU.assert_equals('lamt', , value_ifc_balances_2_lamt)</v>
      </c>
    </row>
    <row r="106" spans="1:6" x14ac:dyDescent="0.25">
      <c r="A106" t="s">
        <v>1383</v>
      </c>
      <c r="C106" t="str">
        <f t="shared" si="13"/>
        <v>value_ifc_balances_2_ifc_status</v>
      </c>
      <c r="D106" t="str">
        <f t="shared" si="14"/>
        <v>data_actual['data']['ifc_balances'][2]['ifc_status']</v>
      </c>
      <c r="E106" t="str">
        <f t="shared" si="12"/>
        <v>value_ifc_balances_2_ifc_status = data_actual['data']['ifc_balances'][2]['ifc_status']</v>
      </c>
      <c r="F106" t="str">
        <f t="shared" si="15"/>
        <v>AU.assert_equals('ifc_status', , value_ifc_balances_2_ifc_status)</v>
      </c>
    </row>
    <row r="107" spans="1:6" x14ac:dyDescent="0.25">
      <c r="A107" t="s">
        <v>1384</v>
      </c>
      <c r="C107" t="str">
        <f t="shared" si="13"/>
        <v>value_ifc_balances_2_last_datetime</v>
      </c>
      <c r="D107" t="str">
        <f t="shared" si="14"/>
        <v>data_actual['data']['ifc_balances'][2]['last_datetime']</v>
      </c>
      <c r="E107" t="str">
        <f t="shared" si="12"/>
        <v>value_ifc_balances_2_last_datetime = data_actual['data']['ifc_balances'][2]['last_datetime']</v>
      </c>
      <c r="F107" t="str">
        <f t="shared" si="15"/>
        <v>AU.assert_equals('last_datetime', , value_ifc_balances_2_last_datetime)</v>
      </c>
    </row>
    <row r="108" spans="1:6" x14ac:dyDescent="0.25">
      <c r="A108" t="s">
        <v>1385</v>
      </c>
      <c r="C108" t="str">
        <f t="shared" si="13"/>
        <v>value_ifc_balances_2_amtpbl</v>
      </c>
      <c r="D108" t="str">
        <f t="shared" si="14"/>
        <v>data_actual['data']['ifc_balances'][2]['amtpbl']</v>
      </c>
      <c r="E108" t="str">
        <f t="shared" si="12"/>
        <v>value_ifc_balances_2_amtpbl = data_actual['data']['ifc_balances'][2]['amtpbl']</v>
      </c>
      <c r="F108" t="str">
        <f t="shared" si="15"/>
        <v>AU.assert_equals('amtpbl', , value_ifc_balances_2_amtpbl)</v>
      </c>
    </row>
    <row r="109" spans="1:6" x14ac:dyDescent="0.25">
      <c r="A109" t="s">
        <v>1386</v>
      </c>
      <c r="C109" t="str">
        <f t="shared" si="13"/>
        <v>value_ifc_balances_2_wdays</v>
      </c>
      <c r="D109" t="str">
        <f t="shared" si="14"/>
        <v>data_actual['data']['ifc_balances'][2]['wdays']</v>
      </c>
      <c r="E109" t="str">
        <f t="shared" si="12"/>
        <v>value_ifc_balances_2_wdays = data_actual['data']['ifc_balances'][2]['wdays']</v>
      </c>
      <c r="F109" t="str">
        <f t="shared" si="15"/>
        <v>AU.assert_equals('wdays', , value_ifc_balances_2_wdays)</v>
      </c>
    </row>
    <row r="110" spans="1:6" x14ac:dyDescent="0.25">
      <c r="A110" t="s">
        <v>1387</v>
      </c>
      <c r="C110" t="str">
        <f t="shared" si="13"/>
        <v>value_ifc_balances_2_odays</v>
      </c>
      <c r="D110" t="str">
        <f t="shared" si="14"/>
        <v>data_actual['data']['ifc_balances'][2]['odays']</v>
      </c>
      <c r="E110" t="str">
        <f t="shared" si="12"/>
        <v>value_ifc_balances_2_odays = data_actual['data']['ifc_balances'][2]['odays']</v>
      </c>
      <c r="F110" t="str">
        <f t="shared" si="15"/>
        <v>AU.assert_equals('odays', , value_ifc_balances_2_odays)</v>
      </c>
    </row>
    <row r="111" spans="1:6" x14ac:dyDescent="0.25">
      <c r="A111" t="s">
        <v>1388</v>
      </c>
      <c r="C111" t="str">
        <f t="shared" si="13"/>
        <v>value_ifc_balances_2_next_datetime</v>
      </c>
      <c r="D111" t="str">
        <f t="shared" si="14"/>
        <v>data_actual['data']['ifc_balances'][2]['next_datetime']</v>
      </c>
      <c r="E111" t="str">
        <f t="shared" si="12"/>
        <v>value_ifc_balances_2_next_datetime = data_actual['data']['ifc_balances'][2]['next_datetime']</v>
      </c>
      <c r="F111" t="str">
        <f t="shared" si="15"/>
        <v>AU.assert_equals('next_datetime', , value_ifc_balances_2_next_datetime)</v>
      </c>
    </row>
    <row r="112" spans="1:6" x14ac:dyDescent="0.25">
      <c r="A112" t="s">
        <v>1331</v>
      </c>
      <c r="C112" t="str">
        <f t="shared" si="13"/>
        <v>value_ifc_balances_2_transaction_code</v>
      </c>
      <c r="D112" t="str">
        <f t="shared" si="14"/>
        <v>data_actual['data']['ifc_balances'][2]['transaction_code']</v>
      </c>
      <c r="E112" t="str">
        <f t="shared" si="12"/>
        <v>value_ifc_balances_2_transaction_code = data_actual['data']['ifc_balances'][2]['transaction_code']</v>
      </c>
      <c r="F112" t="str">
        <f t="shared" si="15"/>
        <v>AU.assert_equals('transaction_code', , value_ifc_balances_2_transaction_code)</v>
      </c>
    </row>
    <row r="113" spans="1:6" x14ac:dyDescent="0.25">
      <c r="A113" t="s">
        <v>1332</v>
      </c>
      <c r="C113" t="str">
        <f t="shared" si="13"/>
        <v>value_ifc_balances_2_transaction_number</v>
      </c>
      <c r="D113" t="str">
        <f t="shared" si="14"/>
        <v>data_actual['data']['ifc_balances'][2]['transaction_number']</v>
      </c>
      <c r="E113" t="str">
        <f t="shared" si="12"/>
        <v>value_ifc_balances_2_transaction_number = data_actual['data']['ifc_balances'][2]['transaction_number']</v>
      </c>
      <c r="F113" t="str">
        <f t="shared" si="15"/>
        <v>AU.assert_equals('transaction_number', , value_ifc_balances_2_transaction_number)</v>
      </c>
    </row>
    <row r="114" spans="1:6" x14ac:dyDescent="0.25">
      <c r="A114" t="s">
        <v>1333</v>
      </c>
      <c r="C114" t="str">
        <f t="shared" si="13"/>
        <v>value_ifc_balances_2_transaction_type</v>
      </c>
      <c r="D114" t="str">
        <f t="shared" si="14"/>
        <v>data_actual['data']['ifc_balances'][2]['transaction_type']</v>
      </c>
      <c r="E114" t="str">
        <f t="shared" si="12"/>
        <v>value_ifc_balances_2_transaction_type = data_actual['data']['ifc_balances'][2]['transaction_type']</v>
      </c>
      <c r="F114" t="str">
        <f t="shared" si="15"/>
        <v>AU.assert_equals('transaction_type', , value_ifc_balances_2_transaction_type)</v>
      </c>
    </row>
    <row r="115" spans="1:6" x14ac:dyDescent="0.25">
      <c r="A115" t="s">
        <v>1334</v>
      </c>
      <c r="C115" t="str">
        <f t="shared" si="13"/>
        <v>value_ifc_balances_2_sub_code</v>
      </c>
      <c r="D115" t="str">
        <f t="shared" si="14"/>
        <v>data_actual['data']['ifc_balances'][2]['sub_code']</v>
      </c>
      <c r="E115" t="str">
        <f t="shared" si="12"/>
        <v>value_ifc_balances_2_sub_code = data_actual['data']['ifc_balances'][2]['sub_code']</v>
      </c>
      <c r="F115" t="str">
        <f t="shared" si="15"/>
        <v>AU.assert_equals('sub_code', , value_ifc_balances_2_sub_code)</v>
      </c>
    </row>
    <row r="116" spans="1:6" x14ac:dyDescent="0.25">
      <c r="A116" t="s">
        <v>1335</v>
      </c>
      <c r="C116" t="str">
        <f t="shared" si="13"/>
        <v>value_ifc_balances_2_transaction_date</v>
      </c>
      <c r="D116" t="str">
        <f t="shared" si="14"/>
        <v>data_actual['data']['ifc_balances'][2]['transaction_date']</v>
      </c>
      <c r="E116" t="str">
        <f t="shared" si="12"/>
        <v>value_ifc_balances_2_transaction_date = data_actual['data']['ifc_balances'][2]['transaction_date']</v>
      </c>
      <c r="F116" t="str">
        <f t="shared" si="15"/>
        <v>AU.assert_equals('transaction_date', , value_ifc_balances_2_transaction_date)</v>
      </c>
    </row>
    <row r="117" spans="1:6" x14ac:dyDescent="0.25">
      <c r="A117" t="s">
        <v>1336</v>
      </c>
      <c r="C117" t="str">
        <f t="shared" si="13"/>
        <v>value_ifc_balances_2_service_sys_date</v>
      </c>
      <c r="D117" t="str">
        <f t="shared" si="14"/>
        <v>data_actual['data']['ifc_balances'][2]['service_sys_date']</v>
      </c>
      <c r="E117" t="str">
        <f t="shared" si="12"/>
        <v>value_ifc_balances_2_service_sys_date = data_actual['data']['ifc_balances'][2]['service_sys_date']</v>
      </c>
      <c r="F117" t="str">
        <f t="shared" si="15"/>
        <v>AU.assert_equals('service_sys_date', , value_ifc_balances_2_service_sys_date)</v>
      </c>
    </row>
    <row r="118" spans="1:6" x14ac:dyDescent="0.25">
      <c r="A118" t="s">
        <v>1337</v>
      </c>
      <c r="C118" t="str">
        <f t="shared" si="13"/>
        <v>value_ifc_balances_2_reference_id</v>
      </c>
      <c r="D118" t="str">
        <f t="shared" si="14"/>
        <v>data_actual['data']['ifc_balances'][2]['reference_id']</v>
      </c>
      <c r="E118" t="str">
        <f t="shared" si="12"/>
        <v>value_ifc_balances_2_reference_id = data_actual['data']['ifc_balances'][2]['reference_id']</v>
      </c>
      <c r="F118" t="str">
        <f t="shared" si="15"/>
        <v>AU.assert_equals('reference_id', , value_ifc_balances_2_reference_id)</v>
      </c>
    </row>
    <row r="119" spans="1:6" x14ac:dyDescent="0.25">
      <c r="A119" t="s">
        <v>1338</v>
      </c>
      <c r="C119" t="str">
        <f t="shared" si="13"/>
        <v>value_ifc_balances_2_ref_id</v>
      </c>
      <c r="D119" t="str">
        <f t="shared" si="14"/>
        <v>data_actual['data']['ifc_balances'][2]['ref_id']</v>
      </c>
      <c r="E119" t="str">
        <f t="shared" si="12"/>
        <v>value_ifc_balances_2_ref_id = data_actual['data']['ifc_balances'][2]['ref_id']</v>
      </c>
      <c r="F119" t="str">
        <f t="shared" si="15"/>
        <v>AU.assert_equals('ref_id', , value_ifc_balances_2_ref_id)</v>
      </c>
    </row>
    <row r="120" spans="1:6" x14ac:dyDescent="0.25">
      <c r="A120" t="s">
        <v>1339</v>
      </c>
      <c r="C120" t="str">
        <f t="shared" si="13"/>
        <v>value_ifc_balances_2_reference_code</v>
      </c>
      <c r="D120" t="str">
        <f t="shared" si="14"/>
        <v>data_actual['data']['ifc_balances'][2]['reference_code']</v>
      </c>
      <c r="E120" t="str">
        <f t="shared" si="12"/>
        <v>value_ifc_balances_2_reference_code = data_actual['data']['ifc_balances'][2]['reference_code']</v>
      </c>
      <c r="F120" t="str">
        <f t="shared" si="15"/>
        <v>AU.assert_equals('reference_code', , value_ifc_balances_2_reference_code)</v>
      </c>
    </row>
    <row r="121" spans="1:6" x14ac:dyDescent="0.25">
      <c r="A121" t="s">
        <v>1340</v>
      </c>
      <c r="C121" t="str">
        <f t="shared" si="13"/>
        <v>value_ifc_balances_2_business_code</v>
      </c>
      <c r="D121" t="str">
        <f t="shared" si="14"/>
        <v>data_actual['data']['ifc_balances'][2]['business_code']</v>
      </c>
      <c r="E121" t="str">
        <f t="shared" si="12"/>
        <v>value_ifc_balances_2_business_code = data_actual['data']['ifc_balances'][2]['business_code']</v>
      </c>
      <c r="F121" t="str">
        <f t="shared" si="15"/>
        <v>AU.assert_equals('business_code', , value_ifc_balances_2_business_code)</v>
      </c>
    </row>
    <row r="122" spans="1:6" x14ac:dyDescent="0.25">
      <c r="A122" t="s">
        <v>1341</v>
      </c>
      <c r="C122" t="str">
        <f t="shared" si="13"/>
        <v>value_ifc_balances_2_value_date</v>
      </c>
      <c r="D122" t="str">
        <f t="shared" si="14"/>
        <v>data_actual['data']['ifc_balances'][2]['value_date']</v>
      </c>
      <c r="E122" t="str">
        <f t="shared" si="12"/>
        <v>value_ifc_balances_2_value_date = data_actual['data']['ifc_balances'][2]['value_date']</v>
      </c>
      <c r="F122" t="str">
        <f t="shared" si="15"/>
        <v>AU.assert_equals('value_date', , value_ifc_balances_2_value_date)</v>
      </c>
    </row>
    <row r="123" spans="1:6" x14ac:dyDescent="0.25">
      <c r="A123" t="s">
        <v>1342</v>
      </c>
      <c r="C123" t="str">
        <f t="shared" si="13"/>
        <v>value_ifc_balances_2_current_user_code</v>
      </c>
      <c r="D123" t="str">
        <f t="shared" si="14"/>
        <v>data_actual['data']['ifc_balances'][2]['current_user_code']</v>
      </c>
      <c r="E123" t="str">
        <f t="shared" si="12"/>
        <v>value_ifc_balances_2_current_user_code = data_actual['data']['ifc_balances'][2]['current_user_code']</v>
      </c>
      <c r="F123" t="str">
        <f t="shared" si="15"/>
        <v>AU.assert_equals('current_user_code', , value_ifc_balances_2_current_user_code)</v>
      </c>
    </row>
    <row r="124" spans="1:6" x14ac:dyDescent="0.25">
      <c r="A124" t="s">
        <v>1343</v>
      </c>
      <c r="C124" t="str">
        <f t="shared" si="13"/>
        <v>value_ifc_balances_2_current_branch_code</v>
      </c>
      <c r="D124" t="str">
        <f t="shared" si="14"/>
        <v>data_actual['data']['ifc_balances'][2]['current_branch_code']</v>
      </c>
      <c r="E124" t="str">
        <f t="shared" si="12"/>
        <v>value_ifc_balances_2_current_branch_code = data_actual['data']['ifc_balances'][2]['current_branch_code']</v>
      </c>
      <c r="F124" t="str">
        <f t="shared" si="15"/>
        <v>AU.assert_equals('current_branch_code', , value_ifc_balances_2_current_branch_code)</v>
      </c>
    </row>
    <row r="125" spans="1:6" x14ac:dyDescent="0.25">
      <c r="A125" t="s">
        <v>1344</v>
      </c>
      <c r="C125" t="str">
        <f t="shared" si="13"/>
        <v>value_ifc_balances_2_current_username</v>
      </c>
      <c r="D125" t="str">
        <f t="shared" si="14"/>
        <v>data_actual['data']['ifc_balances'][2]['current_username']</v>
      </c>
      <c r="E125" t="str">
        <f t="shared" si="12"/>
        <v>value_ifc_balances_2_current_username = data_actual['data']['ifc_balances'][2]['current_username']</v>
      </c>
      <c r="F125" t="str">
        <f t="shared" si="15"/>
        <v>AU.assert_equals('current_username', , value_ifc_balances_2_current_username)</v>
      </c>
    </row>
    <row r="126" spans="1:6" x14ac:dyDescent="0.25">
      <c r="A126" t="s">
        <v>1345</v>
      </c>
      <c r="C126" t="str">
        <f t="shared" si="13"/>
        <v>value_ifc_balances_2_current_loginname</v>
      </c>
      <c r="D126" t="str">
        <f t="shared" si="14"/>
        <v>data_actual['data']['ifc_balances'][2]['current_loginname']</v>
      </c>
      <c r="E126" t="str">
        <f t="shared" si="12"/>
        <v>value_ifc_balances_2_current_loginname = data_actual['data']['ifc_balances'][2]['current_loginname']</v>
      </c>
      <c r="F126" t="str">
        <f t="shared" si="15"/>
        <v>AU.assert_equals('current_loginname', , value_ifc_balances_2_current_loginname)</v>
      </c>
    </row>
    <row r="127" spans="1:6" x14ac:dyDescent="0.25">
      <c r="A127" t="s">
        <v>1318</v>
      </c>
      <c r="C127" t="str">
        <f t="shared" si="13"/>
        <v>value_ifc_balances_2_user_approve</v>
      </c>
      <c r="D127" t="str">
        <f t="shared" si="14"/>
        <v>data_actual['data']['ifc_balances'][2]['user_approve']</v>
      </c>
      <c r="E127" t="str">
        <f t="shared" si="12"/>
        <v>value_ifc_balances_2_user_approve = data_actual['data']['ifc_balances'][2]['user_approve']</v>
      </c>
      <c r="F127" t="str">
        <f t="shared" si="15"/>
        <v>AU.assert_equals('user_approve', , value_ifc_balances_2_user_approve)</v>
      </c>
    </row>
    <row r="128" spans="1:6" x14ac:dyDescent="0.25">
      <c r="A128" t="s">
        <v>1328</v>
      </c>
      <c r="C128" t="str">
        <f t="shared" si="13"/>
        <v>value_ifc_balances_2_status</v>
      </c>
      <c r="D128" t="str">
        <f t="shared" si="14"/>
        <v>data_actual['data']['ifc_balances'][2]['status']</v>
      </c>
      <c r="E128" t="str">
        <f t="shared" si="12"/>
        <v>value_ifc_balances_2_status = data_actual['data']['ifc_balances'][2]['status']</v>
      </c>
      <c r="F128" t="str">
        <f t="shared" si="15"/>
        <v>AU.assert_equals('status', , value_ifc_balances_2_status)</v>
      </c>
    </row>
    <row r="129" spans="1:6" x14ac:dyDescent="0.25">
      <c r="A129" t="s">
        <v>1346</v>
      </c>
      <c r="C129" t="str">
        <f t="shared" si="13"/>
        <v>value_ifc_balances_2_is_reverse</v>
      </c>
      <c r="D129" t="str">
        <f t="shared" si="14"/>
        <v>data_actual['data']['ifc_balances'][2]['is_reverse']</v>
      </c>
      <c r="E129" t="str">
        <f t="shared" si="12"/>
        <v>value_ifc_balances_2_is_reverse = data_actual['data']['ifc_balances'][2]['is_reverse']</v>
      </c>
      <c r="F129" t="str">
        <f t="shared" si="15"/>
        <v>AU.assert_equals('is_reverse', , value_ifc_balances_2_is_reverse)</v>
      </c>
    </row>
    <row r="130" spans="1:6" x14ac:dyDescent="0.25">
      <c r="A130" t="s">
        <v>1347</v>
      </c>
      <c r="C130" t="str">
        <f t="shared" si="13"/>
        <v>value_ifc_balances_2_amount1</v>
      </c>
      <c r="D130" t="str">
        <f t="shared" si="14"/>
        <v>data_actual['data']['ifc_balances'][2]['amount1']</v>
      </c>
      <c r="E130" t="str">
        <f t="shared" si="12"/>
        <v>value_ifc_balances_2_amount1 = data_actual['data']['ifc_balances'][2]['amount1']</v>
      </c>
      <c r="F130" t="str">
        <f t="shared" si="15"/>
        <v>AU.assert_equals('amount1', , value_ifc_balances_2_amount1)</v>
      </c>
    </row>
    <row r="131" spans="1:6" x14ac:dyDescent="0.25">
      <c r="A131" t="s">
        <v>1299</v>
      </c>
      <c r="C131" t="str">
        <f t="shared" si="13"/>
        <v>value_ifc_balances_2_description</v>
      </c>
      <c r="D131" t="str">
        <f t="shared" si="14"/>
        <v>data_actual['data']['ifc_balances'][2]['description']</v>
      </c>
      <c r="E131" t="str">
        <f t="shared" si="12"/>
        <v>value_ifc_balances_2_description = data_actual['data']['ifc_balances'][2]['description']</v>
      </c>
      <c r="F131" t="str">
        <f t="shared" si="15"/>
        <v>AU.assert_equals('description', , value_ifc_balances_2_description)</v>
      </c>
    </row>
    <row r="132" spans="1:6" x14ac:dyDescent="0.25">
      <c r="A132" t="s">
        <v>1348</v>
      </c>
      <c r="C132" t="str">
        <f t="shared" si="13"/>
        <v>value_ifc_balances_2_token</v>
      </c>
      <c r="D132" t="str">
        <f t="shared" si="14"/>
        <v>data_actual['data']['ifc_balances'][2]['token']</v>
      </c>
      <c r="E132" t="str">
        <f t="shared" si="12"/>
        <v>value_ifc_balances_2_token = data_actual['data']['ifc_balances'][2]['token']</v>
      </c>
      <c r="F132" t="str">
        <f t="shared" si="15"/>
        <v>AU.assert_equals('token', , value_ifc_balances_2_token)</v>
      </c>
    </row>
    <row r="133" spans="1:6" x14ac:dyDescent="0.25">
      <c r="A133" t="s">
        <v>1349</v>
      </c>
      <c r="C133" t="str">
        <f t="shared" si="13"/>
        <v>value_ifc_balances_2_is_transaction_reverse</v>
      </c>
      <c r="D133" t="str">
        <f t="shared" si="14"/>
        <v>data_actual['data']['ifc_balances'][2]['is_transaction_reverse']</v>
      </c>
      <c r="E133" t="str">
        <f t="shared" si="12"/>
        <v>value_ifc_balances_2_is_transaction_reverse = data_actual['data']['ifc_balances'][2]['is_transaction_reverse']</v>
      </c>
      <c r="F133" t="str">
        <f t="shared" si="15"/>
        <v>AU.assert_equals('is_transaction_reverse', , value_ifc_balances_2_is_transaction_reverse)</v>
      </c>
    </row>
    <row r="134" spans="1:6" x14ac:dyDescent="0.25">
      <c r="A134" t="s">
        <v>1350</v>
      </c>
      <c r="C134" t="str">
        <f t="shared" si="13"/>
        <v>value_ifc_balances_2_is_transaction_compensated</v>
      </c>
      <c r="D134" t="str">
        <f t="shared" si="14"/>
        <v>data_actual['data']['ifc_balances'][2]['is_transaction_compensated']</v>
      </c>
      <c r="E134" t="str">
        <f t="shared" si="12"/>
        <v>value_ifc_balances_2_is_transaction_compensated = data_actual['data']['ifc_balances'][2]['is_transaction_compensated']</v>
      </c>
      <c r="F134" t="str">
        <f t="shared" si="15"/>
        <v>AU.assert_equals('is_transaction_compensated', , value_ifc_balances_2_is_transaction_compensated)</v>
      </c>
    </row>
    <row r="137" spans="1:6" x14ac:dyDescent="0.25">
      <c r="A137" t="s">
        <v>1297</v>
      </c>
      <c r="C137" t="str">
        <f>"value_account_balances_0_"&amp;A137</f>
        <v>value_account_balances_0_account_number</v>
      </c>
      <c r="D137" t="str">
        <f>"data_actual['data']['account_balances'][0]['"&amp;A137&amp;"']"</f>
        <v>data_actual['data']['account_balances'][0]['account_number']</v>
      </c>
      <c r="E137" t="str">
        <f t="shared" ref="E137:E144" si="16">C137&amp;" = "&amp;D137</f>
        <v>value_account_balances_0_account_number = data_actual['data']['account_balances'][0]['account_number']</v>
      </c>
      <c r="F137" t="str">
        <f>$F$1&amp;A137&amp;$G$1&amp;C137&amp;$H$1</f>
        <v>AU.assert_equals('account_number', , value_account_balances_0_account_number)</v>
      </c>
    </row>
    <row r="138" spans="1:6" x14ac:dyDescent="0.25">
      <c r="A138" t="s">
        <v>1300</v>
      </c>
      <c r="C138" t="str">
        <f t="shared" ref="C138:C144" si="17">"value_account_balances_0_"&amp;A138</f>
        <v>value_account_balances_0_amount</v>
      </c>
      <c r="D138" t="str">
        <f t="shared" ref="D138:D144" si="18">"data_actual['data']['account_balances'][0]['"&amp;A138&amp;"']"</f>
        <v>data_actual['data']['account_balances'][0]['amount']</v>
      </c>
      <c r="E138" t="str">
        <f t="shared" si="16"/>
        <v>value_account_balances_0_amount = data_actual['data']['account_balances'][0]['amount']</v>
      </c>
      <c r="F138" t="str">
        <f t="shared" ref="F138:F144" si="19">$F$1&amp;A138&amp;$G$1&amp;C138&amp;$H$1</f>
        <v>AU.assert_equals('amount', , value_account_balances_0_amount)</v>
      </c>
    </row>
    <row r="139" spans="1:6" x14ac:dyDescent="0.25">
      <c r="A139" t="s">
        <v>1394</v>
      </c>
      <c r="C139" t="str">
        <f t="shared" si="17"/>
        <v>value_account_balances_0_debit_or_credit</v>
      </c>
      <c r="D139" t="str">
        <f t="shared" si="18"/>
        <v>data_actual['data']['account_balances'][0]['debit_or_credit']</v>
      </c>
      <c r="E139" t="str">
        <f t="shared" si="16"/>
        <v>value_account_balances_0_debit_or_credit = data_actual['data']['account_balances'][0]['debit_or_credit']</v>
      </c>
      <c r="F139" t="str">
        <f t="shared" si="19"/>
        <v>AU.assert_equals('debit_or_credit', , value_account_balances_0_debit_or_credit)</v>
      </c>
    </row>
    <row r="140" spans="1:6" x14ac:dyDescent="0.25">
      <c r="A140" t="s">
        <v>1395</v>
      </c>
      <c r="C140" t="str">
        <f t="shared" si="17"/>
        <v>value_account_balances_0_currency</v>
      </c>
      <c r="D140" t="str">
        <f t="shared" si="18"/>
        <v>data_actual['data']['account_balances'][0]['currency']</v>
      </c>
      <c r="E140" t="str">
        <f t="shared" si="16"/>
        <v>value_account_balances_0_currency = data_actual['data']['account_balances'][0]['currency']</v>
      </c>
      <c r="F140" t="str">
        <f t="shared" si="19"/>
        <v>AU.assert_equals('currency', , value_account_balances_0_currency)</v>
      </c>
    </row>
    <row r="141" spans="1:6" x14ac:dyDescent="0.25">
      <c r="A141" t="s">
        <v>1391</v>
      </c>
      <c r="C141" t="str">
        <f t="shared" si="17"/>
        <v>value_account_balances_0_available_balance</v>
      </c>
      <c r="D141" t="str">
        <f t="shared" si="18"/>
        <v>data_actual['data']['account_balances'][0]['available_balance']</v>
      </c>
      <c r="E141" t="str">
        <f t="shared" si="16"/>
        <v>value_account_balances_0_available_balance = data_actual['data']['account_balances'][0]['available_balance']</v>
      </c>
      <c r="F141" t="str">
        <f t="shared" si="19"/>
        <v>AU.assert_equals('available_balance', , value_account_balances_0_available_balance)</v>
      </c>
    </row>
    <row r="142" spans="1:6" x14ac:dyDescent="0.25">
      <c r="A142" t="s">
        <v>1332</v>
      </c>
      <c r="C142" t="str">
        <f t="shared" si="17"/>
        <v>value_account_balances_0_transaction_number</v>
      </c>
      <c r="D142" t="str">
        <f t="shared" si="18"/>
        <v>data_actual['data']['account_balances'][0]['transaction_number']</v>
      </c>
      <c r="E142" t="str">
        <f t="shared" si="16"/>
        <v>value_account_balances_0_transaction_number = data_actual['data']['account_balances'][0]['transaction_number']</v>
      </c>
      <c r="F142" t="str">
        <f t="shared" si="19"/>
        <v>AU.assert_equals('transaction_number', , value_account_balances_0_transaction_number)</v>
      </c>
    </row>
    <row r="143" spans="1:6" x14ac:dyDescent="0.25">
      <c r="A143" t="s">
        <v>1335</v>
      </c>
      <c r="C143" t="str">
        <f t="shared" si="17"/>
        <v>value_account_balances_0_transaction_date</v>
      </c>
      <c r="D143" t="str">
        <f t="shared" si="18"/>
        <v>data_actual['data']['account_balances'][0]['transaction_date']</v>
      </c>
      <c r="E143" t="str">
        <f t="shared" si="16"/>
        <v>value_account_balances_0_transaction_date = data_actual['data']['account_balances'][0]['transaction_date']</v>
      </c>
      <c r="F143" t="str">
        <f t="shared" si="19"/>
        <v>AU.assert_equals('transaction_date', , value_account_balances_0_transaction_date)</v>
      </c>
    </row>
    <row r="144" spans="1:6" x14ac:dyDescent="0.25">
      <c r="A144" t="s">
        <v>1299</v>
      </c>
      <c r="C144" t="str">
        <f t="shared" si="17"/>
        <v>value_account_balances_0_description</v>
      </c>
      <c r="D144" t="str">
        <f t="shared" si="18"/>
        <v>data_actual['data']['account_balances'][0]['description']</v>
      </c>
      <c r="E144" t="str">
        <f t="shared" si="16"/>
        <v>value_account_balances_0_description = data_actual['data']['account_balances'][0]['description']</v>
      </c>
      <c r="F144" t="str">
        <f t="shared" si="19"/>
        <v>AU.assert_equals('description', , value_account_balances_0_description)</v>
      </c>
    </row>
    <row r="147" spans="1:6" x14ac:dyDescent="0.25">
      <c r="A147" t="s">
        <v>1430</v>
      </c>
      <c r="C147" t="str">
        <f>"value_list_cash_"&amp;A147</f>
        <v>value_list_cash_amount_cash_change</v>
      </c>
      <c r="D147" t="str">
        <f>"data_actual['data']['list_cash'][0]['"&amp;A147&amp;"']"</f>
        <v>data_actual['data']['list_cash'][0]['amount_cash_change']</v>
      </c>
      <c r="E147" t="str">
        <f>C147&amp;" = "&amp;D147</f>
        <v>value_list_cash_amount_cash_change = data_actual['data']['list_cash'][0]['amount_cash_change']</v>
      </c>
      <c r="F147" t="str">
        <f>$F$1&amp;A147&amp;$G$1&amp;C147&amp;$H$1</f>
        <v>AU.assert_equals('amount_cash_change', , value_list_cash_amount_cash_change)</v>
      </c>
    </row>
    <row r="148" spans="1:6" x14ac:dyDescent="0.25">
      <c r="A148" t="s">
        <v>1431</v>
      </c>
      <c r="C148" t="str">
        <f t="shared" ref="C148:C176" si="20">"value_list_cash_"&amp;A148</f>
        <v>value_list_cash_base_amount</v>
      </c>
      <c r="D148" t="str">
        <f t="shared" ref="D148:D176" si="21">"data_actual['data']['list_cash'][0]['"&amp;A148&amp;"']"</f>
        <v>data_actual['data']['list_cash'][0]['base_amount']</v>
      </c>
      <c r="E148" t="str">
        <f t="shared" ref="E148:E176" si="22">C148&amp;" = "&amp;D148</f>
        <v>value_list_cash_base_amount = data_actual['data']['list_cash'][0]['base_amount']</v>
      </c>
      <c r="F148" t="str">
        <f t="shared" ref="F148:F176" si="23">$F$1&amp;A148&amp;$G$1&amp;C148&amp;$H$1</f>
        <v>AU.assert_equals('base_amount', , value_list_cash_base_amount)</v>
      </c>
    </row>
    <row r="149" spans="1:6" x14ac:dyDescent="0.25">
      <c r="A149" t="s">
        <v>1394</v>
      </c>
      <c r="C149" t="str">
        <f t="shared" si="20"/>
        <v>value_list_cash_debit_or_credit</v>
      </c>
      <c r="D149" t="str">
        <f t="shared" si="21"/>
        <v>data_actual['data']['list_cash'][0]['debit_or_credit']</v>
      </c>
      <c r="E149" t="str">
        <f t="shared" si="22"/>
        <v>value_list_cash_debit_or_credit = data_actual['data']['list_cash'][0]['debit_or_credit']</v>
      </c>
      <c r="F149" t="str">
        <f t="shared" si="23"/>
        <v>AU.assert_equals('debit_or_credit', , value_list_cash_debit_or_credit)</v>
      </c>
    </row>
    <row r="150" spans="1:6" x14ac:dyDescent="0.25">
      <c r="A150" t="s">
        <v>1413</v>
      </c>
      <c r="C150" t="str">
        <f t="shared" si="20"/>
        <v>value_list_cash_currency_code</v>
      </c>
      <c r="D150" t="str">
        <f t="shared" si="21"/>
        <v>data_actual['data']['list_cash'][0]['currency_code']</v>
      </c>
      <c r="E150" t="str">
        <f t="shared" si="22"/>
        <v>value_list_cash_currency_code = data_actual['data']['list_cash'][0]['currency_code']</v>
      </c>
      <c r="F150" t="str">
        <f t="shared" si="23"/>
        <v>AU.assert_equals('currency_code', , value_list_cash_currency_code)</v>
      </c>
    </row>
    <row r="151" spans="1:6" x14ac:dyDescent="0.25">
      <c r="A151" t="s">
        <v>1432</v>
      </c>
      <c r="C151" t="str">
        <f t="shared" si="20"/>
        <v>value_list_cash_condition</v>
      </c>
      <c r="D151" t="str">
        <f t="shared" si="21"/>
        <v>data_actual['data']['list_cash'][0]['condition']</v>
      </c>
      <c r="E151" t="str">
        <f t="shared" si="22"/>
        <v>value_list_cash_condition = data_actual['data']['list_cash'][0]['condition']</v>
      </c>
      <c r="F151" t="str">
        <f t="shared" si="23"/>
        <v>AU.assert_equals('condition', , value_list_cash_condition)</v>
      </c>
    </row>
    <row r="152" spans="1:6" x14ac:dyDescent="0.25">
      <c r="A152" t="s">
        <v>1433</v>
      </c>
      <c r="C152" t="str">
        <f t="shared" si="20"/>
        <v>value_list_cash_posting</v>
      </c>
      <c r="D152" t="str">
        <f t="shared" si="21"/>
        <v>data_actual['data']['list_cash'][0]['posting']</v>
      </c>
      <c r="E152" t="str">
        <f t="shared" si="22"/>
        <v>value_list_cash_posting = data_actual['data']['list_cash'][0]['posting']</v>
      </c>
      <c r="F152" t="str">
        <f t="shared" si="23"/>
        <v>AU.assert_equals('posting', , value_list_cash_posting)</v>
      </c>
    </row>
    <row r="153" spans="1:6" x14ac:dyDescent="0.25">
      <c r="A153" t="s">
        <v>1434</v>
      </c>
      <c r="C153" t="str">
        <f t="shared" si="20"/>
        <v>value_list_cash_accounting_group</v>
      </c>
      <c r="D153" t="str">
        <f t="shared" si="21"/>
        <v>data_actual['data']['list_cash'][0]['accounting_group']</v>
      </c>
      <c r="E153" t="str">
        <f t="shared" si="22"/>
        <v>value_list_cash_accounting_group = data_actual['data']['list_cash'][0]['accounting_group']</v>
      </c>
      <c r="F153" t="str">
        <f t="shared" si="23"/>
        <v>AU.assert_equals('accounting_group', , value_list_cash_accounting_group)</v>
      </c>
    </row>
    <row r="154" spans="1:6" x14ac:dyDescent="0.25">
      <c r="A154" t="s">
        <v>1331</v>
      </c>
      <c r="C154" t="str">
        <f t="shared" si="20"/>
        <v>value_list_cash_transaction_code</v>
      </c>
      <c r="D154" t="str">
        <f t="shared" si="21"/>
        <v>data_actual['data']['list_cash'][0]['transaction_code']</v>
      </c>
      <c r="E154" t="str">
        <f t="shared" si="22"/>
        <v>value_list_cash_transaction_code = data_actual['data']['list_cash'][0]['transaction_code']</v>
      </c>
      <c r="F154" t="str">
        <f t="shared" si="23"/>
        <v>AU.assert_equals('transaction_code', , value_list_cash_transaction_code)</v>
      </c>
    </row>
    <row r="155" spans="1:6" x14ac:dyDescent="0.25">
      <c r="A155" t="s">
        <v>1332</v>
      </c>
      <c r="C155" t="str">
        <f t="shared" si="20"/>
        <v>value_list_cash_transaction_number</v>
      </c>
      <c r="D155" t="str">
        <f t="shared" si="21"/>
        <v>data_actual['data']['list_cash'][0]['transaction_number']</v>
      </c>
      <c r="E155" t="str">
        <f t="shared" si="22"/>
        <v>value_list_cash_transaction_number = data_actual['data']['list_cash'][0]['transaction_number']</v>
      </c>
      <c r="F155" t="str">
        <f t="shared" si="23"/>
        <v>AU.assert_equals('transaction_number', , value_list_cash_transaction_number)</v>
      </c>
    </row>
    <row r="156" spans="1:6" x14ac:dyDescent="0.25">
      <c r="A156" t="s">
        <v>1333</v>
      </c>
      <c r="C156" t="str">
        <f t="shared" si="20"/>
        <v>value_list_cash_transaction_type</v>
      </c>
      <c r="D156" t="str">
        <f t="shared" si="21"/>
        <v>data_actual['data']['list_cash'][0]['transaction_type']</v>
      </c>
      <c r="E156" t="str">
        <f t="shared" si="22"/>
        <v>value_list_cash_transaction_type = data_actual['data']['list_cash'][0]['transaction_type']</v>
      </c>
      <c r="F156" t="str">
        <f t="shared" si="23"/>
        <v>AU.assert_equals('transaction_type', , value_list_cash_transaction_type)</v>
      </c>
    </row>
    <row r="157" spans="1:6" x14ac:dyDescent="0.25">
      <c r="A157" t="s">
        <v>1334</v>
      </c>
      <c r="C157" t="str">
        <f t="shared" si="20"/>
        <v>value_list_cash_sub_code</v>
      </c>
      <c r="D157" t="str">
        <f t="shared" si="21"/>
        <v>data_actual['data']['list_cash'][0]['sub_code']</v>
      </c>
      <c r="E157" t="str">
        <f t="shared" si="22"/>
        <v>value_list_cash_sub_code = data_actual['data']['list_cash'][0]['sub_code']</v>
      </c>
      <c r="F157" t="str">
        <f t="shared" si="23"/>
        <v>AU.assert_equals('sub_code', , value_list_cash_sub_code)</v>
      </c>
    </row>
    <row r="158" spans="1:6" x14ac:dyDescent="0.25">
      <c r="A158" t="s">
        <v>1335</v>
      </c>
      <c r="C158" t="str">
        <f t="shared" si="20"/>
        <v>value_list_cash_transaction_date</v>
      </c>
      <c r="D158" t="str">
        <f t="shared" si="21"/>
        <v>data_actual['data']['list_cash'][0]['transaction_date']</v>
      </c>
      <c r="E158" t="str">
        <f t="shared" si="22"/>
        <v>value_list_cash_transaction_date = data_actual['data']['list_cash'][0]['transaction_date']</v>
      </c>
      <c r="F158" t="str">
        <f t="shared" si="23"/>
        <v>AU.assert_equals('transaction_date', , value_list_cash_transaction_date)</v>
      </c>
    </row>
    <row r="159" spans="1:6" x14ac:dyDescent="0.25">
      <c r="A159" t="s">
        <v>1336</v>
      </c>
      <c r="C159" t="str">
        <f t="shared" si="20"/>
        <v>value_list_cash_service_sys_date</v>
      </c>
      <c r="D159" t="str">
        <f t="shared" si="21"/>
        <v>data_actual['data']['list_cash'][0]['service_sys_date']</v>
      </c>
      <c r="E159" t="str">
        <f t="shared" si="22"/>
        <v>value_list_cash_service_sys_date = data_actual['data']['list_cash'][0]['service_sys_date']</v>
      </c>
      <c r="F159" t="str">
        <f t="shared" si="23"/>
        <v>AU.assert_equals('service_sys_date', , value_list_cash_service_sys_date)</v>
      </c>
    </row>
    <row r="160" spans="1:6" x14ac:dyDescent="0.25">
      <c r="A160" t="s">
        <v>1337</v>
      </c>
      <c r="C160" t="str">
        <f t="shared" si="20"/>
        <v>value_list_cash_reference_id</v>
      </c>
      <c r="D160" t="str">
        <f t="shared" si="21"/>
        <v>data_actual['data']['list_cash'][0]['reference_id']</v>
      </c>
      <c r="E160" t="str">
        <f t="shared" si="22"/>
        <v>value_list_cash_reference_id = data_actual['data']['list_cash'][0]['reference_id']</v>
      </c>
      <c r="F160" t="str">
        <f t="shared" si="23"/>
        <v>AU.assert_equals('reference_id', , value_list_cash_reference_id)</v>
      </c>
    </row>
    <row r="161" spans="1:6" x14ac:dyDescent="0.25">
      <c r="A161" t="s">
        <v>1338</v>
      </c>
      <c r="C161" t="str">
        <f t="shared" si="20"/>
        <v>value_list_cash_ref_id</v>
      </c>
      <c r="D161" t="str">
        <f t="shared" si="21"/>
        <v>data_actual['data']['list_cash'][0]['ref_id']</v>
      </c>
      <c r="E161" t="str">
        <f t="shared" si="22"/>
        <v>value_list_cash_ref_id = data_actual['data']['list_cash'][0]['ref_id']</v>
      </c>
      <c r="F161" t="str">
        <f t="shared" si="23"/>
        <v>AU.assert_equals('ref_id', , value_list_cash_ref_id)</v>
      </c>
    </row>
    <row r="162" spans="1:6" x14ac:dyDescent="0.25">
      <c r="A162" t="s">
        <v>1339</v>
      </c>
      <c r="C162" t="str">
        <f t="shared" si="20"/>
        <v>value_list_cash_reference_code</v>
      </c>
      <c r="D162" t="str">
        <f t="shared" si="21"/>
        <v>data_actual['data']['list_cash'][0]['reference_code']</v>
      </c>
      <c r="E162" t="str">
        <f t="shared" si="22"/>
        <v>value_list_cash_reference_code = data_actual['data']['list_cash'][0]['reference_code']</v>
      </c>
      <c r="F162" t="str">
        <f t="shared" si="23"/>
        <v>AU.assert_equals('reference_code', , value_list_cash_reference_code)</v>
      </c>
    </row>
    <row r="163" spans="1:6" x14ac:dyDescent="0.25">
      <c r="A163" t="s">
        <v>1340</v>
      </c>
      <c r="C163" t="str">
        <f t="shared" si="20"/>
        <v>value_list_cash_business_code</v>
      </c>
      <c r="D163" t="str">
        <f t="shared" si="21"/>
        <v>data_actual['data']['list_cash'][0]['business_code']</v>
      </c>
      <c r="E163" t="str">
        <f t="shared" si="22"/>
        <v>value_list_cash_business_code = data_actual['data']['list_cash'][0]['business_code']</v>
      </c>
      <c r="F163" t="str">
        <f t="shared" si="23"/>
        <v>AU.assert_equals('business_code', , value_list_cash_business_code)</v>
      </c>
    </row>
    <row r="164" spans="1:6" x14ac:dyDescent="0.25">
      <c r="A164" t="s">
        <v>1341</v>
      </c>
      <c r="C164" t="str">
        <f t="shared" si="20"/>
        <v>value_list_cash_value_date</v>
      </c>
      <c r="D164" t="str">
        <f t="shared" si="21"/>
        <v>data_actual['data']['list_cash'][0]['value_date']</v>
      </c>
      <c r="E164" t="str">
        <f t="shared" si="22"/>
        <v>value_list_cash_value_date = data_actual['data']['list_cash'][0]['value_date']</v>
      </c>
      <c r="F164" t="str">
        <f t="shared" si="23"/>
        <v>AU.assert_equals('value_date', , value_list_cash_value_date)</v>
      </c>
    </row>
    <row r="165" spans="1:6" x14ac:dyDescent="0.25">
      <c r="A165" t="s">
        <v>1342</v>
      </c>
      <c r="C165" t="str">
        <f t="shared" si="20"/>
        <v>value_list_cash_current_user_code</v>
      </c>
      <c r="D165" t="str">
        <f t="shared" si="21"/>
        <v>data_actual['data']['list_cash'][0]['current_user_code']</v>
      </c>
      <c r="E165" t="str">
        <f t="shared" si="22"/>
        <v>value_list_cash_current_user_code = data_actual['data']['list_cash'][0]['current_user_code']</v>
      </c>
      <c r="F165" t="str">
        <f t="shared" si="23"/>
        <v>AU.assert_equals('current_user_code', , value_list_cash_current_user_code)</v>
      </c>
    </row>
    <row r="166" spans="1:6" x14ac:dyDescent="0.25">
      <c r="A166" t="s">
        <v>1343</v>
      </c>
      <c r="C166" t="str">
        <f t="shared" si="20"/>
        <v>value_list_cash_current_branch_code</v>
      </c>
      <c r="D166" t="str">
        <f t="shared" si="21"/>
        <v>data_actual['data']['list_cash'][0]['current_branch_code']</v>
      </c>
      <c r="E166" t="str">
        <f t="shared" si="22"/>
        <v>value_list_cash_current_branch_code = data_actual['data']['list_cash'][0]['current_branch_code']</v>
      </c>
      <c r="F166" t="str">
        <f t="shared" si="23"/>
        <v>AU.assert_equals('current_branch_code', , value_list_cash_current_branch_code)</v>
      </c>
    </row>
    <row r="167" spans="1:6" x14ac:dyDescent="0.25">
      <c r="A167" t="s">
        <v>1344</v>
      </c>
      <c r="C167" t="str">
        <f t="shared" si="20"/>
        <v>value_list_cash_current_username</v>
      </c>
      <c r="D167" t="str">
        <f t="shared" si="21"/>
        <v>data_actual['data']['list_cash'][0]['current_username']</v>
      </c>
      <c r="E167" t="str">
        <f t="shared" si="22"/>
        <v>value_list_cash_current_username = data_actual['data']['list_cash'][0]['current_username']</v>
      </c>
      <c r="F167" t="str">
        <f t="shared" si="23"/>
        <v>AU.assert_equals('current_username', , value_list_cash_current_username)</v>
      </c>
    </row>
    <row r="168" spans="1:6" x14ac:dyDescent="0.25">
      <c r="A168" t="s">
        <v>1345</v>
      </c>
      <c r="C168" t="str">
        <f t="shared" si="20"/>
        <v>value_list_cash_current_loginname</v>
      </c>
      <c r="D168" t="str">
        <f t="shared" si="21"/>
        <v>data_actual['data']['list_cash'][0]['current_loginname']</v>
      </c>
      <c r="E168" t="str">
        <f t="shared" si="22"/>
        <v>value_list_cash_current_loginname = data_actual['data']['list_cash'][0]['current_loginname']</v>
      </c>
      <c r="F168" t="str">
        <f t="shared" si="23"/>
        <v>AU.assert_equals('current_loginname', , value_list_cash_current_loginname)</v>
      </c>
    </row>
    <row r="169" spans="1:6" x14ac:dyDescent="0.25">
      <c r="A169" t="s">
        <v>1318</v>
      </c>
      <c r="C169" t="str">
        <f t="shared" si="20"/>
        <v>value_list_cash_user_approve</v>
      </c>
      <c r="D169" t="str">
        <f t="shared" si="21"/>
        <v>data_actual['data']['list_cash'][0]['user_approve']</v>
      </c>
      <c r="E169" t="str">
        <f t="shared" si="22"/>
        <v>value_list_cash_user_approve = data_actual['data']['list_cash'][0]['user_approve']</v>
      </c>
      <c r="F169" t="str">
        <f t="shared" si="23"/>
        <v>AU.assert_equals('user_approve', , value_list_cash_user_approve)</v>
      </c>
    </row>
    <row r="170" spans="1:6" x14ac:dyDescent="0.25">
      <c r="A170" t="s">
        <v>1328</v>
      </c>
      <c r="C170" t="str">
        <f t="shared" si="20"/>
        <v>value_list_cash_status</v>
      </c>
      <c r="D170" t="str">
        <f t="shared" si="21"/>
        <v>data_actual['data']['list_cash'][0]['status']</v>
      </c>
      <c r="E170" t="str">
        <f t="shared" si="22"/>
        <v>value_list_cash_status = data_actual['data']['list_cash'][0]['status']</v>
      </c>
      <c r="F170" t="str">
        <f t="shared" si="23"/>
        <v>AU.assert_equals('status', , value_list_cash_status)</v>
      </c>
    </row>
    <row r="171" spans="1:6" x14ac:dyDescent="0.25">
      <c r="A171" t="s">
        <v>1346</v>
      </c>
      <c r="C171" t="str">
        <f t="shared" si="20"/>
        <v>value_list_cash_is_reverse</v>
      </c>
      <c r="D171" t="str">
        <f t="shared" si="21"/>
        <v>data_actual['data']['list_cash'][0]['is_reverse']</v>
      </c>
      <c r="E171" t="str">
        <f t="shared" si="22"/>
        <v>value_list_cash_is_reverse = data_actual['data']['list_cash'][0]['is_reverse']</v>
      </c>
      <c r="F171" t="str">
        <f t="shared" si="23"/>
        <v>AU.assert_equals('is_reverse', , value_list_cash_is_reverse)</v>
      </c>
    </row>
    <row r="172" spans="1:6" x14ac:dyDescent="0.25">
      <c r="A172" t="s">
        <v>1347</v>
      </c>
      <c r="C172" t="str">
        <f t="shared" si="20"/>
        <v>value_list_cash_amount1</v>
      </c>
      <c r="D172" t="str">
        <f t="shared" si="21"/>
        <v>data_actual['data']['list_cash'][0]['amount1']</v>
      </c>
      <c r="E172" t="str">
        <f t="shared" si="22"/>
        <v>value_list_cash_amount1 = data_actual['data']['list_cash'][0]['amount1']</v>
      </c>
      <c r="F172" t="str">
        <f t="shared" si="23"/>
        <v>AU.assert_equals('amount1', , value_list_cash_amount1)</v>
      </c>
    </row>
    <row r="173" spans="1:6" x14ac:dyDescent="0.25">
      <c r="A173" t="s">
        <v>1299</v>
      </c>
      <c r="C173" t="str">
        <f t="shared" si="20"/>
        <v>value_list_cash_description</v>
      </c>
      <c r="D173" t="str">
        <f t="shared" si="21"/>
        <v>data_actual['data']['list_cash'][0]['description']</v>
      </c>
      <c r="E173" t="str">
        <f t="shared" si="22"/>
        <v>value_list_cash_description = data_actual['data']['list_cash'][0]['description']</v>
      </c>
      <c r="F173" t="str">
        <f t="shared" si="23"/>
        <v>AU.assert_equals('description', , value_list_cash_description)</v>
      </c>
    </row>
    <row r="174" spans="1:6" x14ac:dyDescent="0.25">
      <c r="A174" t="s">
        <v>1348</v>
      </c>
      <c r="C174" t="str">
        <f t="shared" si="20"/>
        <v>value_list_cash_token</v>
      </c>
      <c r="D174" t="str">
        <f t="shared" si="21"/>
        <v>data_actual['data']['list_cash'][0]['token']</v>
      </c>
      <c r="E174" t="str">
        <f t="shared" si="22"/>
        <v>value_list_cash_token = data_actual['data']['list_cash'][0]['token']</v>
      </c>
      <c r="F174" t="str">
        <f t="shared" si="23"/>
        <v>AU.assert_equals('token', , value_list_cash_token)</v>
      </c>
    </row>
    <row r="175" spans="1:6" x14ac:dyDescent="0.25">
      <c r="A175" t="s">
        <v>1349</v>
      </c>
      <c r="C175" t="str">
        <f t="shared" si="20"/>
        <v>value_list_cash_is_transaction_reverse</v>
      </c>
      <c r="D175" t="str">
        <f t="shared" si="21"/>
        <v>data_actual['data']['list_cash'][0]['is_transaction_reverse']</v>
      </c>
      <c r="E175" t="str">
        <f t="shared" si="22"/>
        <v>value_list_cash_is_transaction_reverse = data_actual['data']['list_cash'][0]['is_transaction_reverse']</v>
      </c>
      <c r="F175" t="str">
        <f t="shared" si="23"/>
        <v>AU.assert_equals('is_transaction_reverse', , value_list_cash_is_transaction_reverse)</v>
      </c>
    </row>
    <row r="176" spans="1:6" x14ac:dyDescent="0.25">
      <c r="A176" t="s">
        <v>1350</v>
      </c>
      <c r="C176" t="str">
        <f t="shared" si="20"/>
        <v>value_list_cash_is_transaction_compensated</v>
      </c>
      <c r="D176" t="str">
        <f t="shared" si="21"/>
        <v>data_actual['data']['list_cash'][0]['is_transaction_compensated']</v>
      </c>
      <c r="E176" t="str">
        <f t="shared" si="22"/>
        <v>value_list_cash_is_transaction_compensated = data_actual['data']['list_cash'][0]['is_transaction_compensated']</v>
      </c>
      <c r="F176" t="str">
        <f t="shared" si="23"/>
        <v>AU.assert_equals('is_transaction_compensated', , value_list_cash_is_transaction_compensated)</v>
      </c>
    </row>
  </sheetData>
  <pageMargins left="0.7" right="0.7" top="0.75" bottom="0.75" header="0.3" footer="0.3"/>
  <pageSetup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E1:L17"/>
  <sheetViews>
    <sheetView workbookViewId="0">
      <selection activeCell="J2" sqref="J2:J17"/>
    </sheetView>
  </sheetViews>
  <sheetFormatPr defaultRowHeight="15" x14ac:dyDescent="0.25"/>
  <cols>
    <col min="6" max="6" width="25.140625" bestFit="1" customWidth="1"/>
  </cols>
  <sheetData>
    <row r="1" spans="5:12" x14ac:dyDescent="0.25">
      <c r="F1" t="s">
        <v>1539</v>
      </c>
      <c r="J1" s="54" t="s">
        <v>1132</v>
      </c>
      <c r="K1" t="s">
        <v>1133</v>
      </c>
      <c r="L1" t="s">
        <v>1106</v>
      </c>
    </row>
    <row r="2" spans="5:12" x14ac:dyDescent="0.25">
      <c r="E2" t="s">
        <v>1302</v>
      </c>
      <c r="F2" t="str">
        <f>E2&amp;$F$1</f>
        <v>share_fee_01</v>
      </c>
      <c r="G2">
        <v>0</v>
      </c>
      <c r="H2" t="str">
        <f>F2&amp;"="&amp;G2</f>
        <v>share_fee_01=0</v>
      </c>
      <c r="J2" t="str">
        <f>$J$1&amp;E2&amp;$K$1&amp;F2&amp;$L$1</f>
        <v>"share_fee": share_fee_01,</v>
      </c>
    </row>
    <row r="3" spans="5:12" x14ac:dyDescent="0.25">
      <c r="E3" t="s">
        <v>1303</v>
      </c>
      <c r="F3" t="str">
        <f t="shared" ref="F3:F17" si="0">E3&amp;$F$1</f>
        <v>ifc_name_01</v>
      </c>
      <c r="G3" t="s">
        <v>1540</v>
      </c>
      <c r="H3" t="str">
        <f t="shared" ref="H3:H17" si="1">F3&amp;"="&amp;G3</f>
        <v>ifc_name_01=Deposit (MMK) For Same Region  (By Cash/Tr)</v>
      </c>
      <c r="J3" t="str">
        <f t="shared" ref="J3:J17" si="2">$J$1&amp;E3&amp;$K$1&amp;F3&amp;$L$1</f>
        <v>"ifc_name": ifc_name_01,</v>
      </c>
    </row>
    <row r="4" spans="5:12" x14ac:dyDescent="0.25">
      <c r="E4" t="s">
        <v>1304</v>
      </c>
      <c r="F4" t="str">
        <f t="shared" si="0"/>
        <v>value_type_01</v>
      </c>
      <c r="G4" t="s">
        <v>1389</v>
      </c>
      <c r="H4" t="str">
        <f t="shared" si="1"/>
        <v>value_type_01=F</v>
      </c>
      <c r="J4" t="str">
        <f t="shared" si="2"/>
        <v>"value_type": value_type_01,</v>
      </c>
    </row>
    <row r="5" spans="5:12" x14ac:dyDescent="0.25">
      <c r="E5" t="s">
        <v>1305</v>
      </c>
      <c r="F5" t="str">
        <f t="shared" si="0"/>
        <v>ifc_code_01</v>
      </c>
      <c r="G5">
        <v>340</v>
      </c>
      <c r="H5" t="str">
        <f t="shared" si="1"/>
        <v>ifc_code_01=340</v>
      </c>
      <c r="J5" t="str">
        <f t="shared" si="2"/>
        <v>"ifc_code": ifc_code_01,</v>
      </c>
    </row>
    <row r="6" spans="5:12" x14ac:dyDescent="0.25">
      <c r="E6" t="s">
        <v>1306</v>
      </c>
      <c r="F6" t="str">
        <f t="shared" si="0"/>
        <v>payrate_01</v>
      </c>
      <c r="G6">
        <v>100</v>
      </c>
      <c r="H6" t="str">
        <f t="shared" si="1"/>
        <v>payrate_01=100</v>
      </c>
      <c r="J6" t="str">
        <f t="shared" si="2"/>
        <v>"payrate": payrate_01,</v>
      </c>
    </row>
    <row r="7" spans="5:12" x14ac:dyDescent="0.25">
      <c r="E7" t="s">
        <v>1307</v>
      </c>
      <c r="F7" t="str">
        <f t="shared" si="0"/>
        <v>ifc_value_01</v>
      </c>
      <c r="G7">
        <v>500</v>
      </c>
      <c r="H7" t="str">
        <f t="shared" si="1"/>
        <v>ifc_value_01=500</v>
      </c>
      <c r="J7" t="str">
        <f t="shared" si="2"/>
        <v>"ifc_value": ifc_value_01,</v>
      </c>
    </row>
    <row r="8" spans="5:12" x14ac:dyDescent="0.25">
      <c r="E8" t="s">
        <v>1308</v>
      </c>
      <c r="F8" t="str">
        <f t="shared" si="0"/>
        <v>ifc_amount_01</v>
      </c>
      <c r="G8">
        <v>500</v>
      </c>
      <c r="H8" t="str">
        <f t="shared" si="1"/>
        <v>ifc_amount_01=500</v>
      </c>
      <c r="J8" t="str">
        <f t="shared" si="2"/>
        <v>"ifc_amount": ifc_amount_01,</v>
      </c>
    </row>
    <row r="9" spans="5:12" x14ac:dyDescent="0.25">
      <c r="E9" t="s">
        <v>1309</v>
      </c>
      <c r="F9" t="str">
        <f t="shared" si="0"/>
        <v>currency_account_code_01</v>
      </c>
      <c r="G9" t="s">
        <v>1366</v>
      </c>
      <c r="H9" t="str">
        <f t="shared" si="1"/>
        <v>currency_account_code_01=MMK</v>
      </c>
      <c r="J9" t="str">
        <f t="shared" si="2"/>
        <v>"currency_account_code": currency_account_code_01,</v>
      </c>
    </row>
    <row r="10" spans="5:12" x14ac:dyDescent="0.25">
      <c r="E10" t="s">
        <v>1310</v>
      </c>
      <c r="F10" t="str">
        <f t="shared" si="0"/>
        <v>floor_value_01</v>
      </c>
      <c r="G10">
        <v>0</v>
      </c>
      <c r="H10" t="str">
        <f t="shared" si="1"/>
        <v>floor_value_01=0</v>
      </c>
      <c r="J10" t="str">
        <f t="shared" si="2"/>
        <v>"floor_value": floor_value_01,</v>
      </c>
    </row>
    <row r="11" spans="5:12" x14ac:dyDescent="0.25">
      <c r="E11" t="s">
        <v>1311</v>
      </c>
      <c r="F11" t="str">
        <f t="shared" si="0"/>
        <v>ceiling_value_01</v>
      </c>
      <c r="G11">
        <v>0</v>
      </c>
      <c r="H11" t="str">
        <f t="shared" si="1"/>
        <v>ceiling_value_01=0</v>
      </c>
      <c r="J11" t="str">
        <f t="shared" si="2"/>
        <v>"ceiling_value": ceiling_value_01,</v>
      </c>
    </row>
    <row r="12" spans="5:12" x14ac:dyDescent="0.25">
      <c r="E12" t="s">
        <v>1312</v>
      </c>
      <c r="F12" t="str">
        <f t="shared" si="0"/>
        <v>share_rate_01</v>
      </c>
      <c r="G12">
        <v>0</v>
      </c>
      <c r="H12" t="str">
        <f t="shared" si="1"/>
        <v>share_rate_01=0</v>
      </c>
      <c r="J12" t="str">
        <f t="shared" si="2"/>
        <v>"share_rate": share_rate_01,</v>
      </c>
    </row>
    <row r="13" spans="5:12" x14ac:dyDescent="0.25">
      <c r="E13" t="s">
        <v>1313</v>
      </c>
      <c r="F13" t="str">
        <f t="shared" si="0"/>
        <v>share_amount_01</v>
      </c>
      <c r="G13">
        <v>0</v>
      </c>
      <c r="H13" t="str">
        <f t="shared" si="1"/>
        <v>share_amount_01=0</v>
      </c>
      <c r="J13" t="str">
        <f t="shared" si="2"/>
        <v>"share_amount": share_amount_01,</v>
      </c>
    </row>
    <row r="14" spans="5:12" x14ac:dyDescent="0.25">
      <c r="E14" t="s">
        <v>1314</v>
      </c>
      <c r="F14" t="str">
        <f t="shared" si="0"/>
        <v>round_rate_01</v>
      </c>
      <c r="G14">
        <v>0</v>
      </c>
      <c r="H14" t="str">
        <f t="shared" si="1"/>
        <v>round_rate_01=0</v>
      </c>
      <c r="J14" t="str">
        <f t="shared" si="2"/>
        <v>"round_rate": round_rate_01,</v>
      </c>
    </row>
    <row r="15" spans="5:12" x14ac:dyDescent="0.25">
      <c r="E15" t="s">
        <v>1315</v>
      </c>
      <c r="F15" t="str">
        <f t="shared" si="0"/>
        <v>round_amount_01</v>
      </c>
      <c r="G15">
        <v>0</v>
      </c>
      <c r="H15" t="str">
        <f t="shared" si="1"/>
        <v>round_amount_01=0</v>
      </c>
      <c r="J15" t="str">
        <f t="shared" si="2"/>
        <v>"round_amount": round_amount_01,</v>
      </c>
    </row>
    <row r="16" spans="5:12" x14ac:dyDescent="0.25">
      <c r="E16" t="s">
        <v>1316</v>
      </c>
      <c r="F16" t="str">
        <f t="shared" si="0"/>
        <v>currency_fee_code_01</v>
      </c>
      <c r="G16" t="s">
        <v>1366</v>
      </c>
      <c r="H16" t="str">
        <f t="shared" si="1"/>
        <v>currency_fee_code_01=MMK</v>
      </c>
      <c r="J16" t="str">
        <f t="shared" si="2"/>
        <v>"currency_fee_code": currency_fee_code_01,</v>
      </c>
    </row>
    <row r="17" spans="5:10" x14ac:dyDescent="0.25">
      <c r="E17" t="s">
        <v>1317</v>
      </c>
      <c r="F17" t="str">
        <f t="shared" si="0"/>
        <v>pay_source_01</v>
      </c>
      <c r="G17" t="s">
        <v>197</v>
      </c>
      <c r="H17" t="str">
        <f t="shared" si="1"/>
        <v>pay_source_01=CSH</v>
      </c>
      <c r="J17" t="str">
        <f t="shared" si="2"/>
        <v>"pay_source": pay_source_01,</v>
      </c>
    </row>
  </sheetData>
  <pageMargins left="0.7" right="0.7" top="0.75" bottom="0.75" header="0.3" footer="0.3"/>
  <pageSetup orientation="portrait" horizontalDpi="200" verticalDpi="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66"/>
  <sheetViews>
    <sheetView workbookViewId="0">
      <selection activeCell="S2" sqref="S2:S52"/>
    </sheetView>
  </sheetViews>
  <sheetFormatPr defaultRowHeight="15" x14ac:dyDescent="0.25"/>
  <cols>
    <col min="2" max="2" width="43.42578125" bestFit="1" customWidth="1"/>
    <col min="3" max="3" width="27.28515625" bestFit="1" customWidth="1"/>
  </cols>
  <sheetData>
    <row r="1" spans="2:9" x14ac:dyDescent="0.25">
      <c r="F1" t="s">
        <v>1396</v>
      </c>
      <c r="G1" s="54" t="s">
        <v>1475</v>
      </c>
      <c r="H1" t="s">
        <v>1476</v>
      </c>
      <c r="I1" t="s">
        <v>1397</v>
      </c>
    </row>
    <row r="2" spans="2:9" x14ac:dyDescent="0.25">
      <c r="B2" t="s">
        <v>1435</v>
      </c>
      <c r="C2" t="s">
        <v>1436</v>
      </c>
      <c r="E2" t="str">
        <f>RIGHT(B2,LEN(B2)-LEN("value_data_"))</f>
        <v>account_number</v>
      </c>
      <c r="F2" t="str">
        <f>$F$1&amp;E2&amp;$G$1&amp;C2&amp;$H$1&amp;B2&amp;$I$1</f>
        <v>AU.assert_equals('account_number', account_number_approved, value_data_account_number)</v>
      </c>
    </row>
    <row r="3" spans="2:9" x14ac:dyDescent="0.25">
      <c r="B3" t="s">
        <v>1477</v>
      </c>
      <c r="C3" t="s">
        <v>1439</v>
      </c>
      <c r="E3" t="str">
        <f t="shared" ref="E3:E65" si="0">RIGHT(B3,LEN(B3)-LEN("value_data_"))</f>
        <v>customer_code</v>
      </c>
      <c r="F3" t="str">
        <f t="shared" ref="F3:F65" si="1">$F$1&amp;E3&amp;$G$1&amp;C3&amp;$H$1&amp;B3&amp;$I$1</f>
        <v>AU.assert_equals('customer_code', customer_code_individual, value_data_customer_code)</v>
      </c>
    </row>
    <row r="4" spans="2:9" x14ac:dyDescent="0.25">
      <c r="B4" t="s">
        <v>1509</v>
      </c>
      <c r="C4" t="s">
        <v>1510</v>
      </c>
      <c r="E4" t="str">
        <f t="shared" si="0"/>
        <v>current_balance</v>
      </c>
      <c r="F4" t="str">
        <f t="shared" si="1"/>
        <v>AU.assert_equals('current_balance', None, value_data_current_balance)</v>
      </c>
    </row>
    <row r="5" spans="2:9" x14ac:dyDescent="0.25">
      <c r="B5" t="s">
        <v>1511</v>
      </c>
      <c r="C5" t="s">
        <v>1510</v>
      </c>
      <c r="E5" t="str">
        <f t="shared" si="0"/>
        <v>available_balance</v>
      </c>
      <c r="F5" t="str">
        <f t="shared" si="1"/>
        <v>AU.assert_equals('available_balance', None, value_data_available_balance)</v>
      </c>
    </row>
    <row r="6" spans="2:9" x14ac:dyDescent="0.25">
      <c r="B6" t="s">
        <v>1478</v>
      </c>
      <c r="C6" t="s">
        <v>1392</v>
      </c>
      <c r="E6" t="str">
        <f t="shared" si="0"/>
        <v>withdraw_amount</v>
      </c>
      <c r="F6" t="str">
        <f t="shared" si="1"/>
        <v>AU.assert_equals('withdraw_amount', withdraw_amount, value_data_withdraw_amount)</v>
      </c>
    </row>
    <row r="7" spans="2:9" x14ac:dyDescent="0.25">
      <c r="B7" t="s">
        <v>1479</v>
      </c>
      <c r="C7" t="s">
        <v>1502</v>
      </c>
      <c r="E7" t="str">
        <f t="shared" si="0"/>
        <v>cash_currency</v>
      </c>
      <c r="F7" t="str">
        <f t="shared" si="1"/>
        <v>AU.assert_equals('cash_currency', cash_currency, value_data_cash_currency)</v>
      </c>
    </row>
    <row r="8" spans="2:9" x14ac:dyDescent="0.25">
      <c r="B8" t="s">
        <v>1437</v>
      </c>
      <c r="C8">
        <v>1</v>
      </c>
      <c r="E8" t="str">
        <f t="shared" si="0"/>
        <v>cross_rate</v>
      </c>
      <c r="F8" t="str">
        <f t="shared" si="1"/>
        <v>AU.assert_equals('cross_rate', 1, value_data_cross_rate)</v>
      </c>
    </row>
    <row r="9" spans="2:9" x14ac:dyDescent="0.25">
      <c r="B9" t="s">
        <v>1480</v>
      </c>
      <c r="C9">
        <v>0</v>
      </c>
      <c r="E9" t="str">
        <f t="shared" si="0"/>
        <v>cash_amount</v>
      </c>
      <c r="F9" t="str">
        <f t="shared" si="1"/>
        <v>AU.assert_equals('cash_amount', 0, value_data_cash_amount)</v>
      </c>
    </row>
    <row r="10" spans="2:9" x14ac:dyDescent="0.25">
      <c r="B10" t="s">
        <v>1481</v>
      </c>
      <c r="C10">
        <v>1</v>
      </c>
      <c r="E10" t="str">
        <f t="shared" si="0"/>
        <v>exchange_rate</v>
      </c>
      <c r="F10" t="str">
        <f t="shared" si="1"/>
        <v>AU.assert_equals('exchange_rate', 1, value_data_exchange_rate)</v>
      </c>
    </row>
    <row r="11" spans="2:9" x14ac:dyDescent="0.25">
      <c r="B11" t="s">
        <v>1482</v>
      </c>
      <c r="C11">
        <v>0</v>
      </c>
      <c r="E11" t="str">
        <f t="shared" si="0"/>
        <v>cash_amount_bcy</v>
      </c>
      <c r="F11" t="str">
        <f t="shared" si="1"/>
        <v>AU.assert_equals('cash_amount_bcy', 0, value_data_cash_amount_bcy)</v>
      </c>
    </row>
    <row r="12" spans="2:9" x14ac:dyDescent="0.25">
      <c r="B12" t="s">
        <v>1483</v>
      </c>
      <c r="C12" t="s">
        <v>1438</v>
      </c>
      <c r="E12" t="str">
        <f t="shared" si="0"/>
        <v>withdrawer_name</v>
      </c>
      <c r="F12" t="str">
        <f t="shared" si="1"/>
        <v>AU.assert_equals('withdrawer_name', account_name_individual, value_data_withdrawer_name)</v>
      </c>
    </row>
    <row r="13" spans="2:9" x14ac:dyDescent="0.25">
      <c r="B13" t="s">
        <v>1484</v>
      </c>
      <c r="C13" t="s">
        <v>1439</v>
      </c>
      <c r="E13" t="str">
        <f t="shared" si="0"/>
        <v>withdrawer_id</v>
      </c>
      <c r="F13" t="str">
        <f t="shared" si="1"/>
        <v>AU.assert_equals('withdrawer_id', customer_code_individual, value_data_withdrawer_id)</v>
      </c>
    </row>
    <row r="14" spans="2:9" x14ac:dyDescent="0.25">
      <c r="B14" t="s">
        <v>1485</v>
      </c>
      <c r="C14" t="s">
        <v>1503</v>
      </c>
      <c r="E14" t="str">
        <f t="shared" si="0"/>
        <v>withdrawer_address</v>
      </c>
      <c r="F14" t="str">
        <f t="shared" si="1"/>
        <v>AU.assert_equals('withdrawer_address', address, value_data_withdrawer_address)</v>
      </c>
    </row>
    <row r="15" spans="2:9" x14ac:dyDescent="0.25">
      <c r="B15" t="s">
        <v>1512</v>
      </c>
      <c r="C15" t="s">
        <v>1510</v>
      </c>
      <c r="E15" t="str">
        <f t="shared" si="0"/>
        <v>home</v>
      </c>
      <c r="F15" t="str">
        <f t="shared" si="1"/>
        <v>AU.assert_equals('home', None, value_data_home)</v>
      </c>
    </row>
    <row r="16" spans="2:9" x14ac:dyDescent="0.25">
      <c r="B16" t="s">
        <v>1513</v>
      </c>
      <c r="C16" t="s">
        <v>1510</v>
      </c>
      <c r="E16" t="str">
        <f t="shared" si="0"/>
        <v>office</v>
      </c>
      <c r="F16" t="str">
        <f t="shared" si="1"/>
        <v>AU.assert_equals('office', None, value_data_office)</v>
      </c>
    </row>
    <row r="17" spans="2:6" x14ac:dyDescent="0.25">
      <c r="B17" t="s">
        <v>1486</v>
      </c>
      <c r="C17" t="s">
        <v>1504</v>
      </c>
      <c r="E17" t="str">
        <f t="shared" si="0"/>
        <v>id_issue_date</v>
      </c>
      <c r="F17" t="str">
        <f t="shared" si="1"/>
        <v>AU.assert_equals('id_issue_date', id_issue_date, value_data_id_issue_date)</v>
      </c>
    </row>
    <row r="18" spans="2:6" x14ac:dyDescent="0.25">
      <c r="B18" t="s">
        <v>1487</v>
      </c>
      <c r="C18" t="s">
        <v>1448</v>
      </c>
      <c r="E18" t="str">
        <f t="shared" si="0"/>
        <v>id_place</v>
      </c>
      <c r="F18" t="str">
        <f t="shared" si="1"/>
        <v>AU.assert_equals('id_place', '', value_data_id_place)</v>
      </c>
    </row>
    <row r="19" spans="2:6" x14ac:dyDescent="0.25">
      <c r="B19" t="s">
        <v>1488</v>
      </c>
      <c r="C19" t="s">
        <v>1448</v>
      </c>
      <c r="E19" t="str">
        <f t="shared" si="0"/>
        <v>identification_number</v>
      </c>
      <c r="F19" t="str">
        <f t="shared" si="1"/>
        <v>AU.assert_equals('identification_number', '', value_data_identification_number)</v>
      </c>
    </row>
    <row r="20" spans="2:6" x14ac:dyDescent="0.25">
      <c r="B20" t="s">
        <v>1489</v>
      </c>
      <c r="C20" t="s">
        <v>1393</v>
      </c>
      <c r="E20" t="str">
        <f t="shared" si="0"/>
        <v>currency_of_deposit_account</v>
      </c>
      <c r="F20" t="str">
        <f t="shared" si="1"/>
        <v>AU.assert_equals('currency_of_deposit_account', currency_of_deposit_account, value_data_currency_of_deposit_account)</v>
      </c>
    </row>
    <row r="21" spans="2:6" x14ac:dyDescent="0.25">
      <c r="B21" t="s">
        <v>1440</v>
      </c>
      <c r="C21">
        <v>1</v>
      </c>
      <c r="E21" t="str">
        <f t="shared" si="0"/>
        <v>exchange_rate_debit_account_bcy</v>
      </c>
      <c r="F21" t="str">
        <f t="shared" si="1"/>
        <v>AU.assert_equals('exchange_rate_debit_account_bcy', 1, value_data_exchange_rate_debit_account_bcy)</v>
      </c>
    </row>
    <row r="22" spans="2:6" x14ac:dyDescent="0.25">
      <c r="B22" t="s">
        <v>1441</v>
      </c>
      <c r="C22">
        <v>0</v>
      </c>
      <c r="E22" t="str">
        <f t="shared" si="0"/>
        <v>amount_debit_account_bcy</v>
      </c>
      <c r="F22" t="str">
        <f t="shared" si="1"/>
        <v>AU.assert_equals('amount_debit_account_bcy', 0, value_data_amount_debit_account_bcy)</v>
      </c>
    </row>
    <row r="23" spans="2:6" x14ac:dyDescent="0.25">
      <c r="B23" t="s">
        <v>1490</v>
      </c>
      <c r="C23">
        <v>0</v>
      </c>
      <c r="E23" t="str">
        <f t="shared" si="0"/>
        <v>interest_from_earlywdr</v>
      </c>
      <c r="F23" t="str">
        <f t="shared" si="1"/>
        <v>AU.assert_equals('interest_from_earlywdr', 0, value_data_interest_from_earlywdr)</v>
      </c>
    </row>
    <row r="24" spans="2:6" x14ac:dyDescent="0.25">
      <c r="B24" t="s">
        <v>1491</v>
      </c>
      <c r="C24" t="s">
        <v>1448</v>
      </c>
      <c r="E24" t="str">
        <f t="shared" si="0"/>
        <v>due_date</v>
      </c>
      <c r="F24" t="str">
        <f t="shared" si="1"/>
        <v>AU.assert_equals('due_date', '', value_data_due_date)</v>
      </c>
    </row>
    <row r="25" spans="2:6" x14ac:dyDescent="0.25">
      <c r="B25" t="s">
        <v>1492</v>
      </c>
      <c r="C25" t="s">
        <v>1515</v>
      </c>
      <c r="E25" t="str">
        <f t="shared" si="0"/>
        <v>commission</v>
      </c>
      <c r="F25" t="str">
        <f t="shared" si="1"/>
        <v>AU.assert_equals('commission', total_fee, value_data_commission)</v>
      </c>
    </row>
    <row r="26" spans="2:6" x14ac:dyDescent="0.25">
      <c r="B26" t="s">
        <v>1493</v>
      </c>
      <c r="C26">
        <v>0</v>
      </c>
      <c r="E26" t="str">
        <f t="shared" si="0"/>
        <v>interest_prepaid</v>
      </c>
      <c r="F26" t="str">
        <f t="shared" si="1"/>
        <v>AU.assert_equals('interest_prepaid', 0, value_data_interest_prepaid)</v>
      </c>
    </row>
    <row r="27" spans="2:6" x14ac:dyDescent="0.25">
      <c r="B27" t="s">
        <v>1494</v>
      </c>
      <c r="C27">
        <v>0</v>
      </c>
      <c r="E27" t="str">
        <f t="shared" si="0"/>
        <v>total_vat_for_cash</v>
      </c>
      <c r="F27" t="str">
        <f t="shared" si="1"/>
        <v>AU.assert_equals('total_vat_for_cash', 0, value_data_total_vat_for_cash)</v>
      </c>
    </row>
    <row r="28" spans="2:6" x14ac:dyDescent="0.25">
      <c r="B28" t="s">
        <v>1495</v>
      </c>
      <c r="C28" t="s">
        <v>1448</v>
      </c>
      <c r="E28" t="str">
        <f t="shared" si="0"/>
        <v>account_linkage</v>
      </c>
      <c r="F28" t="str">
        <f t="shared" si="1"/>
        <v>AU.assert_equals('account_linkage', '', value_data_account_linkage)</v>
      </c>
    </row>
    <row r="29" spans="2:6" x14ac:dyDescent="0.25">
      <c r="B29" t="s">
        <v>1496</v>
      </c>
      <c r="C29">
        <v>0</v>
      </c>
      <c r="E29" t="str">
        <f t="shared" si="0"/>
        <v>amount_linkage</v>
      </c>
      <c r="F29" t="str">
        <f t="shared" si="1"/>
        <v>AU.assert_equals('amount_linkage', 0, value_data_amount_linkage)</v>
      </c>
    </row>
    <row r="30" spans="2:6" x14ac:dyDescent="0.25">
      <c r="B30" t="s">
        <v>1443</v>
      </c>
      <c r="C30" t="s">
        <v>1298</v>
      </c>
      <c r="E30" t="str">
        <f t="shared" si="0"/>
        <v>branch_name</v>
      </c>
      <c r="F30" t="str">
        <f t="shared" si="1"/>
        <v>AU.assert_equals('branch_name', branch_name, value_data_branch_name)</v>
      </c>
    </row>
    <row r="31" spans="2:6" x14ac:dyDescent="0.25">
      <c r="B31" t="s">
        <v>1497</v>
      </c>
      <c r="C31" t="s">
        <v>1515</v>
      </c>
      <c r="E31" t="str">
        <f t="shared" si="0"/>
        <v>total_ifc_fee_cash</v>
      </c>
      <c r="F31" t="str">
        <f t="shared" si="1"/>
        <v>AU.assert_equals('total_ifc_fee_cash', total_fee, value_data_total_ifc_fee_cash)</v>
      </c>
    </row>
    <row r="32" spans="2:6" x14ac:dyDescent="0.25">
      <c r="B32" t="s">
        <v>1498</v>
      </c>
      <c r="C32">
        <v>0</v>
      </c>
      <c r="E32" t="str">
        <f t="shared" si="0"/>
        <v>total_ifc_fee_deposit</v>
      </c>
      <c r="F32" t="str">
        <f t="shared" si="1"/>
        <v>AU.assert_equals('total_ifc_fee_deposit', 0, value_data_total_ifc_fee_deposit)</v>
      </c>
    </row>
    <row r="33" spans="2:6" x14ac:dyDescent="0.25">
      <c r="B33" t="s">
        <v>1499</v>
      </c>
      <c r="C33" t="s">
        <v>1515</v>
      </c>
      <c r="E33" t="str">
        <f t="shared" si="0"/>
        <v>total_ifc_fee</v>
      </c>
      <c r="F33" t="str">
        <f t="shared" si="1"/>
        <v>AU.assert_equals('total_ifc_fee', total_fee, value_data_total_ifc_fee)</v>
      </c>
    </row>
    <row r="34" spans="2:6" x14ac:dyDescent="0.25">
      <c r="B34" t="s">
        <v>1514</v>
      </c>
      <c r="C34" t="s">
        <v>1393</v>
      </c>
      <c r="E34" t="str">
        <f t="shared" si="0"/>
        <v>fee_currency_code</v>
      </c>
      <c r="F34" t="str">
        <f t="shared" si="1"/>
        <v>AU.assert_equals('fee_currency_code', currency_of_deposit_account, value_data_fee_currency_code)</v>
      </c>
    </row>
    <row r="35" spans="2:6" x14ac:dyDescent="0.25">
      <c r="B35" t="s">
        <v>1500</v>
      </c>
      <c r="C35" t="s">
        <v>1448</v>
      </c>
      <c r="E35" t="str">
        <f t="shared" si="0"/>
        <v>passbook_number</v>
      </c>
      <c r="F35" t="str">
        <f t="shared" si="1"/>
        <v>AU.assert_equals('passbook_number', '', value_data_passbook_number)</v>
      </c>
    </row>
    <row r="36" spans="2:6" x14ac:dyDescent="0.25">
      <c r="B36" t="s">
        <v>1466</v>
      </c>
      <c r="C36" t="s">
        <v>1505</v>
      </c>
      <c r="E36" t="str">
        <f t="shared" si="0"/>
        <v>transaction_number</v>
      </c>
      <c r="F36" t="str">
        <f t="shared" si="1"/>
        <v>AU.assert_equals('transaction_number', not'', value_data_transaction_number)</v>
      </c>
    </row>
    <row r="37" spans="2:6" x14ac:dyDescent="0.25">
      <c r="B37" t="s">
        <v>1442</v>
      </c>
      <c r="C37" t="s">
        <v>1516</v>
      </c>
      <c r="E37" t="str">
        <f t="shared" si="0"/>
        <v>fee_data</v>
      </c>
      <c r="F37" t="str">
        <f t="shared" si="1"/>
        <v>AU.assert_equals('fee_data', not[], value_data_fee_data)</v>
      </c>
    </row>
    <row r="38" spans="2:6" x14ac:dyDescent="0.25">
      <c r="B38" t="s">
        <v>1442</v>
      </c>
      <c r="C38" t="s">
        <v>1467</v>
      </c>
      <c r="E38" t="str">
        <f t="shared" si="0"/>
        <v>fee_data</v>
      </c>
      <c r="F38" t="str">
        <f t="shared" si="1"/>
        <v>AU.assert_equals('fee_data', not None, value_data_fee_data)</v>
      </c>
    </row>
    <row r="39" spans="2:6" x14ac:dyDescent="0.25">
      <c r="B39" t="s">
        <v>1501</v>
      </c>
      <c r="C39" t="s">
        <v>1467</v>
      </c>
      <c r="E39" t="str">
        <f t="shared" si="0"/>
        <v>account_balances</v>
      </c>
      <c r="F39" t="str">
        <f t="shared" si="1"/>
        <v>AU.assert_equals('account_balances', not None, value_data_account_balances)</v>
      </c>
    </row>
    <row r="40" spans="2:6" x14ac:dyDescent="0.25">
      <c r="B40" t="s">
        <v>1444</v>
      </c>
      <c r="C40" t="s">
        <v>1506</v>
      </c>
      <c r="E40" t="str">
        <f t="shared" si="0"/>
        <v>transaction_code</v>
      </c>
      <c r="F40" t="str">
        <f t="shared" si="1"/>
        <v>AU.assert_equals('transaction_code', 'DPT_CWR', value_data_transaction_code)</v>
      </c>
    </row>
    <row r="41" spans="2:6" x14ac:dyDescent="0.25">
      <c r="B41" t="s">
        <v>1466</v>
      </c>
      <c r="C41" t="s">
        <v>1467</v>
      </c>
      <c r="E41" t="str">
        <f t="shared" si="0"/>
        <v>transaction_number</v>
      </c>
      <c r="F41" t="str">
        <f t="shared" si="1"/>
        <v>AU.assert_equals('transaction_number', not None, value_data_transaction_number)</v>
      </c>
    </row>
    <row r="42" spans="2:6" x14ac:dyDescent="0.25">
      <c r="B42" t="s">
        <v>1445</v>
      </c>
      <c r="C42" t="s">
        <v>1507</v>
      </c>
      <c r="E42" t="str">
        <f t="shared" si="0"/>
        <v>transaction_type</v>
      </c>
      <c r="F42" t="str">
        <f t="shared" si="1"/>
        <v>AU.assert_equals('transaction_type', 'CWR', value_data_transaction_type)</v>
      </c>
    </row>
    <row r="43" spans="2:6" x14ac:dyDescent="0.25">
      <c r="B43" t="s">
        <v>1446</v>
      </c>
      <c r="C43" t="s">
        <v>1506</v>
      </c>
      <c r="E43" t="str">
        <f t="shared" si="0"/>
        <v>sub_code</v>
      </c>
      <c r="F43" t="str">
        <f t="shared" si="1"/>
        <v>AU.assert_equals('sub_code', 'DPT_CWR', value_data_sub_code)</v>
      </c>
    </row>
    <row r="44" spans="2:6" x14ac:dyDescent="0.25">
      <c r="B44" t="s">
        <v>1468</v>
      </c>
      <c r="C44" t="s">
        <v>1467</v>
      </c>
      <c r="E44" t="str">
        <f t="shared" si="0"/>
        <v>transaction_date</v>
      </c>
      <c r="F44" t="str">
        <f t="shared" si="1"/>
        <v>AU.assert_equals('transaction_date', not None, value_data_transaction_date)</v>
      </c>
    </row>
    <row r="45" spans="2:6" x14ac:dyDescent="0.25">
      <c r="B45" t="s">
        <v>1469</v>
      </c>
      <c r="C45" t="s">
        <v>1467</v>
      </c>
      <c r="E45" t="str">
        <f t="shared" si="0"/>
        <v>service_sys_date</v>
      </c>
      <c r="F45" t="str">
        <f t="shared" si="1"/>
        <v>AU.assert_equals('service_sys_date', not None, value_data_service_sys_date)</v>
      </c>
    </row>
    <row r="46" spans="2:6" x14ac:dyDescent="0.25">
      <c r="B46" t="s">
        <v>1470</v>
      </c>
      <c r="C46" t="s">
        <v>1467</v>
      </c>
      <c r="E46" t="str">
        <f t="shared" si="0"/>
        <v>reference_id</v>
      </c>
      <c r="F46" t="str">
        <f t="shared" si="1"/>
        <v>AU.assert_equals('reference_id', not None, value_data_reference_id)</v>
      </c>
    </row>
    <row r="47" spans="2:6" x14ac:dyDescent="0.25">
      <c r="B47" t="s">
        <v>1471</v>
      </c>
      <c r="C47" t="s">
        <v>1467</v>
      </c>
      <c r="E47" t="str">
        <f t="shared" si="0"/>
        <v>ref_id</v>
      </c>
      <c r="F47" t="str">
        <f t="shared" si="1"/>
        <v>AU.assert_equals('ref_id', not None, value_data_ref_id)</v>
      </c>
    </row>
    <row r="48" spans="2:6" x14ac:dyDescent="0.25">
      <c r="B48" t="s">
        <v>1468</v>
      </c>
      <c r="C48" t="s">
        <v>1505</v>
      </c>
      <c r="E48" t="str">
        <f t="shared" si="0"/>
        <v>transaction_date</v>
      </c>
      <c r="F48" t="str">
        <f t="shared" si="1"/>
        <v>AU.assert_equals('transaction_date', not'', value_data_transaction_date)</v>
      </c>
    </row>
    <row r="49" spans="2:6" x14ac:dyDescent="0.25">
      <c r="B49" t="s">
        <v>1469</v>
      </c>
      <c r="C49" t="s">
        <v>1505</v>
      </c>
      <c r="E49" t="str">
        <f t="shared" si="0"/>
        <v>service_sys_date</v>
      </c>
      <c r="F49" t="str">
        <f t="shared" si="1"/>
        <v>AU.assert_equals('service_sys_date', not'', value_data_service_sys_date)</v>
      </c>
    </row>
    <row r="50" spans="2:6" x14ac:dyDescent="0.25">
      <c r="B50" t="s">
        <v>1470</v>
      </c>
      <c r="C50" t="s">
        <v>1505</v>
      </c>
      <c r="E50" t="str">
        <f t="shared" si="0"/>
        <v>reference_id</v>
      </c>
      <c r="F50" t="str">
        <f t="shared" si="1"/>
        <v>AU.assert_equals('reference_id', not'', value_data_reference_id)</v>
      </c>
    </row>
    <row r="51" spans="2:6" x14ac:dyDescent="0.25">
      <c r="B51" t="s">
        <v>1471</v>
      </c>
      <c r="C51" t="s">
        <v>1505</v>
      </c>
      <c r="E51" t="str">
        <f t="shared" si="0"/>
        <v>ref_id</v>
      </c>
      <c r="F51" t="str">
        <f t="shared" si="1"/>
        <v>AU.assert_equals('ref_id', not'', value_data_ref_id)</v>
      </c>
    </row>
    <row r="52" spans="2:6" x14ac:dyDescent="0.25">
      <c r="B52" t="s">
        <v>1447</v>
      </c>
      <c r="C52" t="s">
        <v>1448</v>
      </c>
      <c r="E52" t="str">
        <f t="shared" si="0"/>
        <v>reference_code</v>
      </c>
      <c r="F52" t="str">
        <f t="shared" si="1"/>
        <v>AU.assert_equals('reference_code', '', value_data_reference_code)</v>
      </c>
    </row>
    <row r="53" spans="2:6" x14ac:dyDescent="0.25">
      <c r="B53" t="s">
        <v>1449</v>
      </c>
      <c r="C53" t="s">
        <v>1448</v>
      </c>
      <c r="E53" t="str">
        <f t="shared" si="0"/>
        <v>business_code</v>
      </c>
      <c r="F53" t="str">
        <f t="shared" si="1"/>
        <v>AU.assert_equals('business_code', '', value_data_business_code)</v>
      </c>
    </row>
    <row r="54" spans="2:6" x14ac:dyDescent="0.25">
      <c r="B54" t="s">
        <v>1450</v>
      </c>
      <c r="C54" t="s">
        <v>1451</v>
      </c>
      <c r="E54" t="str">
        <f t="shared" si="0"/>
        <v>value_date</v>
      </c>
      <c r="F54" t="str">
        <f t="shared" si="1"/>
        <v>AU.assert_equals('value_date', user_service['working_date'], value_data_value_date)</v>
      </c>
    </row>
    <row r="55" spans="2:6" x14ac:dyDescent="0.25">
      <c r="B55" t="s">
        <v>1452</v>
      </c>
      <c r="C55" t="s">
        <v>1453</v>
      </c>
      <c r="E55" t="str">
        <f t="shared" si="0"/>
        <v>current_user_code</v>
      </c>
      <c r="F55" t="str">
        <f t="shared" si="1"/>
        <v>AU.assert_equals('current_user_code', user_service['username'], value_data_current_user_code)</v>
      </c>
    </row>
    <row r="56" spans="2:6" x14ac:dyDescent="0.25">
      <c r="B56" t="s">
        <v>1454</v>
      </c>
      <c r="C56" t="s">
        <v>1455</v>
      </c>
      <c r="E56" t="str">
        <f t="shared" si="0"/>
        <v>current_branch_code</v>
      </c>
      <c r="F56" t="str">
        <f t="shared" si="1"/>
        <v>AU.assert_equals('current_branch_code', user_service['branch_code'], value_data_current_branch_code)</v>
      </c>
    </row>
    <row r="57" spans="2:6" x14ac:dyDescent="0.25">
      <c r="B57" t="s">
        <v>1456</v>
      </c>
      <c r="C57" t="s">
        <v>1457</v>
      </c>
      <c r="E57" t="str">
        <f t="shared" si="0"/>
        <v>current_username</v>
      </c>
      <c r="F57" t="str">
        <f t="shared" si="1"/>
        <v>AU.assert_equals('current_username', user_service['fullname'], value_data_current_username)</v>
      </c>
    </row>
    <row r="58" spans="2:6" x14ac:dyDescent="0.25">
      <c r="B58" t="s">
        <v>1458</v>
      </c>
      <c r="C58" t="s">
        <v>1453</v>
      </c>
      <c r="E58" t="str">
        <f t="shared" si="0"/>
        <v>current_loginname</v>
      </c>
      <c r="F58" t="str">
        <f t="shared" si="1"/>
        <v>AU.assert_equals('current_loginname', user_service['username'], value_data_current_loginname)</v>
      </c>
    </row>
    <row r="59" spans="2:6" x14ac:dyDescent="0.25">
      <c r="B59" t="s">
        <v>1459</v>
      </c>
      <c r="C59" t="s">
        <v>1448</v>
      </c>
      <c r="E59" t="str">
        <f t="shared" si="0"/>
        <v>user_approve</v>
      </c>
      <c r="F59" t="str">
        <f t="shared" si="1"/>
        <v>AU.assert_equals('user_approve', '', value_data_user_approve)</v>
      </c>
    </row>
    <row r="60" spans="2:6" x14ac:dyDescent="0.25">
      <c r="B60" t="s">
        <v>1460</v>
      </c>
      <c r="C60" t="s">
        <v>1461</v>
      </c>
      <c r="E60" t="str">
        <f t="shared" si="0"/>
        <v>status</v>
      </c>
      <c r="F60" t="str">
        <f t="shared" si="1"/>
        <v>AU.assert_equals('status', 'N', value_data_status)</v>
      </c>
    </row>
    <row r="61" spans="2:6" x14ac:dyDescent="0.25">
      <c r="B61" t="s">
        <v>1472</v>
      </c>
      <c r="C61" t="b">
        <v>0</v>
      </c>
      <c r="E61" t="str">
        <f t="shared" si="0"/>
        <v>is_reverse</v>
      </c>
      <c r="F61" t="str">
        <f t="shared" si="1"/>
        <v>AU.assert_equals('is_reverse', FALSE, value_data_is_reverse)</v>
      </c>
    </row>
    <row r="62" spans="2:6" x14ac:dyDescent="0.25">
      <c r="B62" t="s">
        <v>1462</v>
      </c>
      <c r="C62">
        <v>0</v>
      </c>
      <c r="E62" t="str">
        <f t="shared" si="0"/>
        <v>amount1</v>
      </c>
      <c r="F62" t="str">
        <f t="shared" si="1"/>
        <v>AU.assert_equals('amount1', 0, value_data_amount1)</v>
      </c>
    </row>
    <row r="63" spans="2:6" x14ac:dyDescent="0.25">
      <c r="B63" t="s">
        <v>1463</v>
      </c>
      <c r="C63" t="s">
        <v>1508</v>
      </c>
      <c r="E63" t="str">
        <f t="shared" si="0"/>
        <v>description</v>
      </c>
      <c r="F63" t="str">
        <f t="shared" si="1"/>
        <v>AU.assert_equals('description', '1120: Cash withdrawal', value_data_description)</v>
      </c>
    </row>
    <row r="64" spans="2:6" x14ac:dyDescent="0.25">
      <c r="B64" t="s">
        <v>1464</v>
      </c>
      <c r="C64" t="s">
        <v>1465</v>
      </c>
      <c r="E64" t="str">
        <f t="shared" si="0"/>
        <v>token</v>
      </c>
      <c r="F64" t="str">
        <f t="shared" si="1"/>
        <v>AU.assert_equals('token', '*', value_data_token)</v>
      </c>
    </row>
    <row r="65" spans="2:6" x14ac:dyDescent="0.25">
      <c r="B65" t="s">
        <v>1473</v>
      </c>
      <c r="C65" t="b">
        <v>0</v>
      </c>
      <c r="E65" t="str">
        <f t="shared" si="0"/>
        <v>is_transaction_reverse</v>
      </c>
      <c r="F65" t="str">
        <f t="shared" si="1"/>
        <v>AU.assert_equals('is_transaction_reverse', FALSE, value_data_is_transaction_reverse)</v>
      </c>
    </row>
    <row r="66" spans="2:6" x14ac:dyDescent="0.25">
      <c r="B66" t="s">
        <v>1474</v>
      </c>
      <c r="C66" t="b">
        <v>0</v>
      </c>
      <c r="E66" t="str">
        <f>RIGHT(B66,LEN(B66)-LEN("value_data_"))</f>
        <v>is_transaction_compensated</v>
      </c>
      <c r="F66" t="str">
        <f>$F$1&amp;E66&amp;$G$1&amp;C66&amp;$H$1&amp;B66&amp;$I$1</f>
        <v>AU.assert_equals('is_transaction_compensated', FALSE, value_data_is_transaction_compensated)</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BO</vt:lpstr>
      <vt:lpstr>FO</vt:lpstr>
      <vt:lpstr>RuleFuncs</vt:lpstr>
      <vt:lpstr>RegressionTesting</vt:lpstr>
      <vt:lpstr>TOP_50_TRANSACTION</vt:lpstr>
      <vt:lpstr>LIST_TRANSACTION_CONVERT_STORE</vt:lpstr>
      <vt:lpstr>Sheet8</vt:lpstr>
      <vt:lpstr>Sheet1</vt:lpstr>
      <vt:lpstr>Sheet2</vt:lpstr>
      <vt:lpstr>Request</vt:lpstr>
      <vt:lpstr>response_key</vt:lpstr>
      <vt:lpstr>response_value</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Nhi Doan</dc:creator>
  <cp:lastModifiedBy>Nhi Doan</cp:lastModifiedBy>
  <dcterms:created xsi:type="dcterms:W3CDTF">2022-01-24T06:51:33Z</dcterms:created>
  <dcterms:modified xsi:type="dcterms:W3CDTF">2025-01-20T06:34:47Z</dcterms:modified>
</cp:coreProperties>
</file>