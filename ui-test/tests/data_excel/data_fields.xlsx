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2_AutoTest\source-code\cbs-neptune-autotest\ui-test\tests\data_excel\"/>
    </mc:Choice>
  </mc:AlternateContent>
  <xr:revisionPtr revIDLastSave="0" documentId="13_ncr:1_{8BB4A523-4C4B-4072-A140-A4429AD8B270}" xr6:coauthVersionLast="45" xr6:coauthVersionMax="45" xr10:uidLastSave="{00000000-0000-0000-0000-000000000000}"/>
  <bookViews>
    <workbookView xWindow="20370" yWindow="-4665" windowWidth="29040" windowHeight="15990" tabRatio="833" activeTab="9" xr2:uid="{00000000-000D-0000-FFFF-FFFF00000000}"/>
  </bookViews>
  <sheets>
    <sheet name="Summary" sheetId="1" r:id="rId1"/>
    <sheet name="FOF_F8" sheetId="12" r:id="rId2"/>
    <sheet name="DPT_OPN" sheetId="2" r:id="rId3"/>
    <sheet name="DPT_OPN_DATA" sheetId="3" r:id="rId4"/>
    <sheet name="DPT_APR" sheetId="4" r:id="rId5"/>
    <sheet name="DPT_APR_DATA" sheetId="5" r:id="rId6"/>
    <sheet name="DPT_REJ" sheetId="7" r:id="rId7"/>
    <sheet name="DPT_REJ_DATA" sheetId="8" r:id="rId8"/>
    <sheet name="DPT_CDP" sheetId="9" r:id="rId9"/>
    <sheet name="DPT_CDP_DATA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9" l="1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F61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2" i="9"/>
  <c r="F63" i="9"/>
  <c r="F64" i="9"/>
  <c r="F65" i="9"/>
  <c r="F2" i="9"/>
  <c r="J16" i="9"/>
  <c r="K16" i="9" s="1"/>
  <c r="J17" i="9"/>
  <c r="K17" i="9" s="1"/>
  <c r="J18" i="9"/>
  <c r="J19" i="9"/>
  <c r="K19" i="9" s="1"/>
  <c r="J20" i="9"/>
  <c r="K20" i="9" s="1"/>
  <c r="J21" i="9"/>
  <c r="K21" i="9" s="1"/>
  <c r="J22" i="9"/>
  <c r="J23" i="9"/>
  <c r="K23" i="9" s="1"/>
  <c r="J24" i="9"/>
  <c r="K24" i="9" s="1"/>
  <c r="J25" i="9"/>
  <c r="K25" i="9" s="1"/>
  <c r="J26" i="9"/>
  <c r="J27" i="9"/>
  <c r="K27" i="9" s="1"/>
  <c r="J28" i="9"/>
  <c r="K28" i="9" s="1"/>
  <c r="J29" i="9"/>
  <c r="K29" i="9" s="1"/>
  <c r="J30" i="9"/>
  <c r="J31" i="9"/>
  <c r="K31" i="9" s="1"/>
  <c r="J32" i="9"/>
  <c r="K32" i="9" s="1"/>
  <c r="J33" i="9"/>
  <c r="K33" i="9" s="1"/>
  <c r="J34" i="9"/>
  <c r="J35" i="9"/>
  <c r="K35" i="9" s="1"/>
  <c r="J36" i="9"/>
  <c r="K36" i="9" s="1"/>
  <c r="J37" i="9"/>
  <c r="K37" i="9" s="1"/>
  <c r="J38" i="9"/>
  <c r="J39" i="9"/>
  <c r="K39" i="9" s="1"/>
  <c r="J40" i="9"/>
  <c r="K40" i="9" s="1"/>
  <c r="J41" i="9"/>
  <c r="K41" i="9" s="1"/>
  <c r="J42" i="9"/>
  <c r="J43" i="9"/>
  <c r="K43" i="9" s="1"/>
  <c r="J44" i="9"/>
  <c r="K44" i="9" s="1"/>
  <c r="J45" i="9"/>
  <c r="K45" i="9" s="1"/>
  <c r="J46" i="9"/>
  <c r="J47" i="9"/>
  <c r="K47" i="9" s="1"/>
  <c r="J48" i="9"/>
  <c r="K48" i="9" s="1"/>
  <c r="J49" i="9"/>
  <c r="K49" i="9" s="1"/>
  <c r="J50" i="9"/>
  <c r="J51" i="9"/>
  <c r="K51" i="9" s="1"/>
  <c r="J52" i="9"/>
  <c r="K52" i="9" s="1"/>
  <c r="J53" i="9"/>
  <c r="K53" i="9" s="1"/>
  <c r="J54" i="9"/>
  <c r="J55" i="9"/>
  <c r="K55" i="9" s="1"/>
  <c r="I9" i="12"/>
  <c r="J9" i="12" s="1"/>
  <c r="E9" i="12"/>
  <c r="F9" i="12" s="1"/>
  <c r="E3" i="12"/>
  <c r="E4" i="12"/>
  <c r="E5" i="12"/>
  <c r="E6" i="12"/>
  <c r="E7" i="12"/>
  <c r="E8" i="12"/>
  <c r="E10" i="12"/>
  <c r="E11" i="12"/>
  <c r="E12" i="12"/>
  <c r="K1" i="12"/>
  <c r="J1" i="12"/>
  <c r="I1" i="12"/>
  <c r="F1" i="12"/>
  <c r="E1" i="12"/>
  <c r="L1" i="9"/>
  <c r="K1" i="9"/>
  <c r="J1" i="9"/>
  <c r="J3" i="9" s="1"/>
  <c r="G1" i="9"/>
  <c r="F1" i="9"/>
  <c r="K54" i="9" l="1"/>
  <c r="K50" i="9"/>
  <c r="K46" i="9"/>
  <c r="K42" i="9"/>
  <c r="K38" i="9"/>
  <c r="K34" i="9"/>
  <c r="K30" i="9"/>
  <c r="K26" i="9"/>
  <c r="K22" i="9"/>
  <c r="K18" i="9"/>
  <c r="F69" i="9"/>
  <c r="J14" i="9"/>
  <c r="J10" i="9"/>
  <c r="J6" i="9"/>
  <c r="J13" i="9"/>
  <c r="J9" i="9"/>
  <c r="J5" i="9"/>
  <c r="F67" i="9"/>
  <c r="J12" i="9"/>
  <c r="K12" i="9" s="1"/>
  <c r="J8" i="9"/>
  <c r="K8" i="9" s="1"/>
  <c r="J4" i="9"/>
  <c r="K4" i="9" s="1"/>
  <c r="J2" i="9"/>
  <c r="F68" i="9"/>
  <c r="J15" i="9"/>
  <c r="K15" i="9" s="1"/>
  <c r="J11" i="9"/>
  <c r="J7" i="9"/>
  <c r="K7" i="9" s="1"/>
  <c r="F4" i="12"/>
  <c r="F3" i="12"/>
  <c r="F12" i="12"/>
  <c r="F7" i="12"/>
  <c r="F8" i="12"/>
  <c r="F5" i="12"/>
  <c r="F10" i="12"/>
  <c r="E2" i="12"/>
  <c r="F2" i="12" s="1"/>
  <c r="F6" i="12"/>
  <c r="F11" i="12"/>
  <c r="I2" i="12"/>
  <c r="J2" i="12" s="1"/>
  <c r="I3" i="12"/>
  <c r="J3" i="12" s="1"/>
  <c r="I4" i="12"/>
  <c r="J4" i="12" s="1"/>
  <c r="I5" i="12"/>
  <c r="I6" i="12"/>
  <c r="I7" i="12"/>
  <c r="J7" i="12" s="1"/>
  <c r="I8" i="12"/>
  <c r="I10" i="12"/>
  <c r="J10" i="12" s="1"/>
  <c r="I11" i="12"/>
  <c r="I12" i="12"/>
  <c r="J12" i="12" s="1"/>
  <c r="G2" i="9"/>
  <c r="I3" i="7"/>
  <c r="I4" i="7"/>
  <c r="I5" i="7"/>
  <c r="I6" i="7"/>
  <c r="I7" i="7"/>
  <c r="I8" i="7"/>
  <c r="I9" i="7"/>
  <c r="I10" i="7"/>
  <c r="I11" i="7"/>
  <c r="I12" i="7"/>
  <c r="I2" i="7"/>
  <c r="J2" i="7" s="1"/>
  <c r="K1" i="7"/>
  <c r="J1" i="7"/>
  <c r="K11" i="9" l="1"/>
  <c r="K9" i="9"/>
  <c r="K10" i="9"/>
  <c r="K13" i="9"/>
  <c r="K14" i="9"/>
  <c r="K5" i="9"/>
  <c r="K6" i="9"/>
  <c r="K3" i="9"/>
  <c r="J5" i="12"/>
  <c r="J6" i="12"/>
  <c r="J11" i="12"/>
  <c r="J8" i="12"/>
  <c r="K64" i="9"/>
  <c r="K2" i="9"/>
  <c r="I1" i="7"/>
  <c r="F1" i="7"/>
  <c r="E1" i="7"/>
  <c r="E15" i="7" s="1"/>
  <c r="J3" i="7" l="1"/>
  <c r="J11" i="7"/>
  <c r="J4" i="7"/>
  <c r="J8" i="7"/>
  <c r="F15" i="7"/>
  <c r="E3" i="7"/>
  <c r="F3" i="7" s="1"/>
  <c r="E5" i="7"/>
  <c r="F5" i="7" s="1"/>
  <c r="E7" i="7"/>
  <c r="F7" i="7" s="1"/>
  <c r="E9" i="7"/>
  <c r="F9" i="7" s="1"/>
  <c r="E11" i="7"/>
  <c r="F11" i="7" s="1"/>
  <c r="E13" i="7"/>
  <c r="F13" i="7" s="1"/>
  <c r="E14" i="7"/>
  <c r="F14" i="7" s="1"/>
  <c r="E2" i="7"/>
  <c r="F2" i="7" s="1"/>
  <c r="E4" i="7"/>
  <c r="F4" i="7" s="1"/>
  <c r="E6" i="7"/>
  <c r="F6" i="7" s="1"/>
  <c r="E8" i="7"/>
  <c r="F8" i="7" s="1"/>
  <c r="E10" i="7"/>
  <c r="F10" i="7" s="1"/>
  <c r="E12" i="7"/>
  <c r="F12" i="7" s="1"/>
  <c r="J7" i="7"/>
  <c r="E15" i="4"/>
  <c r="F15" i="4" s="1"/>
  <c r="E14" i="4"/>
  <c r="F14" i="4" s="1"/>
  <c r="E13" i="4"/>
  <c r="F13" i="4" s="1"/>
  <c r="I12" i="4"/>
  <c r="J12" i="4" s="1"/>
  <c r="E12" i="4"/>
  <c r="F12" i="4" s="1"/>
  <c r="I11" i="4"/>
  <c r="J11" i="4" s="1"/>
  <c r="E11" i="4"/>
  <c r="F11" i="4" s="1"/>
  <c r="I10" i="4"/>
  <c r="J10" i="4" s="1"/>
  <c r="E10" i="4"/>
  <c r="F10" i="4" s="1"/>
  <c r="I9" i="4"/>
  <c r="J9" i="4" s="1"/>
  <c r="E9" i="4"/>
  <c r="F9" i="4" s="1"/>
  <c r="I8" i="4"/>
  <c r="J8" i="4" s="1"/>
  <c r="E8" i="4"/>
  <c r="F8" i="4" s="1"/>
  <c r="I7" i="4"/>
  <c r="J7" i="4" s="1"/>
  <c r="E7" i="4"/>
  <c r="F7" i="4" s="1"/>
  <c r="I6" i="4"/>
  <c r="J6" i="4" s="1"/>
  <c r="E6" i="4"/>
  <c r="F6" i="4" s="1"/>
  <c r="I5" i="4"/>
  <c r="J5" i="4" s="1"/>
  <c r="E5" i="4"/>
  <c r="F5" i="4" s="1"/>
  <c r="I4" i="4"/>
  <c r="J4" i="4" s="1"/>
  <c r="E4" i="4"/>
  <c r="F4" i="4" s="1"/>
  <c r="I3" i="4"/>
  <c r="J3" i="4" s="1"/>
  <c r="E3" i="4"/>
  <c r="F3" i="4" s="1"/>
  <c r="I2" i="4"/>
  <c r="J2" i="4" s="1"/>
  <c r="E2" i="4"/>
  <c r="F2" i="4" s="1"/>
  <c r="E29" i="2"/>
  <c r="F29" i="2" s="1"/>
  <c r="F28" i="2"/>
  <c r="F27" i="2"/>
  <c r="F26" i="2"/>
  <c r="F25" i="2"/>
  <c r="E25" i="2"/>
  <c r="F24" i="2"/>
  <c r="E23" i="2"/>
  <c r="F23" i="2" s="1"/>
  <c r="F22" i="2"/>
  <c r="K21" i="2"/>
  <c r="I21" i="2"/>
  <c r="J21" i="2" s="1"/>
  <c r="E21" i="2"/>
  <c r="F21" i="2" s="1"/>
  <c r="K20" i="2"/>
  <c r="J20" i="2"/>
  <c r="I20" i="2"/>
  <c r="E20" i="2"/>
  <c r="F20" i="2" s="1"/>
  <c r="K19" i="2"/>
  <c r="I19" i="2"/>
  <c r="J19" i="2" s="1"/>
  <c r="E19" i="2"/>
  <c r="F19" i="2" s="1"/>
  <c r="K18" i="2"/>
  <c r="I18" i="2"/>
  <c r="J18" i="2" s="1"/>
  <c r="F18" i="2"/>
  <c r="E18" i="2"/>
  <c r="K17" i="2"/>
  <c r="I17" i="2"/>
  <c r="J17" i="2" s="1"/>
  <c r="E17" i="2"/>
  <c r="F17" i="2" s="1"/>
  <c r="K16" i="2"/>
  <c r="J16" i="2"/>
  <c r="I16" i="2"/>
  <c r="E16" i="2"/>
  <c r="F16" i="2" s="1"/>
  <c r="K15" i="2"/>
  <c r="I15" i="2"/>
  <c r="J15" i="2" s="1"/>
  <c r="E15" i="2"/>
  <c r="F15" i="2" s="1"/>
  <c r="K14" i="2"/>
  <c r="I14" i="2"/>
  <c r="J14" i="2" s="1"/>
  <c r="F14" i="2"/>
  <c r="E14" i="2"/>
  <c r="K13" i="2"/>
  <c r="I13" i="2"/>
  <c r="J13" i="2" s="1"/>
  <c r="E13" i="2"/>
  <c r="F13" i="2" s="1"/>
  <c r="K12" i="2"/>
  <c r="J12" i="2"/>
  <c r="I12" i="2"/>
  <c r="E12" i="2"/>
  <c r="F12" i="2" s="1"/>
  <c r="K11" i="2"/>
  <c r="I11" i="2"/>
  <c r="J11" i="2" s="1"/>
  <c r="E11" i="2"/>
  <c r="F11" i="2" s="1"/>
  <c r="K10" i="2"/>
  <c r="I10" i="2"/>
  <c r="J10" i="2" s="1"/>
  <c r="F10" i="2"/>
  <c r="E10" i="2"/>
  <c r="K9" i="2"/>
  <c r="I9" i="2"/>
  <c r="J9" i="2" s="1"/>
  <c r="E9" i="2"/>
  <c r="F9" i="2" s="1"/>
  <c r="K8" i="2"/>
  <c r="J8" i="2"/>
  <c r="I8" i="2"/>
  <c r="E8" i="2"/>
  <c r="F8" i="2" s="1"/>
  <c r="K7" i="2"/>
  <c r="I7" i="2"/>
  <c r="J7" i="2" s="1"/>
  <c r="E7" i="2"/>
  <c r="F7" i="2" s="1"/>
  <c r="K6" i="2"/>
  <c r="I6" i="2"/>
  <c r="J6" i="2" s="1"/>
  <c r="F6" i="2"/>
  <c r="E6" i="2"/>
  <c r="K5" i="2"/>
  <c r="I5" i="2"/>
  <c r="J5" i="2" s="1"/>
  <c r="E5" i="2"/>
  <c r="F5" i="2" s="1"/>
  <c r="K4" i="2"/>
  <c r="J4" i="2"/>
  <c r="I4" i="2"/>
  <c r="E4" i="2"/>
  <c r="F4" i="2" s="1"/>
  <c r="K3" i="2"/>
  <c r="I3" i="2"/>
  <c r="J3" i="2" s="1"/>
  <c r="E3" i="2"/>
  <c r="F3" i="2" s="1"/>
  <c r="K2" i="2"/>
  <c r="I2" i="2"/>
  <c r="J2" i="2" s="1"/>
  <c r="F2" i="2"/>
  <c r="E2" i="2"/>
  <c r="J9" i="7" l="1"/>
  <c r="J6" i="7"/>
  <c r="J12" i="7"/>
  <c r="J5" i="7"/>
  <c r="J10" i="7"/>
</calcChain>
</file>

<file path=xl/sharedStrings.xml><?xml version="1.0" encoding="utf-8"?>
<sst xmlns="http://schemas.openxmlformats.org/spreadsheetml/2006/main" count="337" uniqueCount="164">
  <si>
    <t>No</t>
  </si>
  <si>
    <t>Form code</t>
  </si>
  <si>
    <t>Form data</t>
  </si>
  <si>
    <t>Form name</t>
  </si>
  <si>
    <t>DPT_OPN</t>
  </si>
  <si>
    <t>DPT_OPN_DATA</t>
  </si>
  <si>
    <t>1100: Open new deposit account</t>
  </si>
  <si>
    <t>FormName</t>
  </si>
  <si>
    <t>FormTitle</t>
  </si>
  <si>
    <t>FieldName</t>
  </si>
  <si>
    <t>dpt_opn_field_</t>
  </si>
  <si>
    <t xml:space="preserve"> = self.get_value_excel_cell(data_file_fields, column=col_field_name, row=</t>
  </si>
  <si>
    <t>)</t>
  </si>
  <si>
    <t>dpt_opn_data_</t>
  </si>
  <si>
    <t xml:space="preserve"> = self.get_value_excel_cell(data_file_data_test, column=</t>
  </si>
  <si>
    <t>, row=row_scenario)</t>
  </si>
  <si>
    <t>Account number</t>
  </si>
  <si>
    <t>Customer type</t>
  </si>
  <si>
    <t>Customer code</t>
  </si>
  <si>
    <t>Relation customers</t>
  </si>
  <si>
    <t>Catalogue code</t>
  </si>
  <si>
    <t>Catalogue name</t>
  </si>
  <si>
    <t>Deposit type</t>
  </si>
  <si>
    <t>Deposit sub type</t>
  </si>
  <si>
    <t>Deposit purpose</t>
  </si>
  <si>
    <t>Customer segmentation</t>
  </si>
  <si>
    <t>Account holder name</t>
  </si>
  <si>
    <t>Business Purpose Code</t>
  </si>
  <si>
    <t>Rollover option</t>
  </si>
  <si>
    <t>Auto transfer option</t>
  </si>
  <si>
    <t>To Account number</t>
  </si>
  <si>
    <t>Agent hub referral</t>
  </si>
  <si>
    <t>Employer Organization Name</t>
  </si>
  <si>
    <t>Reason of Account Opening</t>
  </si>
  <si>
    <t>Relationship Manager</t>
  </si>
  <si>
    <t>Description</t>
  </si>
  <si>
    <t>I/M Banking</t>
  </si>
  <si>
    <t>dpt_opn_field_im_banking</t>
  </si>
  <si>
    <t>MPU Card</t>
  </si>
  <si>
    <t>Passbook/Cheque Book</t>
  </si>
  <si>
    <t>dpt_opn_field_passbook_cheque_book</t>
  </si>
  <si>
    <t>Wallet</t>
  </si>
  <si>
    <t>Caution!  There is no doubt that banks may be used as a means of Money Laundering/ Terrorist Financing/ Proliferation of Weapons of Mass Destruction.</t>
  </si>
  <si>
    <t>dpt_opn_field_caution</t>
  </si>
  <si>
    <t>Accept</t>
  </si>
  <si>
    <t>dpt_opn_field_accept</t>
  </si>
  <si>
    <t>Saved successfully!</t>
  </si>
  <si>
    <t>dpt_opn_field_saved_successfully</t>
  </si>
  <si>
    <t>Transaction references</t>
  </si>
  <si>
    <t>Single customer</t>
  </si>
  <si>
    <t>1-1-001572</t>
  </si>
  <si>
    <t>CAMMK0000</t>
  </si>
  <si>
    <t>Enter value employer organization name</t>
  </si>
  <si>
    <t>Enter value reason of account opening</t>
  </si>
  <si>
    <t>01009 - Thandar Kyaw</t>
  </si>
  <si>
    <t xml:space="preserve"> AUTO TEST</t>
  </si>
  <si>
    <t>dpt_apr_field_</t>
  </si>
  <si>
    <t xml:space="preserve"> = self.get_value_excel_cell(file_form_dpt_apr, column=col_field_name, row=</t>
  </si>
  <si>
    <t>dpt_apr_data_</t>
  </si>
  <si>
    <t xml:space="preserve"> = self.get_value_excel_cell(file_data_dpt_apr, column=</t>
  </si>
  <si>
    <t>, row=row_data_dpt_apr)</t>
  </si>
  <si>
    <t>Approve deposit account</t>
  </si>
  <si>
    <t>Account holding branch name</t>
  </si>
  <si>
    <t>Linkage account number</t>
  </si>
  <si>
    <t>Created by</t>
  </si>
  <si>
    <t>11-002-750219-0</t>
  </si>
  <si>
    <t>Reject deposit account</t>
  </si>
  <si>
    <t>dpt_rej</t>
  </si>
  <si>
    <t>11-002-013178-2</t>
  </si>
  <si>
    <t>DPT_APR</t>
  </si>
  <si>
    <t>DPT_APR_DATA</t>
  </si>
  <si>
    <t>DPT_REJ</t>
  </si>
  <si>
    <t>DPT_REJ_DATA</t>
  </si>
  <si>
    <t>DPT_CDP</t>
  </si>
  <si>
    <t>DPT_CDP_DATA</t>
  </si>
  <si>
    <t>1110: Cash deposit</t>
  </si>
  <si>
    <t>Amount deposit</t>
  </si>
  <si>
    <t>dpt_cdp</t>
  </si>
  <si>
    <t>Depositor name</t>
  </si>
  <si>
    <t>Depositor code</t>
  </si>
  <si>
    <t>Depositor address</t>
  </si>
  <si>
    <t>Mobile phone</t>
  </si>
  <si>
    <t>Depositor description</t>
  </si>
  <si>
    <t>NRC</t>
  </si>
  <si>
    <t>Interest/fee/charge code</t>
  </si>
  <si>
    <t>Value</t>
  </si>
  <si>
    <t>Add</t>
  </si>
  <si>
    <t>Apply</t>
  </si>
  <si>
    <t>dpt_cdp_field_caution</t>
  </si>
  <si>
    <t>11-002-993110-5</t>
  </si>
  <si>
    <t>IFC code 01</t>
  </si>
  <si>
    <t>Value 01</t>
  </si>
  <si>
    <t>IFC code 02</t>
  </si>
  <si>
    <t>Value 02</t>
  </si>
  <si>
    <t>5,000,000.49</t>
  </si>
  <si>
    <t>340</t>
  </si>
  <si>
    <t>1,000.45</t>
  </si>
  <si>
    <t>344</t>
  </si>
  <si>
    <t>Total fee</t>
  </si>
  <si>
    <t>Total Amount = 1,400.95</t>
  </si>
  <si>
    <t>Transaction journal</t>
  </si>
  <si>
    <t>FOF-Transaction Journal</t>
  </si>
  <si>
    <t>Tran Number</t>
  </si>
  <si>
    <t>fof_f8</t>
  </si>
  <si>
    <t>Account Number</t>
  </si>
  <si>
    <t>Status</t>
  </si>
  <si>
    <t>View</t>
  </si>
  <si>
    <t>Completed</t>
  </si>
  <si>
    <t>Delete</t>
  </si>
  <si>
    <t>Search</t>
  </si>
  <si>
    <t>Get info successfully</t>
  </si>
  <si>
    <t>Deleted successfully</t>
  </si>
  <si>
    <t>Reversed</t>
  </si>
  <si>
    <t>Pending to approve</t>
  </si>
  <si>
    <t>Debit</t>
  </si>
  <si>
    <t>Credit</t>
  </si>
  <si>
    <t>Amount</t>
  </si>
  <si>
    <t>Debit account number 01</t>
  </si>
  <si>
    <t>Debit amount 01</t>
  </si>
  <si>
    <t>Debit account number 02</t>
  </si>
  <si>
    <t>Debit amount 02</t>
  </si>
  <si>
    <t>Debit account number 03</t>
  </si>
  <si>
    <t>Debit amount 03</t>
  </si>
  <si>
    <t>Debit account number 04</t>
  </si>
  <si>
    <t>Debit amount 04</t>
  </si>
  <si>
    <t>Debit account number 05</t>
  </si>
  <si>
    <t>Debit amount 05</t>
  </si>
  <si>
    <t>Debit account number 06</t>
  </si>
  <si>
    <t>Debit amount 06</t>
  </si>
  <si>
    <t>Debit account number 07</t>
  </si>
  <si>
    <t>Debit amount 07</t>
  </si>
  <si>
    <t>Debit account number 08</t>
  </si>
  <si>
    <t>Debit amount 08</t>
  </si>
  <si>
    <t>Debit account number 09</t>
  </si>
  <si>
    <t>Debit amount 09</t>
  </si>
  <si>
    <t>Debit account number 10</t>
  </si>
  <si>
    <t>Debit amount 10</t>
  </si>
  <si>
    <t>Credit account number 01</t>
  </si>
  <si>
    <t>Credit amount 01</t>
  </si>
  <si>
    <t>Credit account number 02</t>
  </si>
  <si>
    <t>Credit amount 02</t>
  </si>
  <si>
    <t>Credit account number 03</t>
  </si>
  <si>
    <t>Credit amount 03</t>
  </si>
  <si>
    <t>Credit account number 04</t>
  </si>
  <si>
    <t>Credit amount 04</t>
  </si>
  <si>
    <t>Credit account number 05</t>
  </si>
  <si>
    <t>Credit amount 05</t>
  </si>
  <si>
    <t>Credit account number 06</t>
  </si>
  <si>
    <t>Credit amount 06</t>
  </si>
  <si>
    <t>Credit account number 07</t>
  </si>
  <si>
    <t>Credit amount 07</t>
  </si>
  <si>
    <t>Credit account number 08</t>
  </si>
  <si>
    <t>Credit amount 08</t>
  </si>
  <si>
    <t>Credit account number 09</t>
  </si>
  <si>
    <t>Credit amount 09</t>
  </si>
  <si>
    <t>Credit account number 10</t>
  </si>
  <si>
    <t>Credit amount 10</t>
  </si>
  <si>
    <t>posting_</t>
  </si>
  <si>
    <t>fee_</t>
  </si>
  <si>
    <t>002-1010301000101-01</t>
  </si>
  <si>
    <t>002-2020301010101-01</t>
  </si>
  <si>
    <t>FOF_F8</t>
  </si>
  <si>
    <t>Fee</t>
  </si>
  <si>
    <t>400.50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</si>
</sst>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5"/>
      <name val="Arial"/>
      <family val="2"/>
    </font>
    <font>
      <u/>
      <sz val="10"/>
      <color theme="10"/>
      <name val="Arial"/>
      <family val="2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0" borderId="0" xfId="0" applyFont="1"/>
    <xf numFmtId="0" fontId="4" fillId="0" borderId="1" xfId="0" applyFont="1" applyBorder="1"/>
    <xf numFmtId="0" fontId="5" fillId="0" borderId="2" xfId="0" applyFont="1" applyBorder="1"/>
    <xf numFmtId="0" fontId="5" fillId="0" borderId="2" xfId="0" quotePrefix="1" applyFont="1" applyBorder="1"/>
    <xf numFmtId="0" fontId="5" fillId="0" borderId="3" xfId="0" applyFont="1" applyBorder="1"/>
    <xf numFmtId="0" fontId="6" fillId="0" borderId="1" xfId="0" applyFont="1" applyBorder="1"/>
    <xf numFmtId="0" fontId="5" fillId="0" borderId="1" xfId="0" applyFont="1" applyBorder="1"/>
    <xf numFmtId="0" fontId="3" fillId="0" borderId="1" xfId="0" applyFont="1" applyBorder="1"/>
    <xf numFmtId="0" fontId="6" fillId="0" borderId="1" xfId="1" applyFont="1" applyBorder="1"/>
    <xf numFmtId="0" fontId="7" fillId="0" borderId="1" xfId="1" applyFont="1" applyBorder="1"/>
    <xf numFmtId="0" fontId="2" fillId="0" borderId="1" xfId="0" applyFont="1" applyBorder="1"/>
    <xf numFmtId="0" fontId="9" fillId="0" borderId="4" xfId="0" applyFont="1" applyBorder="1" applyAlignment="1">
      <alignment horizontal="center" vertical="top"/>
    </xf>
    <xf numFmtId="0" fontId="9" fillId="0" borderId="4" xfId="1" applyFont="1" applyBorder="1" applyAlignment="1">
      <alignment horizontal="center" vertical="top"/>
    </xf>
    <xf numFmtId="0" fontId="3" fillId="2" borderId="0" xfId="0" applyFont="1" applyFill="1"/>
    <xf numFmtId="0" fontId="3" fillId="0" borderId="4" xfId="0" applyFont="1" applyBorder="1"/>
    <xf numFmtId="0" fontId="7" fillId="0" borderId="4" xfId="1" applyFont="1" applyBorder="1"/>
    <xf numFmtId="0" fontId="7" fillId="0" borderId="0" xfId="0" applyFont="1"/>
    <xf numFmtId="49" fontId="3" fillId="0" borderId="1" xfId="0" applyNumberFormat="1" applyFont="1" applyBorder="1"/>
    <xf numFmtId="49" fontId="3" fillId="0" borderId="1" xfId="0" quotePrefix="1" applyNumberFormat="1" applyFont="1" applyBorder="1"/>
    <xf numFmtId="0" fontId="4" fillId="0" borderId="2" xfId="0" applyFont="1" applyBorder="1"/>
    <xf numFmtId="0" fontId="7" fillId="0" borderId="0" xfId="1" applyFont="1" applyBorder="1"/>
    <xf numFmtId="0" fontId="6" fillId="0" borderId="0" xfId="1" applyFont="1" applyBorder="1"/>
    <xf numFmtId="0" fontId="2" fillId="0" borderId="4" xfId="0" applyFont="1" applyBorder="1"/>
    <xf numFmtId="0" fontId="8" fillId="0" borderId="4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activeCell="C8" sqref="C8"/>
    </sheetView>
  </sheetViews>
  <sheetFormatPr defaultRowHeight="12.75" x14ac:dyDescent="0.2"/>
  <cols>
    <col min="1" max="1" width="3.42578125" style="1" bestFit="1" customWidth="1"/>
    <col min="2" max="2" width="11" style="1" bestFit="1" customWidth="1"/>
    <col min="3" max="3" width="15.42578125" style="1" bestFit="1" customWidth="1"/>
    <col min="4" max="4" width="30.28515625" style="1" bestFit="1" customWidth="1"/>
    <col min="5" max="10" width="9.140625" style="1" customWidth="1"/>
    <col min="11" max="16384" width="9.140625" style="1"/>
  </cols>
  <sheetData>
    <row r="1" spans="1:4" x14ac:dyDescent="0.2">
      <c r="A1" s="11" t="s">
        <v>0</v>
      </c>
      <c r="B1" s="11" t="s">
        <v>1</v>
      </c>
      <c r="C1" s="11" t="s">
        <v>2</v>
      </c>
      <c r="D1" s="11" t="s">
        <v>3</v>
      </c>
    </row>
    <row r="2" spans="1:4" x14ac:dyDescent="0.2">
      <c r="A2" s="23"/>
      <c r="B2" s="24" t="s">
        <v>161</v>
      </c>
      <c r="C2" s="15"/>
      <c r="D2" s="15" t="s">
        <v>100</v>
      </c>
    </row>
    <row r="3" spans="1:4" x14ac:dyDescent="0.2">
      <c r="A3" s="8"/>
      <c r="B3" s="24" t="s">
        <v>4</v>
      </c>
      <c r="C3" s="24" t="s">
        <v>5</v>
      </c>
      <c r="D3" s="15" t="s">
        <v>6</v>
      </c>
    </row>
    <row r="4" spans="1:4" x14ac:dyDescent="0.2">
      <c r="A4" s="8"/>
      <c r="B4" s="24" t="s">
        <v>69</v>
      </c>
      <c r="C4" s="24" t="s">
        <v>70</v>
      </c>
      <c r="D4" s="15" t="s">
        <v>61</v>
      </c>
    </row>
    <row r="5" spans="1:4" x14ac:dyDescent="0.2">
      <c r="A5" s="8"/>
      <c r="B5" s="24" t="s">
        <v>71</v>
      </c>
      <c r="C5" s="24" t="s">
        <v>72</v>
      </c>
      <c r="D5" s="15" t="s">
        <v>66</v>
      </c>
    </row>
    <row r="6" spans="1:4" x14ac:dyDescent="0.2">
      <c r="A6" s="8"/>
      <c r="B6" s="24" t="s">
        <v>73</v>
      </c>
      <c r="C6" s="24" t="s">
        <v>74</v>
      </c>
      <c r="D6" s="15" t="s">
        <v>75</v>
      </c>
    </row>
    <row r="7" spans="1:4" x14ac:dyDescent="0.2">
      <c r="A7" s="8"/>
      <c r="B7" s="8"/>
      <c r="C7" s="8"/>
      <c r="D7" s="8"/>
    </row>
    <row r="8" spans="1:4" x14ac:dyDescent="0.2">
      <c r="A8" s="8"/>
      <c r="B8" s="8"/>
      <c r="C8" s="8"/>
      <c r="D8" s="8"/>
    </row>
    <row r="9" spans="1:4" x14ac:dyDescent="0.2">
      <c r="A9" s="8"/>
      <c r="B9" s="8"/>
      <c r="C9" s="8"/>
      <c r="D9" s="8"/>
    </row>
    <row r="10" spans="1:4" x14ac:dyDescent="0.2">
      <c r="A10" s="8"/>
      <c r="B10" s="8"/>
      <c r="C10" s="8"/>
      <c r="D10" s="8"/>
    </row>
    <row r="11" spans="1:4" x14ac:dyDescent="0.2">
      <c r="A11" s="8"/>
      <c r="B11" s="8"/>
      <c r="C11" s="8"/>
      <c r="D11" s="8"/>
    </row>
    <row r="12" spans="1:4" x14ac:dyDescent="0.2">
      <c r="A12" s="8"/>
      <c r="B12" s="8"/>
      <c r="C12" s="8"/>
      <c r="D12" s="8"/>
    </row>
    <row r="13" spans="1:4" x14ac:dyDescent="0.2">
      <c r="A13" s="8"/>
      <c r="B13" s="8"/>
      <c r="C13" s="8"/>
      <c r="D13" s="8"/>
    </row>
    <row r="14" spans="1:4" x14ac:dyDescent="0.2">
      <c r="A14" s="8"/>
      <c r="B14" s="8"/>
      <c r="C14" s="8"/>
      <c r="D14" s="8"/>
    </row>
    <row r="15" spans="1:4" x14ac:dyDescent="0.2">
      <c r="A15" s="8"/>
      <c r="B15" s="8"/>
      <c r="C15" s="8"/>
      <c r="D15" s="8"/>
    </row>
    <row r="16" spans="1:4" x14ac:dyDescent="0.2">
      <c r="A16" s="8"/>
      <c r="B16" s="8"/>
      <c r="C16" s="8"/>
      <c r="D16" s="8"/>
    </row>
    <row r="17" spans="1:4" x14ac:dyDescent="0.2">
      <c r="A17" s="8"/>
      <c r="B17" s="8"/>
      <c r="C17" s="8"/>
      <c r="D17" s="8"/>
    </row>
    <row r="18" spans="1:4" x14ac:dyDescent="0.2">
      <c r="A18" s="8"/>
      <c r="B18" s="8"/>
      <c r="C18" s="8"/>
      <c r="D18" s="8"/>
    </row>
    <row r="19" spans="1:4" x14ac:dyDescent="0.2">
      <c r="A19" s="8"/>
      <c r="B19" s="8"/>
      <c r="C19" s="8"/>
      <c r="D19" s="8"/>
    </row>
    <row r="20" spans="1:4" x14ac:dyDescent="0.2">
      <c r="A20" s="8"/>
      <c r="B20" s="8"/>
      <c r="C20" s="8"/>
      <c r="D20" s="8"/>
    </row>
    <row r="21" spans="1:4" x14ac:dyDescent="0.2">
      <c r="A21" s="8"/>
      <c r="B21" s="8"/>
      <c r="C21" s="8"/>
      <c r="D21" s="8"/>
    </row>
    <row r="22" spans="1:4" x14ac:dyDescent="0.2">
      <c r="A22" s="8"/>
      <c r="B22" s="8"/>
      <c r="C22" s="8"/>
      <c r="D22" s="8"/>
    </row>
  </sheetData>
  <hyperlinks>
    <hyperlink ref="B3" location="DPT_OPN!A1" display="DPT_OPN" xr:uid="{00000000-0004-0000-0000-000000000000}"/>
    <hyperlink ref="C3" location="DPT_OPN_DATA!A1" display="DPT_OPN_DATA" xr:uid="{00000000-0004-0000-0000-000001000000}"/>
    <hyperlink ref="B4" location="DPT_APR!A1" display="DPT_APR" xr:uid="{320E9295-34EF-4E62-AA04-D0C94248AC08}"/>
    <hyperlink ref="C4" location="DPT_APR_DATA!A1" display="DPT_APR_DATA" xr:uid="{1F2EEA7D-161F-4AC9-B638-FC27C5797713}"/>
    <hyperlink ref="B5" location="DPT_REJ!A1" display="DPT_REJ" xr:uid="{121EF338-A53F-44D6-A571-4BB29832AC92}"/>
    <hyperlink ref="C5" location="DPT_REJ_DATA!A1" display="DPT_REJ_DATA" xr:uid="{45C12650-D841-47FC-8120-D2FA78F09820}"/>
    <hyperlink ref="B6" location="DPT_CDP!A1" display="DPT_CDP" xr:uid="{DF0B4FA1-57F0-4545-85E8-EB1DA8E05841}"/>
    <hyperlink ref="C6" location="DPT_CDP_DATA!A1" display="DPT_CDP_DATA" xr:uid="{8199435C-80A4-469A-B859-6849B938A45B}"/>
    <hyperlink ref="B2" location="FOF_F8!A1" display="FOF_F8" xr:uid="{F207CDE4-0D80-4129-BE45-28EF808926F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693D-F4A7-4BF9-8C48-4B280BD177AF}">
  <dimension ref="A1:K12"/>
  <sheetViews>
    <sheetView workbookViewId="0">
      <selection activeCell="B2" sqref="B2"/>
    </sheetView>
  </sheetViews>
  <sheetFormatPr defaultRowHeight="12.75" x14ac:dyDescent="0.2"/>
  <cols>
    <col min="1" max="1" width="3.5703125" style="1" bestFit="1" customWidth="1"/>
    <col min="2" max="3" width="17.28515625" style="1" bestFit="1" customWidth="1"/>
    <col min="4" max="4" width="29.140625" style="1" customWidth="1"/>
    <col min="5" max="5" width="39.42578125" style="1" bestFit="1" customWidth="1"/>
    <col min="6" max="6" width="9.140625" style="1" customWidth="1"/>
    <col min="7" max="7" width="1.5703125" style="1" bestFit="1" customWidth="1"/>
    <col min="8" max="8" width="7.5703125" style="1" bestFit="1" customWidth="1"/>
    <col min="9" max="9" width="31.42578125" style="1" customWidth="1"/>
    <col min="10" max="15" width="9.140625" style="1" customWidth="1"/>
    <col min="16" max="16384" width="9.140625" style="1"/>
  </cols>
  <sheetData>
    <row r="1" spans="1:11" x14ac:dyDescent="0.2">
      <c r="A1" s="2" t="s">
        <v>0</v>
      </c>
      <c r="B1" s="2" t="s">
        <v>7</v>
      </c>
      <c r="C1" s="2" t="s">
        <v>8</v>
      </c>
      <c r="D1" s="2" t="s">
        <v>9</v>
      </c>
      <c r="E1" s="3" t="str">
        <f>$H$1&amp;"_field_"</f>
        <v>fof_f8_field_</v>
      </c>
      <c r="F1" s="4" t="str">
        <f>" = self.get_value_excel_cell(file_form_"&amp;$H$1&amp;", column=col_field_name, row="</f>
        <v xml:space="preserve"> = self.get_value_excel_cell(file_form_fof_f8, column=col_field_name, row=</v>
      </c>
      <c r="G1" s="3" t="s">
        <v>12</v>
      </c>
      <c r="H1" s="14" t="s">
        <v>103</v>
      </c>
      <c r="I1" s="5" t="str">
        <f>$H$1&amp;"_data_"</f>
        <v>fof_f8_data_</v>
      </c>
      <c r="J1" s="4" t="str">
        <f>" = self.get_value_excel_cell(file_data_"&amp;$H$1&amp;", column="</f>
        <v xml:space="preserve"> = self.get_value_excel_cell(file_data_fof_f8, column=</v>
      </c>
      <c r="K1" s="3" t="str">
        <f>", row=row_data_"&amp;$H$1&amp;")"</f>
        <v>, row=row_data_fof_f8)</v>
      </c>
    </row>
    <row r="2" spans="1:11" x14ac:dyDescent="0.2">
      <c r="A2" s="6">
        <v>1</v>
      </c>
      <c r="B2" s="6" t="s">
        <v>100</v>
      </c>
      <c r="C2" s="9" t="s">
        <v>101</v>
      </c>
      <c r="D2" s="10" t="s">
        <v>102</v>
      </c>
      <c r="E2" s="1" t="str">
        <f>$E$1&amp;SUBSTITUTE(SUBSTITUTE(SUBSTITUTE(LOWER(D2)," ","_"),"!",""),"interest/fee/charge","ifc")</f>
        <v>fof_f8_field_tran_number</v>
      </c>
      <c r="F2" s="1" t="str">
        <f t="shared" ref="F2:F12" si="0">E2&amp;$F$1&amp;A2&amp;$G$1</f>
        <v>fof_f8_field_tran_number = self.get_value_excel_cell(file_form_fof_f8, column=col_field_name, row=1)</v>
      </c>
      <c r="I2" s="17" t="str">
        <f>$I$1&amp;SUBSTITUTE(SUBSTITUTE(SUBSTITUTE(LOWER(D2), " ", "_"),"!",""),"interest/fee/charge","ifc")</f>
        <v>fof_f8_data_tran_number</v>
      </c>
      <c r="J2" s="17" t="str">
        <f>I2&amp;$J$1&amp;E2&amp;$K$1</f>
        <v>fof_f8_data_tran_number = self.get_value_excel_cell(file_data_fof_f8, column=fof_f8_field_tran_number, row=row_data_fof_f8)</v>
      </c>
    </row>
    <row r="3" spans="1:11" x14ac:dyDescent="0.2">
      <c r="A3" s="6">
        <v>2</v>
      </c>
      <c r="B3" s="6"/>
      <c r="C3" s="7"/>
      <c r="D3" s="10" t="s">
        <v>104</v>
      </c>
      <c r="E3" s="1" t="str">
        <f t="shared" ref="E3:E12" si="1">$E$1&amp;SUBSTITUTE(SUBSTITUTE(SUBSTITUTE(LOWER(D3)," ","_"),"!",""),"interest/fee/charge","ifc")</f>
        <v>fof_f8_field_account_number</v>
      </c>
      <c r="F3" s="1" t="str">
        <f t="shared" si="0"/>
        <v>fof_f8_field_account_number = self.get_value_excel_cell(file_form_fof_f8, column=col_field_name, row=2)</v>
      </c>
      <c r="I3" s="17" t="str">
        <f t="shared" ref="I3:I12" si="2">$I$1&amp;SUBSTITUTE(SUBSTITUTE(SUBSTITUTE(LOWER(D3), " ", "_"),"!",""),"interest/fee/charge","ifc")</f>
        <v>fof_f8_data_account_number</v>
      </c>
      <c r="J3" s="17" t="str">
        <f t="shared" ref="J3:J12" si="3">I3&amp;$J$1&amp;E3&amp;$K$1</f>
        <v>fof_f8_data_account_number = self.get_value_excel_cell(file_data_fof_f8, column=fof_f8_field_account_number, row=row_data_fof_f8)</v>
      </c>
    </row>
    <row r="4" spans="1:11" x14ac:dyDescent="0.2">
      <c r="A4" s="6">
        <v>3</v>
      </c>
      <c r="B4" s="6"/>
      <c r="C4" s="9"/>
      <c r="D4" s="10" t="s">
        <v>109</v>
      </c>
      <c r="E4" s="1" t="str">
        <f t="shared" si="1"/>
        <v>fof_f8_field_search</v>
      </c>
      <c r="F4" s="1" t="str">
        <f t="shared" si="0"/>
        <v>fof_f8_field_search = self.get_value_excel_cell(file_form_fof_f8, column=col_field_name, row=3)</v>
      </c>
      <c r="I4" s="17" t="str">
        <f t="shared" si="2"/>
        <v>fof_f8_data_search</v>
      </c>
      <c r="J4" s="17" t="str">
        <f t="shared" si="3"/>
        <v>fof_f8_data_search = self.get_value_excel_cell(file_data_fof_f8, column=fof_f8_field_search, row=row_data_fof_f8)</v>
      </c>
    </row>
    <row r="5" spans="1:11" x14ac:dyDescent="0.2">
      <c r="A5" s="6">
        <v>4</v>
      </c>
      <c r="B5" s="8"/>
      <c r="C5" s="8"/>
      <c r="D5" s="10" t="s">
        <v>106</v>
      </c>
      <c r="E5" s="1" t="str">
        <f t="shared" si="1"/>
        <v>fof_f8_field_view</v>
      </c>
      <c r="F5" s="1" t="str">
        <f t="shared" si="0"/>
        <v>fof_f8_field_view = self.get_value_excel_cell(file_form_fof_f8, column=col_field_name, row=4)</v>
      </c>
      <c r="I5" s="17" t="str">
        <f t="shared" si="2"/>
        <v>fof_f8_data_view</v>
      </c>
      <c r="J5" s="17" t="str">
        <f t="shared" si="3"/>
        <v>fof_f8_data_view = self.get_value_excel_cell(file_data_fof_f8, column=fof_f8_field_view, row=row_data_fof_f8)</v>
      </c>
    </row>
    <row r="6" spans="1:11" x14ac:dyDescent="0.2">
      <c r="A6" s="6">
        <v>5</v>
      </c>
      <c r="B6" s="8"/>
      <c r="C6" s="8"/>
      <c r="D6" s="10" t="s">
        <v>108</v>
      </c>
      <c r="E6" s="1" t="str">
        <f t="shared" si="1"/>
        <v>fof_f8_field_delete</v>
      </c>
      <c r="F6" s="1" t="str">
        <f t="shared" si="0"/>
        <v>fof_f8_field_delete = self.get_value_excel_cell(file_form_fof_f8, column=col_field_name, row=5)</v>
      </c>
      <c r="I6" s="17" t="str">
        <f t="shared" si="2"/>
        <v>fof_f8_data_delete</v>
      </c>
      <c r="J6" s="17" t="str">
        <f t="shared" si="3"/>
        <v>fof_f8_data_delete = self.get_value_excel_cell(file_data_fof_f8, column=fof_f8_field_delete, row=row_data_fof_f8)</v>
      </c>
    </row>
    <row r="7" spans="1:11" x14ac:dyDescent="0.2">
      <c r="A7" s="6">
        <v>6</v>
      </c>
      <c r="B7" s="8"/>
      <c r="C7" s="8"/>
      <c r="D7" s="10" t="s">
        <v>105</v>
      </c>
      <c r="E7" s="1" t="str">
        <f t="shared" si="1"/>
        <v>fof_f8_field_status</v>
      </c>
      <c r="F7" s="1" t="str">
        <f t="shared" si="0"/>
        <v>fof_f8_field_status = self.get_value_excel_cell(file_form_fof_f8, column=col_field_name, row=6)</v>
      </c>
      <c r="I7" s="17" t="str">
        <f t="shared" si="2"/>
        <v>fof_f8_data_status</v>
      </c>
      <c r="J7" s="17" t="str">
        <f t="shared" si="3"/>
        <v>fof_f8_data_status = self.get_value_excel_cell(file_data_fof_f8, column=fof_f8_field_status, row=row_data_fof_f8)</v>
      </c>
    </row>
    <row r="8" spans="1:11" x14ac:dyDescent="0.2">
      <c r="A8" s="6">
        <v>7</v>
      </c>
      <c r="B8" s="8"/>
      <c r="C8" s="8"/>
      <c r="D8" s="10" t="s">
        <v>113</v>
      </c>
      <c r="E8" s="1" t="str">
        <f t="shared" si="1"/>
        <v>fof_f8_field_pending_to_approve</v>
      </c>
      <c r="F8" s="1" t="str">
        <f t="shared" si="0"/>
        <v>fof_f8_field_pending_to_approve = self.get_value_excel_cell(file_form_fof_f8, column=col_field_name, row=7)</v>
      </c>
      <c r="I8" s="17" t="str">
        <f t="shared" si="2"/>
        <v>fof_f8_data_pending_to_approve</v>
      </c>
      <c r="J8" s="17" t="str">
        <f t="shared" si="3"/>
        <v>fof_f8_data_pending_to_approve = self.get_value_excel_cell(file_data_fof_f8, column=fof_f8_field_pending_to_approve, row=row_data_fof_f8)</v>
      </c>
    </row>
    <row r="9" spans="1:11" x14ac:dyDescent="0.2">
      <c r="A9" s="6">
        <v>8</v>
      </c>
      <c r="B9" s="8"/>
      <c r="C9" s="8"/>
      <c r="D9" s="10" t="s">
        <v>107</v>
      </c>
      <c r="E9" s="1" t="str">
        <f t="shared" si="1"/>
        <v>fof_f8_field_completed</v>
      </c>
      <c r="F9" s="1" t="str">
        <f t="shared" ref="F9" si="4">E9&amp;$F$1&amp;A9&amp;$G$1</f>
        <v>fof_f8_field_completed = self.get_value_excel_cell(file_form_fof_f8, column=col_field_name, row=8)</v>
      </c>
      <c r="I9" s="17" t="str">
        <f>$I$1&amp;SUBSTITUTE(SUBSTITUTE(SUBSTITUTE(LOWER(D9), " ", "_"),"!",""),"interest/fee/charge","ifc")</f>
        <v>fof_f8_data_completed</v>
      </c>
      <c r="J9" s="17" t="str">
        <f t="shared" ref="J9" si="5">I9&amp;$J$1&amp;E9&amp;$K$1</f>
        <v>fof_f8_data_completed = self.get_value_excel_cell(file_data_fof_f8, column=fof_f8_field_completed, row=row_data_fof_f8)</v>
      </c>
    </row>
    <row r="10" spans="1:11" x14ac:dyDescent="0.2">
      <c r="A10" s="6">
        <v>9</v>
      </c>
      <c r="B10" s="8"/>
      <c r="C10" s="8"/>
      <c r="D10" s="10" t="s">
        <v>112</v>
      </c>
      <c r="E10" s="1" t="str">
        <f t="shared" si="1"/>
        <v>fof_f8_field_reversed</v>
      </c>
      <c r="F10" s="1" t="str">
        <f t="shared" si="0"/>
        <v>fof_f8_field_reversed = self.get_value_excel_cell(file_form_fof_f8, column=col_field_name, row=9)</v>
      </c>
      <c r="I10" s="17" t="str">
        <f>$I$1&amp;SUBSTITUTE(SUBSTITUTE(SUBSTITUTE(LOWER(D10), " ", "_"),"!",""),"interest/fee/charge","ifc")</f>
        <v>fof_f8_data_reversed</v>
      </c>
      <c r="J10" s="17" t="str">
        <f t="shared" si="3"/>
        <v>fof_f8_data_reversed = self.get_value_excel_cell(file_data_fof_f8, column=fof_f8_field_reversed, row=row_data_fof_f8)</v>
      </c>
    </row>
    <row r="11" spans="1:11" x14ac:dyDescent="0.2">
      <c r="A11" s="6">
        <v>10</v>
      </c>
      <c r="B11" s="8"/>
      <c r="C11" s="8"/>
      <c r="D11" s="10" t="s">
        <v>110</v>
      </c>
      <c r="E11" s="1" t="str">
        <f t="shared" si="1"/>
        <v>fof_f8_field_get_info_successfully</v>
      </c>
      <c r="F11" s="1" t="str">
        <f t="shared" si="0"/>
        <v>fof_f8_field_get_info_successfully = self.get_value_excel_cell(file_form_fof_f8, column=col_field_name, row=10)</v>
      </c>
      <c r="I11" s="17" t="str">
        <f>$I$1&amp;SUBSTITUTE(SUBSTITUTE(SUBSTITUTE(LOWER(D11), " ", "_"),"!",""),"interest/fee/charge","ifc")</f>
        <v>fof_f8_data_get_info_successfully</v>
      </c>
      <c r="J11" s="17" t="str">
        <f t="shared" si="3"/>
        <v>fof_f8_data_get_info_successfully = self.get_value_excel_cell(file_data_fof_f8, column=fof_f8_field_get_info_successfully, row=row_data_fof_f8)</v>
      </c>
    </row>
    <row r="12" spans="1:11" x14ac:dyDescent="0.2">
      <c r="A12" s="6">
        <v>11</v>
      </c>
      <c r="B12" s="15"/>
      <c r="C12" s="15"/>
      <c r="D12" s="10" t="s">
        <v>111</v>
      </c>
      <c r="E12" s="1" t="str">
        <f t="shared" si="1"/>
        <v>fof_f8_field_deleted_successfully</v>
      </c>
      <c r="F12" s="1" t="str">
        <f t="shared" si="0"/>
        <v>fof_f8_field_deleted_successfully = self.get_value_excel_cell(file_form_fof_f8, column=col_field_name, row=11)</v>
      </c>
      <c r="I12" s="17" t="str">
        <f t="shared" si="2"/>
        <v>fof_f8_data_deleted_successfully</v>
      </c>
      <c r="J12" s="17" t="str">
        <f t="shared" si="3"/>
        <v>fof_f8_data_deleted_successfully = self.get_value_excel_cell(file_data_fof_f8, column=fof_f8_field_deleted_successfully, row=row_data_fof_f8)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>
      <selection activeCell="C40" sqref="C40"/>
    </sheetView>
  </sheetViews>
  <sheetFormatPr defaultRowHeight="12.75" x14ac:dyDescent="0.2"/>
  <cols>
    <col min="1" max="1" width="3.5703125" style="1" bestFit="1" customWidth="1"/>
    <col min="2" max="3" width="30.28515625" style="1" bestFit="1" customWidth="1"/>
    <col min="4" max="4" width="40.85546875" style="1" customWidth="1"/>
    <col min="5" max="5" width="42.28515625" style="1" bestFit="1" customWidth="1"/>
    <col min="6" max="8" width="9.140625" style="1" customWidth="1"/>
    <col min="9" max="9" width="31.42578125" style="1" customWidth="1"/>
    <col min="10" max="15" width="9.140625" style="1" customWidth="1"/>
    <col min="16" max="16384" width="9.140625" style="1"/>
  </cols>
  <sheetData>
    <row r="1" spans="1:11" x14ac:dyDescent="0.2">
      <c r="A1" s="2" t="s">
        <v>0</v>
      </c>
      <c r="B1" s="2" t="s">
        <v>7</v>
      </c>
      <c r="C1" s="2" t="s">
        <v>8</v>
      </c>
      <c r="D1" s="2" t="s">
        <v>9</v>
      </c>
      <c r="E1" s="3" t="s">
        <v>10</v>
      </c>
      <c r="F1" s="4" t="s">
        <v>11</v>
      </c>
      <c r="G1" s="3" t="s">
        <v>12</v>
      </c>
      <c r="I1" s="5" t="s">
        <v>13</v>
      </c>
      <c r="J1" s="4" t="s">
        <v>14</v>
      </c>
      <c r="K1" s="3" t="s">
        <v>15</v>
      </c>
    </row>
    <row r="2" spans="1:11" x14ac:dyDescent="0.2">
      <c r="A2" s="6">
        <v>1</v>
      </c>
      <c r="B2" s="6" t="s">
        <v>6</v>
      </c>
      <c r="C2" s="9" t="s">
        <v>6</v>
      </c>
      <c r="D2" s="10" t="s">
        <v>16</v>
      </c>
      <c r="E2" s="1" t="str">
        <f t="shared" ref="E2:E21" si="0">$E$1&amp;SUBSTITUTE(LOWER(D2), " ", "_")</f>
        <v>dpt_opn_field_account_number</v>
      </c>
      <c r="F2" s="1" t="str">
        <f t="shared" ref="F2:F29" si="1">E2&amp;$F$1&amp;A2&amp;$G$1</f>
        <v>dpt_opn_field_account_number = self.get_value_excel_cell(data_file_fields, column=col_field_name, row=1)</v>
      </c>
      <c r="I2" s="1" t="str">
        <f t="shared" ref="I2:I21" si="2">$I$1&amp;SUBSTITUTE(LOWER(D2), " ", "_")</f>
        <v>dpt_opn_data_account_number</v>
      </c>
      <c r="J2" s="1" t="str">
        <f t="shared" ref="J2:J21" si="3">I2&amp;$J$1&amp;E2&amp;$K$1</f>
        <v>dpt_opn_data_account_number = self.get_value_excel_cell(data_file_data_test, column=dpt_opn_field_account_number, row=row_scenario)</v>
      </c>
      <c r="K2" s="1" t="str">
        <f t="shared" ref="K2:K21" si="4">SUBSTITUTE(D2, " ", "")</f>
        <v>Accountnumber</v>
      </c>
    </row>
    <row r="3" spans="1:11" x14ac:dyDescent="0.2">
      <c r="A3" s="6">
        <v>2</v>
      </c>
      <c r="B3" s="6"/>
      <c r="C3" s="7"/>
      <c r="D3" s="10" t="s">
        <v>17</v>
      </c>
      <c r="E3" s="1" t="str">
        <f t="shared" si="0"/>
        <v>dpt_opn_field_customer_type</v>
      </c>
      <c r="F3" s="1" t="str">
        <f t="shared" si="1"/>
        <v>dpt_opn_field_customer_type = self.get_value_excel_cell(data_file_fields, column=col_field_name, row=2)</v>
      </c>
      <c r="I3" s="1" t="str">
        <f t="shared" si="2"/>
        <v>dpt_opn_data_customer_type</v>
      </c>
      <c r="J3" s="1" t="str">
        <f t="shared" si="3"/>
        <v>dpt_opn_data_customer_type = self.get_value_excel_cell(data_file_data_test, column=dpt_opn_field_customer_type, row=row_scenario)</v>
      </c>
      <c r="K3" s="1" t="str">
        <f t="shared" si="4"/>
        <v>Customertype</v>
      </c>
    </row>
    <row r="4" spans="1:11" x14ac:dyDescent="0.2">
      <c r="A4" s="6">
        <v>3</v>
      </c>
      <c r="B4" s="6"/>
      <c r="C4" s="9"/>
      <c r="D4" s="10" t="s">
        <v>18</v>
      </c>
      <c r="E4" s="1" t="str">
        <f t="shared" si="0"/>
        <v>dpt_opn_field_customer_code</v>
      </c>
      <c r="F4" s="1" t="str">
        <f t="shared" si="1"/>
        <v>dpt_opn_field_customer_code = self.get_value_excel_cell(data_file_fields, column=col_field_name, row=3)</v>
      </c>
      <c r="I4" s="1" t="str">
        <f t="shared" si="2"/>
        <v>dpt_opn_data_customer_code</v>
      </c>
      <c r="J4" s="1" t="str">
        <f t="shared" si="3"/>
        <v>dpt_opn_data_customer_code = self.get_value_excel_cell(data_file_data_test, column=dpt_opn_field_customer_code, row=row_scenario)</v>
      </c>
      <c r="K4" s="1" t="str">
        <f t="shared" si="4"/>
        <v>Customercode</v>
      </c>
    </row>
    <row r="5" spans="1:11" x14ac:dyDescent="0.2">
      <c r="A5" s="6">
        <v>4</v>
      </c>
      <c r="B5" s="8"/>
      <c r="C5" s="8"/>
      <c r="D5" s="10" t="s">
        <v>19</v>
      </c>
      <c r="E5" s="1" t="str">
        <f t="shared" si="0"/>
        <v>dpt_opn_field_relation_customers</v>
      </c>
      <c r="F5" s="1" t="str">
        <f t="shared" si="1"/>
        <v>dpt_opn_field_relation_customers = self.get_value_excel_cell(data_file_fields, column=col_field_name, row=4)</v>
      </c>
      <c r="I5" s="1" t="str">
        <f t="shared" si="2"/>
        <v>dpt_opn_data_relation_customers</v>
      </c>
      <c r="J5" s="1" t="str">
        <f t="shared" si="3"/>
        <v>dpt_opn_data_relation_customers = self.get_value_excel_cell(data_file_data_test, column=dpt_opn_field_relation_customers, row=row_scenario)</v>
      </c>
      <c r="K5" s="1" t="str">
        <f t="shared" si="4"/>
        <v>Relationcustomers</v>
      </c>
    </row>
    <row r="6" spans="1:11" x14ac:dyDescent="0.2">
      <c r="A6" s="6">
        <v>5</v>
      </c>
      <c r="B6" s="8"/>
      <c r="C6" s="8"/>
      <c r="D6" s="10" t="s">
        <v>20</v>
      </c>
      <c r="E6" s="1" t="str">
        <f t="shared" si="0"/>
        <v>dpt_opn_field_catalogue_code</v>
      </c>
      <c r="F6" s="1" t="str">
        <f t="shared" si="1"/>
        <v>dpt_opn_field_catalogue_code = self.get_value_excel_cell(data_file_fields, column=col_field_name, row=5)</v>
      </c>
      <c r="I6" s="1" t="str">
        <f t="shared" si="2"/>
        <v>dpt_opn_data_catalogue_code</v>
      </c>
      <c r="J6" s="1" t="str">
        <f t="shared" si="3"/>
        <v>dpt_opn_data_catalogue_code = self.get_value_excel_cell(data_file_data_test, column=dpt_opn_field_catalogue_code, row=row_scenario)</v>
      </c>
      <c r="K6" s="1" t="str">
        <f t="shared" si="4"/>
        <v>Cataloguecode</v>
      </c>
    </row>
    <row r="7" spans="1:11" x14ac:dyDescent="0.2">
      <c r="A7" s="6">
        <v>6</v>
      </c>
      <c r="B7" s="8"/>
      <c r="C7" s="8"/>
      <c r="D7" s="10" t="s">
        <v>21</v>
      </c>
      <c r="E7" s="1" t="str">
        <f t="shared" si="0"/>
        <v>dpt_opn_field_catalogue_name</v>
      </c>
      <c r="F7" s="1" t="str">
        <f t="shared" si="1"/>
        <v>dpt_opn_field_catalogue_name = self.get_value_excel_cell(data_file_fields, column=col_field_name, row=6)</v>
      </c>
      <c r="I7" s="1" t="str">
        <f t="shared" si="2"/>
        <v>dpt_opn_data_catalogue_name</v>
      </c>
      <c r="J7" s="1" t="str">
        <f t="shared" si="3"/>
        <v>dpt_opn_data_catalogue_name = self.get_value_excel_cell(data_file_data_test, column=dpt_opn_field_catalogue_name, row=row_scenario)</v>
      </c>
      <c r="K7" s="1" t="str">
        <f t="shared" si="4"/>
        <v>Cataloguename</v>
      </c>
    </row>
    <row r="8" spans="1:11" x14ac:dyDescent="0.2">
      <c r="A8" s="6">
        <v>7</v>
      </c>
      <c r="B8" s="8"/>
      <c r="C8" s="8"/>
      <c r="D8" s="10" t="s">
        <v>22</v>
      </c>
      <c r="E8" s="1" t="str">
        <f t="shared" si="0"/>
        <v>dpt_opn_field_deposit_type</v>
      </c>
      <c r="F8" s="1" t="str">
        <f t="shared" si="1"/>
        <v>dpt_opn_field_deposit_type = self.get_value_excel_cell(data_file_fields, column=col_field_name, row=7)</v>
      </c>
      <c r="I8" s="1" t="str">
        <f t="shared" si="2"/>
        <v>dpt_opn_data_deposit_type</v>
      </c>
      <c r="J8" s="1" t="str">
        <f t="shared" si="3"/>
        <v>dpt_opn_data_deposit_type = self.get_value_excel_cell(data_file_data_test, column=dpt_opn_field_deposit_type, row=row_scenario)</v>
      </c>
      <c r="K8" s="1" t="str">
        <f t="shared" si="4"/>
        <v>Deposittype</v>
      </c>
    </row>
    <row r="9" spans="1:11" x14ac:dyDescent="0.2">
      <c r="A9" s="6">
        <v>8</v>
      </c>
      <c r="B9" s="8"/>
      <c r="C9" s="8"/>
      <c r="D9" s="10" t="s">
        <v>23</v>
      </c>
      <c r="E9" s="1" t="str">
        <f t="shared" si="0"/>
        <v>dpt_opn_field_deposit_sub_type</v>
      </c>
      <c r="F9" s="1" t="str">
        <f t="shared" si="1"/>
        <v>dpt_opn_field_deposit_sub_type = self.get_value_excel_cell(data_file_fields, column=col_field_name, row=8)</v>
      </c>
      <c r="I9" s="1" t="str">
        <f t="shared" si="2"/>
        <v>dpt_opn_data_deposit_sub_type</v>
      </c>
      <c r="J9" s="1" t="str">
        <f t="shared" si="3"/>
        <v>dpt_opn_data_deposit_sub_type = self.get_value_excel_cell(data_file_data_test, column=dpt_opn_field_deposit_sub_type, row=row_scenario)</v>
      </c>
      <c r="K9" s="1" t="str">
        <f t="shared" si="4"/>
        <v>Depositsubtype</v>
      </c>
    </row>
    <row r="10" spans="1:11" x14ac:dyDescent="0.2">
      <c r="A10" s="6">
        <v>9</v>
      </c>
      <c r="B10" s="8"/>
      <c r="C10" s="8"/>
      <c r="D10" s="10" t="s">
        <v>24</v>
      </c>
      <c r="E10" s="1" t="str">
        <f t="shared" si="0"/>
        <v>dpt_opn_field_deposit_purpose</v>
      </c>
      <c r="F10" s="1" t="str">
        <f t="shared" si="1"/>
        <v>dpt_opn_field_deposit_purpose = self.get_value_excel_cell(data_file_fields, column=col_field_name, row=9)</v>
      </c>
      <c r="I10" s="1" t="str">
        <f t="shared" si="2"/>
        <v>dpt_opn_data_deposit_purpose</v>
      </c>
      <c r="J10" s="1" t="str">
        <f t="shared" si="3"/>
        <v>dpt_opn_data_deposit_purpose = self.get_value_excel_cell(data_file_data_test, column=dpt_opn_field_deposit_purpose, row=row_scenario)</v>
      </c>
      <c r="K10" s="1" t="str">
        <f t="shared" si="4"/>
        <v>Depositpurpose</v>
      </c>
    </row>
    <row r="11" spans="1:11" x14ac:dyDescent="0.2">
      <c r="A11" s="6">
        <v>10</v>
      </c>
      <c r="B11" s="8"/>
      <c r="C11" s="8"/>
      <c r="D11" s="10" t="s">
        <v>25</v>
      </c>
      <c r="E11" s="1" t="str">
        <f t="shared" si="0"/>
        <v>dpt_opn_field_customer_segmentation</v>
      </c>
      <c r="F11" s="1" t="str">
        <f t="shared" si="1"/>
        <v>dpt_opn_field_customer_segmentation = self.get_value_excel_cell(data_file_fields, column=col_field_name, row=10)</v>
      </c>
      <c r="I11" s="1" t="str">
        <f t="shared" si="2"/>
        <v>dpt_opn_data_customer_segmentation</v>
      </c>
      <c r="J11" s="1" t="str">
        <f t="shared" si="3"/>
        <v>dpt_opn_data_customer_segmentation = self.get_value_excel_cell(data_file_data_test, column=dpt_opn_field_customer_segmentation, row=row_scenario)</v>
      </c>
      <c r="K11" s="1" t="str">
        <f t="shared" si="4"/>
        <v>Customersegmentation</v>
      </c>
    </row>
    <row r="12" spans="1:11" x14ac:dyDescent="0.2">
      <c r="A12" s="6">
        <v>11</v>
      </c>
      <c r="B12" s="8"/>
      <c r="C12" s="8"/>
      <c r="D12" s="10" t="s">
        <v>26</v>
      </c>
      <c r="E12" s="1" t="str">
        <f t="shared" si="0"/>
        <v>dpt_opn_field_account_holder_name</v>
      </c>
      <c r="F12" s="1" t="str">
        <f t="shared" si="1"/>
        <v>dpt_opn_field_account_holder_name = self.get_value_excel_cell(data_file_fields, column=col_field_name, row=11)</v>
      </c>
      <c r="I12" s="1" t="str">
        <f t="shared" si="2"/>
        <v>dpt_opn_data_account_holder_name</v>
      </c>
      <c r="J12" s="1" t="str">
        <f t="shared" si="3"/>
        <v>dpt_opn_data_account_holder_name = self.get_value_excel_cell(data_file_data_test, column=dpt_opn_field_account_holder_name, row=row_scenario)</v>
      </c>
      <c r="K12" s="1" t="str">
        <f t="shared" si="4"/>
        <v>Accountholdername</v>
      </c>
    </row>
    <row r="13" spans="1:11" x14ac:dyDescent="0.2">
      <c r="A13" s="6">
        <v>12</v>
      </c>
      <c r="B13" s="8"/>
      <c r="C13" s="8"/>
      <c r="D13" s="10" t="s">
        <v>27</v>
      </c>
      <c r="E13" s="1" t="str">
        <f t="shared" si="0"/>
        <v>dpt_opn_field_business_purpose_code</v>
      </c>
      <c r="F13" s="1" t="str">
        <f t="shared" si="1"/>
        <v>dpt_opn_field_business_purpose_code = self.get_value_excel_cell(data_file_fields, column=col_field_name, row=12)</v>
      </c>
      <c r="I13" s="1" t="str">
        <f t="shared" si="2"/>
        <v>dpt_opn_data_business_purpose_code</v>
      </c>
      <c r="J13" s="1" t="str">
        <f t="shared" si="3"/>
        <v>dpt_opn_data_business_purpose_code = self.get_value_excel_cell(data_file_data_test, column=dpt_opn_field_business_purpose_code, row=row_scenario)</v>
      </c>
      <c r="K13" s="1" t="str">
        <f t="shared" si="4"/>
        <v>BusinessPurposeCode</v>
      </c>
    </row>
    <row r="14" spans="1:11" x14ac:dyDescent="0.2">
      <c r="A14" s="6">
        <v>13</v>
      </c>
      <c r="B14" s="8"/>
      <c r="C14" s="8"/>
      <c r="D14" s="10" t="s">
        <v>28</v>
      </c>
      <c r="E14" s="1" t="str">
        <f t="shared" si="0"/>
        <v>dpt_opn_field_rollover_option</v>
      </c>
      <c r="F14" s="1" t="str">
        <f t="shared" si="1"/>
        <v>dpt_opn_field_rollover_option = self.get_value_excel_cell(data_file_fields, column=col_field_name, row=13)</v>
      </c>
      <c r="I14" s="1" t="str">
        <f t="shared" si="2"/>
        <v>dpt_opn_data_rollover_option</v>
      </c>
      <c r="J14" s="1" t="str">
        <f t="shared" si="3"/>
        <v>dpt_opn_data_rollover_option = self.get_value_excel_cell(data_file_data_test, column=dpt_opn_field_rollover_option, row=row_scenario)</v>
      </c>
      <c r="K14" s="1" t="str">
        <f t="shared" si="4"/>
        <v>Rolloveroption</v>
      </c>
    </row>
    <row r="15" spans="1:11" x14ac:dyDescent="0.2">
      <c r="A15" s="6">
        <v>14</v>
      </c>
      <c r="B15" s="8"/>
      <c r="C15" s="8"/>
      <c r="D15" s="10" t="s">
        <v>29</v>
      </c>
      <c r="E15" s="1" t="str">
        <f t="shared" si="0"/>
        <v>dpt_opn_field_auto_transfer_option</v>
      </c>
      <c r="F15" s="1" t="str">
        <f t="shared" si="1"/>
        <v>dpt_opn_field_auto_transfer_option = self.get_value_excel_cell(data_file_fields, column=col_field_name, row=14)</v>
      </c>
      <c r="I15" s="1" t="str">
        <f t="shared" si="2"/>
        <v>dpt_opn_data_auto_transfer_option</v>
      </c>
      <c r="J15" s="1" t="str">
        <f t="shared" si="3"/>
        <v>dpt_opn_data_auto_transfer_option = self.get_value_excel_cell(data_file_data_test, column=dpt_opn_field_auto_transfer_option, row=row_scenario)</v>
      </c>
      <c r="K15" s="1" t="str">
        <f t="shared" si="4"/>
        <v>Autotransferoption</v>
      </c>
    </row>
    <row r="16" spans="1:11" x14ac:dyDescent="0.2">
      <c r="A16" s="6">
        <v>15</v>
      </c>
      <c r="B16" s="8"/>
      <c r="C16" s="8"/>
      <c r="D16" s="10" t="s">
        <v>30</v>
      </c>
      <c r="E16" s="1" t="str">
        <f t="shared" si="0"/>
        <v>dpt_opn_field_to_account_number</v>
      </c>
      <c r="F16" s="1" t="str">
        <f t="shared" si="1"/>
        <v>dpt_opn_field_to_account_number = self.get_value_excel_cell(data_file_fields, column=col_field_name, row=15)</v>
      </c>
      <c r="I16" s="1" t="str">
        <f t="shared" si="2"/>
        <v>dpt_opn_data_to_account_number</v>
      </c>
      <c r="J16" s="1" t="str">
        <f t="shared" si="3"/>
        <v>dpt_opn_data_to_account_number = self.get_value_excel_cell(data_file_data_test, column=dpt_opn_field_to_account_number, row=row_scenario)</v>
      </c>
      <c r="K16" s="1" t="str">
        <f t="shared" si="4"/>
        <v>ToAccountnumber</v>
      </c>
    </row>
    <row r="17" spans="1:11" x14ac:dyDescent="0.2">
      <c r="A17" s="6">
        <v>16</v>
      </c>
      <c r="B17" s="8"/>
      <c r="C17" s="8"/>
      <c r="D17" s="10" t="s">
        <v>31</v>
      </c>
      <c r="E17" s="1" t="str">
        <f t="shared" si="0"/>
        <v>dpt_opn_field_agent_hub_referral</v>
      </c>
      <c r="F17" s="1" t="str">
        <f t="shared" si="1"/>
        <v>dpt_opn_field_agent_hub_referral = self.get_value_excel_cell(data_file_fields, column=col_field_name, row=16)</v>
      </c>
      <c r="I17" s="1" t="str">
        <f t="shared" si="2"/>
        <v>dpt_opn_data_agent_hub_referral</v>
      </c>
      <c r="J17" s="1" t="str">
        <f t="shared" si="3"/>
        <v>dpt_opn_data_agent_hub_referral = self.get_value_excel_cell(data_file_data_test, column=dpt_opn_field_agent_hub_referral, row=row_scenario)</v>
      </c>
      <c r="K17" s="1" t="str">
        <f t="shared" si="4"/>
        <v>Agenthubreferral</v>
      </c>
    </row>
    <row r="18" spans="1:11" x14ac:dyDescent="0.2">
      <c r="A18" s="6">
        <v>17</v>
      </c>
      <c r="B18" s="8"/>
      <c r="C18" s="8"/>
      <c r="D18" s="10" t="s">
        <v>32</v>
      </c>
      <c r="E18" s="1" t="str">
        <f t="shared" si="0"/>
        <v>dpt_opn_field_employer_organization_name</v>
      </c>
      <c r="F18" s="1" t="str">
        <f t="shared" si="1"/>
        <v>dpt_opn_field_employer_organization_name = self.get_value_excel_cell(data_file_fields, column=col_field_name, row=17)</v>
      </c>
      <c r="I18" s="1" t="str">
        <f t="shared" si="2"/>
        <v>dpt_opn_data_employer_organization_name</v>
      </c>
      <c r="J18" s="1" t="str">
        <f t="shared" si="3"/>
        <v>dpt_opn_data_employer_organization_name = self.get_value_excel_cell(data_file_data_test, column=dpt_opn_field_employer_organization_name, row=row_scenario)</v>
      </c>
      <c r="K18" s="1" t="str">
        <f t="shared" si="4"/>
        <v>EmployerOrganizationName</v>
      </c>
    </row>
    <row r="19" spans="1:11" x14ac:dyDescent="0.2">
      <c r="A19" s="6">
        <v>18</v>
      </c>
      <c r="B19" s="8"/>
      <c r="C19" s="8"/>
      <c r="D19" s="10" t="s">
        <v>33</v>
      </c>
      <c r="E19" s="1" t="str">
        <f t="shared" si="0"/>
        <v>dpt_opn_field_reason_of_account_opening</v>
      </c>
      <c r="F19" s="1" t="str">
        <f t="shared" si="1"/>
        <v>dpt_opn_field_reason_of_account_opening = self.get_value_excel_cell(data_file_fields, column=col_field_name, row=18)</v>
      </c>
      <c r="I19" s="1" t="str">
        <f t="shared" si="2"/>
        <v>dpt_opn_data_reason_of_account_opening</v>
      </c>
      <c r="J19" s="1" t="str">
        <f t="shared" si="3"/>
        <v>dpt_opn_data_reason_of_account_opening = self.get_value_excel_cell(data_file_data_test, column=dpt_opn_field_reason_of_account_opening, row=row_scenario)</v>
      </c>
      <c r="K19" s="1" t="str">
        <f t="shared" si="4"/>
        <v>ReasonofAccountOpening</v>
      </c>
    </row>
    <row r="20" spans="1:11" x14ac:dyDescent="0.2">
      <c r="A20" s="6">
        <v>19</v>
      </c>
      <c r="B20" s="8"/>
      <c r="C20" s="8"/>
      <c r="D20" s="10" t="s">
        <v>34</v>
      </c>
      <c r="E20" s="1" t="str">
        <f t="shared" si="0"/>
        <v>dpt_opn_field_relationship_manager</v>
      </c>
      <c r="F20" s="1" t="str">
        <f t="shared" si="1"/>
        <v>dpt_opn_field_relationship_manager = self.get_value_excel_cell(data_file_fields, column=col_field_name, row=19)</v>
      </c>
      <c r="I20" s="1" t="str">
        <f t="shared" si="2"/>
        <v>dpt_opn_data_relationship_manager</v>
      </c>
      <c r="J20" s="1" t="str">
        <f t="shared" si="3"/>
        <v>dpt_opn_data_relationship_manager = self.get_value_excel_cell(data_file_data_test, column=dpt_opn_field_relationship_manager, row=row_scenario)</v>
      </c>
      <c r="K20" s="1" t="str">
        <f t="shared" si="4"/>
        <v>RelationshipManager</v>
      </c>
    </row>
    <row r="21" spans="1:11" x14ac:dyDescent="0.2">
      <c r="A21" s="6">
        <v>20</v>
      </c>
      <c r="B21" s="8"/>
      <c r="C21" s="8"/>
      <c r="D21" s="10" t="s">
        <v>35</v>
      </c>
      <c r="E21" s="1" t="str">
        <f t="shared" si="0"/>
        <v>dpt_opn_field_description</v>
      </c>
      <c r="F21" s="1" t="str">
        <f t="shared" si="1"/>
        <v>dpt_opn_field_description = self.get_value_excel_cell(data_file_fields, column=col_field_name, row=20)</v>
      </c>
      <c r="I21" s="1" t="str">
        <f t="shared" si="2"/>
        <v>dpt_opn_data_description</v>
      </c>
      <c r="J21" s="1" t="str">
        <f t="shared" si="3"/>
        <v>dpt_opn_data_description = self.get_value_excel_cell(data_file_data_test, column=dpt_opn_field_description, row=row_scenario)</v>
      </c>
      <c r="K21" s="1" t="str">
        <f t="shared" si="4"/>
        <v>Description</v>
      </c>
    </row>
    <row r="22" spans="1:11" x14ac:dyDescent="0.2">
      <c r="A22" s="6">
        <v>21</v>
      </c>
      <c r="B22" s="8"/>
      <c r="C22" s="8"/>
      <c r="D22" s="9" t="s">
        <v>36</v>
      </c>
      <c r="E22" s="1" t="s">
        <v>37</v>
      </c>
      <c r="F22" s="1" t="str">
        <f t="shared" si="1"/>
        <v>dpt_opn_field_im_banking = self.get_value_excel_cell(data_file_fields, column=col_field_name, row=21)</v>
      </c>
    </row>
    <row r="23" spans="1:11" x14ac:dyDescent="0.2">
      <c r="A23" s="6">
        <v>22</v>
      </c>
      <c r="B23" s="8"/>
      <c r="C23" s="8"/>
      <c r="D23" s="9" t="s">
        <v>38</v>
      </c>
      <c r="E23" s="1" t="str">
        <f>$E$1&amp;SUBSTITUTE(LOWER(D23), " ", "_")</f>
        <v>dpt_opn_field_mpu_card</v>
      </c>
      <c r="F23" s="1" t="str">
        <f t="shared" si="1"/>
        <v>dpt_opn_field_mpu_card = self.get_value_excel_cell(data_file_fields, column=col_field_name, row=22)</v>
      </c>
    </row>
    <row r="24" spans="1:11" x14ac:dyDescent="0.2">
      <c r="A24" s="6">
        <v>23</v>
      </c>
      <c r="B24" s="8"/>
      <c r="C24" s="8"/>
      <c r="D24" s="9" t="s">
        <v>39</v>
      </c>
      <c r="E24" s="1" t="s">
        <v>40</v>
      </c>
      <c r="F24" s="1" t="str">
        <f t="shared" si="1"/>
        <v>dpt_opn_field_passbook_cheque_book = self.get_value_excel_cell(data_file_fields, column=col_field_name, row=23)</v>
      </c>
    </row>
    <row r="25" spans="1:11" x14ac:dyDescent="0.2">
      <c r="A25" s="6">
        <v>24</v>
      </c>
      <c r="B25" s="8"/>
      <c r="C25" s="8"/>
      <c r="D25" s="9" t="s">
        <v>41</v>
      </c>
      <c r="E25" s="1" t="str">
        <f>$E$1&amp;SUBSTITUTE(LOWER(D25), " ", "_")</f>
        <v>dpt_opn_field_wallet</v>
      </c>
      <c r="F25" s="1" t="str">
        <f t="shared" si="1"/>
        <v>dpt_opn_field_wallet = self.get_value_excel_cell(data_file_fields, column=col_field_name, row=24)</v>
      </c>
    </row>
    <row r="26" spans="1:11" x14ac:dyDescent="0.2">
      <c r="A26" s="6">
        <v>25</v>
      </c>
      <c r="B26" s="8"/>
      <c r="C26" s="8"/>
      <c r="D26" s="9" t="s">
        <v>42</v>
      </c>
      <c r="E26" s="1" t="s">
        <v>43</v>
      </c>
      <c r="F26" s="1" t="str">
        <f t="shared" si="1"/>
        <v>dpt_opn_field_caution = self.get_value_excel_cell(data_file_fields, column=col_field_name, row=25)</v>
      </c>
    </row>
    <row r="27" spans="1:11" x14ac:dyDescent="0.2">
      <c r="A27" s="6">
        <v>26</v>
      </c>
      <c r="B27" s="8"/>
      <c r="C27" s="8"/>
      <c r="D27" s="9" t="s">
        <v>44</v>
      </c>
      <c r="E27" s="1" t="s">
        <v>45</v>
      </c>
      <c r="F27" s="1" t="str">
        <f t="shared" si="1"/>
        <v>dpt_opn_field_accept = self.get_value_excel_cell(data_file_fields, column=col_field_name, row=26)</v>
      </c>
    </row>
    <row r="28" spans="1:11" x14ac:dyDescent="0.2">
      <c r="A28" s="6">
        <v>27</v>
      </c>
      <c r="B28" s="8"/>
      <c r="C28" s="8"/>
      <c r="D28" s="9" t="s">
        <v>46</v>
      </c>
      <c r="E28" s="1" t="s">
        <v>47</v>
      </c>
      <c r="F28" s="1" t="str">
        <f t="shared" si="1"/>
        <v>dpt_opn_field_saved_successfully = self.get_value_excel_cell(data_file_fields, column=col_field_name, row=27)</v>
      </c>
    </row>
    <row r="29" spans="1:11" x14ac:dyDescent="0.2">
      <c r="A29" s="6">
        <v>28</v>
      </c>
      <c r="B29" s="8"/>
      <c r="C29" s="8"/>
      <c r="D29" s="9" t="s">
        <v>48</v>
      </c>
      <c r="E29" s="1" t="str">
        <f>$E$1&amp;SUBSTITUTE(LOWER(D29), " ", "_")</f>
        <v>dpt_opn_field_transaction_references</v>
      </c>
      <c r="F29" s="1" t="str">
        <f t="shared" si="1"/>
        <v>dpt_opn_field_transaction_references = self.get_value_excel_cell(data_file_fields, column=col_field_name, row=28)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"/>
  <sheetViews>
    <sheetView workbookViewId="0">
      <selection activeCell="D34" sqref="D34"/>
    </sheetView>
  </sheetViews>
  <sheetFormatPr defaultRowHeight="12.75" x14ac:dyDescent="0.2"/>
  <cols>
    <col min="1" max="1" width="3.42578125" style="1" bestFit="1" customWidth="1"/>
    <col min="2" max="2" width="14.7109375" style="1" bestFit="1" customWidth="1"/>
    <col min="3" max="3" width="14.5703125" style="1" bestFit="1" customWidth="1"/>
    <col min="4" max="4" width="13.7109375" style="1" bestFit="1" customWidth="1"/>
    <col min="5" max="5" width="17.28515625" style="1" bestFit="1" customWidth="1"/>
    <col min="6" max="6" width="14" style="1" bestFit="1" customWidth="1"/>
    <col min="7" max="7" width="14.5703125" style="1" bestFit="1" customWidth="1"/>
    <col min="8" max="8" width="11.42578125" style="1" bestFit="1" customWidth="1"/>
    <col min="9" max="9" width="15.140625" style="1" bestFit="1" customWidth="1"/>
    <col min="10" max="10" width="14.5703125" style="1" bestFit="1" customWidth="1"/>
    <col min="11" max="11" width="21" style="1" bestFit="1" customWidth="1"/>
    <col min="12" max="12" width="18.85546875" style="1" bestFit="1" customWidth="1"/>
    <col min="13" max="13" width="21.42578125" style="1" bestFit="1" customWidth="1"/>
    <col min="14" max="14" width="13.140625" style="1" bestFit="1" customWidth="1"/>
    <col min="15" max="16" width="17.42578125" style="1" bestFit="1" customWidth="1"/>
    <col min="17" max="17" width="15.7109375" style="1" bestFit="1" customWidth="1"/>
    <col min="18" max="18" width="34.85546875" style="1" bestFit="1" customWidth="1"/>
    <col min="19" max="19" width="33.140625" style="1" bestFit="1" customWidth="1"/>
    <col min="20" max="20" width="19.7109375" style="1" bestFit="1" customWidth="1"/>
    <col min="21" max="21" width="11.7109375" style="1" bestFit="1" customWidth="1"/>
    <col min="22" max="27" width="9.140625" style="1" customWidth="1"/>
    <col min="28" max="16384" width="9.140625" style="1"/>
  </cols>
  <sheetData>
    <row r="1" spans="1:21" x14ac:dyDescent="0.2">
      <c r="A1" s="7" t="s">
        <v>0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  <c r="I1" s="10" t="s">
        <v>23</v>
      </c>
      <c r="J1" s="10" t="s">
        <v>24</v>
      </c>
      <c r="K1" s="10" t="s">
        <v>25</v>
      </c>
      <c r="L1" s="10" t="s">
        <v>26</v>
      </c>
      <c r="M1" s="10" t="s">
        <v>27</v>
      </c>
      <c r="N1" s="10" t="s">
        <v>28</v>
      </c>
      <c r="O1" s="10" t="s">
        <v>29</v>
      </c>
      <c r="P1" s="10" t="s">
        <v>30</v>
      </c>
      <c r="Q1" s="10" t="s">
        <v>31</v>
      </c>
      <c r="R1" s="10" t="s">
        <v>32</v>
      </c>
      <c r="S1" s="10" t="s">
        <v>33</v>
      </c>
      <c r="T1" s="10" t="s">
        <v>34</v>
      </c>
      <c r="U1" s="10" t="s">
        <v>35</v>
      </c>
    </row>
    <row r="2" spans="1:21" x14ac:dyDescent="0.2">
      <c r="A2" s="8">
        <v>1</v>
      </c>
      <c r="B2" s="8"/>
      <c r="C2" s="8" t="s">
        <v>49</v>
      </c>
      <c r="D2" s="8" t="s">
        <v>50</v>
      </c>
      <c r="E2" s="8"/>
      <c r="F2" s="8" t="s">
        <v>51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 t="s">
        <v>52</v>
      </c>
      <c r="S2" s="8" t="s">
        <v>53</v>
      </c>
      <c r="T2" s="8" t="s">
        <v>54</v>
      </c>
      <c r="U2" s="8" t="s">
        <v>55</v>
      </c>
    </row>
    <row r="3" spans="1:21" x14ac:dyDescent="0.2">
      <c r="A3" s="8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x14ac:dyDescent="0.2">
      <c r="A4" s="8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1" x14ac:dyDescent="0.2">
      <c r="A5" s="8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1" x14ac:dyDescent="0.2">
      <c r="A6" s="8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x14ac:dyDescent="0.2">
      <c r="A7" s="8">
        <v>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x14ac:dyDescent="0.2">
      <c r="A8" s="8">
        <v>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x14ac:dyDescent="0.2">
      <c r="A9" s="8">
        <v>8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x14ac:dyDescent="0.2">
      <c r="A10" s="8">
        <v>9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x14ac:dyDescent="0.2">
      <c r="A11" s="8">
        <v>10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"/>
  <sheetViews>
    <sheetView workbookViewId="0">
      <selection activeCell="B2" sqref="B2"/>
    </sheetView>
  </sheetViews>
  <sheetFormatPr defaultRowHeight="12.75" x14ac:dyDescent="0.2"/>
  <cols>
    <col min="1" max="1" width="3.5703125" style="1" bestFit="1" customWidth="1"/>
    <col min="2" max="3" width="30.28515625" style="1" bestFit="1" customWidth="1"/>
    <col min="4" max="4" width="29.140625" style="1" customWidth="1"/>
    <col min="5" max="5" width="42.28515625" style="1" bestFit="1" customWidth="1"/>
    <col min="6" max="8" width="9.140625" style="1" customWidth="1"/>
    <col min="9" max="9" width="31.42578125" style="1" customWidth="1"/>
    <col min="10" max="15" width="9.140625" style="1" customWidth="1"/>
    <col min="16" max="16384" width="9.140625" style="1"/>
  </cols>
  <sheetData>
    <row r="1" spans="1:11" x14ac:dyDescent="0.2">
      <c r="A1" s="2" t="s">
        <v>0</v>
      </c>
      <c r="B1" s="2" t="s">
        <v>7</v>
      </c>
      <c r="C1" s="2" t="s">
        <v>8</v>
      </c>
      <c r="D1" s="2" t="s">
        <v>9</v>
      </c>
      <c r="E1" s="3" t="s">
        <v>56</v>
      </c>
      <c r="F1" s="4" t="s">
        <v>57</v>
      </c>
      <c r="G1" s="3" t="s">
        <v>12</v>
      </c>
      <c r="I1" s="5" t="s">
        <v>58</v>
      </c>
      <c r="J1" s="4" t="s">
        <v>59</v>
      </c>
      <c r="K1" s="3" t="s">
        <v>60</v>
      </c>
    </row>
    <row r="2" spans="1:11" x14ac:dyDescent="0.2">
      <c r="A2" s="6">
        <v>1</v>
      </c>
      <c r="B2" s="6" t="s">
        <v>61</v>
      </c>
      <c r="C2" s="9" t="s">
        <v>61</v>
      </c>
      <c r="D2" s="10" t="s">
        <v>16</v>
      </c>
      <c r="E2" s="1" t="str">
        <f t="shared" ref="E2:E15" si="0">$E$1&amp;SUBSTITUTE(SUBSTITUTE(LOWER(D2), " ", "_"), "!", "")</f>
        <v>dpt_apr_field_account_number</v>
      </c>
      <c r="F2" s="1" t="str">
        <f t="shared" ref="F2:F15" si="1">E2&amp;$F$1&amp;A2&amp;$G$1</f>
        <v>dpt_apr_field_account_number = self.get_value_excel_cell(file_form_dpt_apr, column=col_field_name, row=1)</v>
      </c>
      <c r="I2" s="1" t="str">
        <f t="shared" ref="I2:I12" si="2">$I$1&amp;SUBSTITUTE(LOWER(D2), " ", "_")</f>
        <v>dpt_apr_data_account_number</v>
      </c>
      <c r="J2" s="1" t="str">
        <f t="shared" ref="J2:J12" si="3">I2&amp;$J$1&amp;E2&amp;$K$1</f>
        <v>dpt_apr_data_account_number = self.get_value_excel_cell(file_data_dpt_apr, column=dpt_apr_field_account_number, row=row_data_dpt_apr)</v>
      </c>
    </row>
    <row r="3" spans="1:11" x14ac:dyDescent="0.2">
      <c r="A3" s="6">
        <v>2</v>
      </c>
      <c r="B3" s="6"/>
      <c r="C3" s="7"/>
      <c r="D3" s="10" t="s">
        <v>26</v>
      </c>
      <c r="E3" s="1" t="str">
        <f t="shared" si="0"/>
        <v>dpt_apr_field_account_holder_name</v>
      </c>
      <c r="F3" s="1" t="str">
        <f t="shared" si="1"/>
        <v>dpt_apr_field_account_holder_name = self.get_value_excel_cell(file_form_dpt_apr, column=col_field_name, row=2)</v>
      </c>
      <c r="I3" s="1" t="str">
        <f t="shared" si="2"/>
        <v>dpt_apr_data_account_holder_name</v>
      </c>
      <c r="J3" s="1" t="str">
        <f t="shared" si="3"/>
        <v>dpt_apr_data_account_holder_name = self.get_value_excel_cell(file_data_dpt_apr, column=dpt_apr_field_account_holder_name, row=row_data_dpt_apr)</v>
      </c>
    </row>
    <row r="4" spans="1:11" x14ac:dyDescent="0.2">
      <c r="A4" s="6">
        <v>3</v>
      </c>
      <c r="B4" s="6"/>
      <c r="C4" s="9"/>
      <c r="D4" s="10" t="s">
        <v>62</v>
      </c>
      <c r="E4" s="1" t="str">
        <f t="shared" si="0"/>
        <v>dpt_apr_field_account_holding_branch_name</v>
      </c>
      <c r="F4" s="1" t="str">
        <f t="shared" si="1"/>
        <v>dpt_apr_field_account_holding_branch_name = self.get_value_excel_cell(file_form_dpt_apr, column=col_field_name, row=3)</v>
      </c>
      <c r="I4" s="1" t="str">
        <f t="shared" si="2"/>
        <v>dpt_apr_data_account_holding_branch_name</v>
      </c>
      <c r="J4" s="1" t="str">
        <f t="shared" si="3"/>
        <v>dpt_apr_data_account_holding_branch_name = self.get_value_excel_cell(file_data_dpt_apr, column=dpt_apr_field_account_holding_branch_name, row=row_data_dpt_apr)</v>
      </c>
    </row>
    <row r="5" spans="1:11" x14ac:dyDescent="0.2">
      <c r="A5" s="6">
        <v>4</v>
      </c>
      <c r="B5" s="8"/>
      <c r="C5" s="8"/>
      <c r="D5" s="10" t="s">
        <v>20</v>
      </c>
      <c r="E5" s="1" t="str">
        <f t="shared" si="0"/>
        <v>dpt_apr_field_catalogue_code</v>
      </c>
      <c r="F5" s="1" t="str">
        <f t="shared" si="1"/>
        <v>dpt_apr_field_catalogue_code = self.get_value_excel_cell(file_form_dpt_apr, column=col_field_name, row=4)</v>
      </c>
      <c r="I5" s="1" t="str">
        <f t="shared" si="2"/>
        <v>dpt_apr_data_catalogue_code</v>
      </c>
      <c r="J5" s="1" t="str">
        <f t="shared" si="3"/>
        <v>dpt_apr_data_catalogue_code = self.get_value_excel_cell(file_data_dpt_apr, column=dpt_apr_field_catalogue_code, row=row_data_dpt_apr)</v>
      </c>
    </row>
    <row r="6" spans="1:11" x14ac:dyDescent="0.2">
      <c r="A6" s="6">
        <v>5</v>
      </c>
      <c r="B6" s="8"/>
      <c r="C6" s="8"/>
      <c r="D6" s="10" t="s">
        <v>21</v>
      </c>
      <c r="E6" s="1" t="str">
        <f t="shared" si="0"/>
        <v>dpt_apr_field_catalogue_name</v>
      </c>
      <c r="F6" s="1" t="str">
        <f t="shared" si="1"/>
        <v>dpt_apr_field_catalogue_name = self.get_value_excel_cell(file_form_dpt_apr, column=col_field_name, row=5)</v>
      </c>
      <c r="I6" s="1" t="str">
        <f t="shared" si="2"/>
        <v>dpt_apr_data_catalogue_name</v>
      </c>
      <c r="J6" s="1" t="str">
        <f t="shared" si="3"/>
        <v>dpt_apr_data_catalogue_name = self.get_value_excel_cell(file_data_dpt_apr, column=dpt_apr_field_catalogue_name, row=row_data_dpt_apr)</v>
      </c>
    </row>
    <row r="7" spans="1:11" x14ac:dyDescent="0.2">
      <c r="A7" s="6">
        <v>6</v>
      </c>
      <c r="B7" s="8"/>
      <c r="C7" s="8"/>
      <c r="D7" s="10" t="s">
        <v>25</v>
      </c>
      <c r="E7" s="1" t="str">
        <f t="shared" si="0"/>
        <v>dpt_apr_field_customer_segmentation</v>
      </c>
      <c r="F7" s="1" t="str">
        <f t="shared" si="1"/>
        <v>dpt_apr_field_customer_segmentation = self.get_value_excel_cell(file_form_dpt_apr, column=col_field_name, row=6)</v>
      </c>
      <c r="I7" s="1" t="str">
        <f t="shared" si="2"/>
        <v>dpt_apr_data_customer_segmentation</v>
      </c>
      <c r="J7" s="1" t="str">
        <f t="shared" si="3"/>
        <v>dpt_apr_data_customer_segmentation = self.get_value_excel_cell(file_data_dpt_apr, column=dpt_apr_field_customer_segmentation, row=row_data_dpt_apr)</v>
      </c>
    </row>
    <row r="8" spans="1:11" x14ac:dyDescent="0.2">
      <c r="A8" s="6">
        <v>7</v>
      </c>
      <c r="B8" s="8"/>
      <c r="C8" s="8"/>
      <c r="D8" s="10" t="s">
        <v>22</v>
      </c>
      <c r="E8" s="1" t="str">
        <f t="shared" si="0"/>
        <v>dpt_apr_field_deposit_type</v>
      </c>
      <c r="F8" s="1" t="str">
        <f t="shared" si="1"/>
        <v>dpt_apr_field_deposit_type = self.get_value_excel_cell(file_form_dpt_apr, column=col_field_name, row=7)</v>
      </c>
      <c r="I8" s="1" t="str">
        <f t="shared" si="2"/>
        <v>dpt_apr_data_deposit_type</v>
      </c>
      <c r="J8" s="1" t="str">
        <f t="shared" si="3"/>
        <v>dpt_apr_data_deposit_type = self.get_value_excel_cell(file_data_dpt_apr, column=dpt_apr_field_deposit_type, row=row_data_dpt_apr)</v>
      </c>
    </row>
    <row r="9" spans="1:11" x14ac:dyDescent="0.2">
      <c r="A9" s="6">
        <v>8</v>
      </c>
      <c r="B9" s="8"/>
      <c r="C9" s="8"/>
      <c r="D9" s="10" t="s">
        <v>23</v>
      </c>
      <c r="E9" s="1" t="str">
        <f t="shared" si="0"/>
        <v>dpt_apr_field_deposit_sub_type</v>
      </c>
      <c r="F9" s="1" t="str">
        <f t="shared" si="1"/>
        <v>dpt_apr_field_deposit_sub_type = self.get_value_excel_cell(file_form_dpt_apr, column=col_field_name, row=8)</v>
      </c>
      <c r="I9" s="1" t="str">
        <f t="shared" si="2"/>
        <v>dpt_apr_data_deposit_sub_type</v>
      </c>
      <c r="J9" s="1" t="str">
        <f t="shared" si="3"/>
        <v>dpt_apr_data_deposit_sub_type = self.get_value_excel_cell(file_data_dpt_apr, column=dpt_apr_field_deposit_sub_type, row=row_data_dpt_apr)</v>
      </c>
    </row>
    <row r="10" spans="1:11" x14ac:dyDescent="0.2">
      <c r="A10" s="6">
        <v>9</v>
      </c>
      <c r="B10" s="8"/>
      <c r="C10" s="8"/>
      <c r="D10" s="10" t="s">
        <v>63</v>
      </c>
      <c r="E10" s="1" t="str">
        <f t="shared" si="0"/>
        <v>dpt_apr_field_linkage_account_number</v>
      </c>
      <c r="F10" s="1" t="str">
        <f t="shared" si="1"/>
        <v>dpt_apr_field_linkage_account_number = self.get_value_excel_cell(file_form_dpt_apr, column=col_field_name, row=9)</v>
      </c>
      <c r="I10" s="1" t="str">
        <f t="shared" si="2"/>
        <v>dpt_apr_data_linkage_account_number</v>
      </c>
      <c r="J10" s="1" t="str">
        <f t="shared" si="3"/>
        <v>dpt_apr_data_linkage_account_number = self.get_value_excel_cell(file_data_dpt_apr, column=dpt_apr_field_linkage_account_number, row=row_data_dpt_apr)</v>
      </c>
    </row>
    <row r="11" spans="1:11" x14ac:dyDescent="0.2">
      <c r="A11" s="6">
        <v>10</v>
      </c>
      <c r="B11" s="8"/>
      <c r="C11" s="8"/>
      <c r="D11" s="10" t="s">
        <v>64</v>
      </c>
      <c r="E11" s="1" t="str">
        <f t="shared" si="0"/>
        <v>dpt_apr_field_created_by</v>
      </c>
      <c r="F11" s="1" t="str">
        <f t="shared" si="1"/>
        <v>dpt_apr_field_created_by = self.get_value_excel_cell(file_form_dpt_apr, column=col_field_name, row=10)</v>
      </c>
      <c r="I11" s="1" t="str">
        <f t="shared" si="2"/>
        <v>dpt_apr_data_created_by</v>
      </c>
      <c r="J11" s="1" t="str">
        <f t="shared" si="3"/>
        <v>dpt_apr_data_created_by = self.get_value_excel_cell(file_data_dpt_apr, column=dpt_apr_field_created_by, row=row_data_dpt_apr)</v>
      </c>
    </row>
    <row r="12" spans="1:11" x14ac:dyDescent="0.2">
      <c r="A12" s="6">
        <v>11</v>
      </c>
      <c r="B12" s="8"/>
      <c r="C12" s="8"/>
      <c r="D12" s="10" t="s">
        <v>35</v>
      </c>
      <c r="E12" s="1" t="str">
        <f t="shared" si="0"/>
        <v>dpt_apr_field_description</v>
      </c>
      <c r="F12" s="1" t="str">
        <f t="shared" si="1"/>
        <v>dpt_apr_field_description = self.get_value_excel_cell(file_form_dpt_apr, column=col_field_name, row=11)</v>
      </c>
      <c r="I12" s="1" t="str">
        <f t="shared" si="2"/>
        <v>dpt_apr_data_description</v>
      </c>
      <c r="J12" s="1" t="str">
        <f t="shared" si="3"/>
        <v>dpt_apr_data_description = self.get_value_excel_cell(file_data_dpt_apr, column=dpt_apr_field_description, row=row_data_dpt_apr)</v>
      </c>
    </row>
    <row r="13" spans="1:11" x14ac:dyDescent="0.2">
      <c r="A13" s="6">
        <v>12</v>
      </c>
      <c r="B13" s="8"/>
      <c r="C13" s="8"/>
      <c r="D13" s="9" t="s">
        <v>44</v>
      </c>
      <c r="E13" s="1" t="str">
        <f t="shared" si="0"/>
        <v>dpt_apr_field_accept</v>
      </c>
      <c r="F13" s="1" t="str">
        <f t="shared" si="1"/>
        <v>dpt_apr_field_accept = self.get_value_excel_cell(file_form_dpt_apr, column=col_field_name, row=12)</v>
      </c>
    </row>
    <row r="14" spans="1:11" x14ac:dyDescent="0.2">
      <c r="A14" s="6">
        <v>13</v>
      </c>
      <c r="B14" s="8"/>
      <c r="C14" s="8"/>
      <c r="D14" s="9" t="s">
        <v>46</v>
      </c>
      <c r="E14" s="1" t="str">
        <f t="shared" si="0"/>
        <v>dpt_apr_field_saved_successfully</v>
      </c>
      <c r="F14" s="1" t="str">
        <f t="shared" si="1"/>
        <v>dpt_apr_field_saved_successfully = self.get_value_excel_cell(file_form_dpt_apr, column=col_field_name, row=13)</v>
      </c>
    </row>
    <row r="15" spans="1:11" x14ac:dyDescent="0.2">
      <c r="A15" s="6">
        <v>14</v>
      </c>
      <c r="B15" s="8"/>
      <c r="C15" s="8"/>
      <c r="D15" s="9" t="s">
        <v>48</v>
      </c>
      <c r="E15" s="1" t="str">
        <f t="shared" si="0"/>
        <v>dpt_apr_field_transaction_references</v>
      </c>
      <c r="F15" s="1" t="str">
        <f t="shared" si="1"/>
        <v>dpt_apr_field_transaction_references = self.get_value_excel_cell(file_form_dpt_apr, column=col_field_name, row=14)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"/>
  <sheetViews>
    <sheetView workbookViewId="0">
      <selection activeCell="D32" sqref="D32"/>
    </sheetView>
  </sheetViews>
  <sheetFormatPr defaultRowHeight="12.75" x14ac:dyDescent="0.2"/>
  <cols>
    <col min="1" max="1" width="3.42578125" style="1" bestFit="1" customWidth="1"/>
    <col min="2" max="2" width="15.7109375" style="1" bestFit="1" customWidth="1"/>
    <col min="3" max="3" width="18.85546875" style="1" bestFit="1" customWidth="1"/>
    <col min="4" max="4" width="26.140625" style="1" bestFit="1" customWidth="1"/>
    <col min="5" max="5" width="14" style="1" bestFit="1" customWidth="1"/>
    <col min="6" max="6" width="14.5703125" style="1" bestFit="1" customWidth="1"/>
    <col min="7" max="7" width="21" style="1" bestFit="1" customWidth="1"/>
    <col min="8" max="8" width="11.42578125" style="1" bestFit="1" customWidth="1"/>
    <col min="9" max="9" width="15.140625" style="1" bestFit="1" customWidth="1"/>
    <col min="10" max="10" width="21.7109375" style="1" bestFit="1" customWidth="1"/>
    <col min="11" max="11" width="10" style="1" bestFit="1" customWidth="1"/>
    <col min="12" max="12" width="11.7109375" style="1" bestFit="1" customWidth="1"/>
    <col min="13" max="18" width="9.140625" style="1" customWidth="1"/>
    <col min="19" max="16384" width="9.140625" style="1"/>
  </cols>
  <sheetData>
    <row r="1" spans="1:12" ht="15" customHeight="1" x14ac:dyDescent="0.2">
      <c r="A1" s="12" t="s">
        <v>0</v>
      </c>
      <c r="B1" s="13" t="s">
        <v>16</v>
      </c>
      <c r="C1" s="13" t="s">
        <v>26</v>
      </c>
      <c r="D1" s="13" t="s">
        <v>62</v>
      </c>
      <c r="E1" s="13" t="s">
        <v>20</v>
      </c>
      <c r="F1" s="13" t="s">
        <v>21</v>
      </c>
      <c r="G1" s="13" t="s">
        <v>25</v>
      </c>
      <c r="H1" s="13" t="s">
        <v>22</v>
      </c>
      <c r="I1" s="13" t="s">
        <v>23</v>
      </c>
      <c r="J1" s="13" t="s">
        <v>63</v>
      </c>
      <c r="K1" s="13" t="s">
        <v>64</v>
      </c>
      <c r="L1" s="13" t="s">
        <v>35</v>
      </c>
    </row>
    <row r="2" spans="1:12" x14ac:dyDescent="0.2">
      <c r="A2" s="8">
        <v>1</v>
      </c>
      <c r="B2" s="8" t="s">
        <v>65</v>
      </c>
      <c r="C2" s="8"/>
      <c r="D2" s="8"/>
      <c r="E2" s="8"/>
      <c r="F2" s="8"/>
      <c r="G2" s="8"/>
      <c r="H2" s="8"/>
      <c r="I2" s="8"/>
      <c r="J2" s="8"/>
      <c r="K2" s="8"/>
      <c r="L2" s="8" t="s">
        <v>55</v>
      </c>
    </row>
    <row r="3" spans="1:12" x14ac:dyDescent="0.2">
      <c r="A3" s="8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2">
      <c r="A4" s="8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x14ac:dyDescent="0.2">
      <c r="A5" s="8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x14ac:dyDescent="0.2">
      <c r="A6" s="8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">
      <c r="A7" s="8">
        <v>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">
      <c r="A8" s="8">
        <v>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">
      <c r="A9" s="8">
        <v>8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x14ac:dyDescent="0.2">
      <c r="A10" s="8">
        <v>9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 x14ac:dyDescent="0.2">
      <c r="A11" s="8">
        <v>10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A716-2663-4D61-ACA5-54888CC1B22F}">
  <dimension ref="A1:K15"/>
  <sheetViews>
    <sheetView workbookViewId="0">
      <selection activeCell="B12" sqref="B12"/>
    </sheetView>
  </sheetViews>
  <sheetFormatPr defaultRowHeight="12.75" x14ac:dyDescent="0.2"/>
  <cols>
    <col min="1" max="1" width="3.5703125" style="1" bestFit="1" customWidth="1"/>
    <col min="2" max="3" width="20.28515625" style="1" bestFit="1" customWidth="1"/>
    <col min="4" max="4" width="29.140625" style="1" customWidth="1"/>
    <col min="5" max="5" width="42.28515625" style="1" bestFit="1" customWidth="1"/>
    <col min="6" max="8" width="9.140625" style="1" customWidth="1"/>
    <col min="9" max="9" width="31.42578125" style="1" customWidth="1"/>
    <col min="10" max="15" width="9.140625" style="1" customWidth="1"/>
    <col min="16" max="16384" width="9.140625" style="1"/>
  </cols>
  <sheetData>
    <row r="1" spans="1:11" x14ac:dyDescent="0.2">
      <c r="A1" s="2" t="s">
        <v>0</v>
      </c>
      <c r="B1" s="2" t="s">
        <v>7</v>
      </c>
      <c r="C1" s="2" t="s">
        <v>8</v>
      </c>
      <c r="D1" s="2" t="s">
        <v>9</v>
      </c>
      <c r="E1" s="3" t="str">
        <f>$H$1&amp;"_field_"</f>
        <v>dpt_rej_field_</v>
      </c>
      <c r="F1" s="4" t="str">
        <f>" = self.get_value_excel_cell(file_form_"&amp;$H$1&amp;", column=col_field_name, row="</f>
        <v xml:space="preserve"> = self.get_value_excel_cell(file_form_dpt_rej, column=col_field_name, row=</v>
      </c>
      <c r="G1" s="3" t="s">
        <v>12</v>
      </c>
      <c r="H1" s="14" t="s">
        <v>67</v>
      </c>
      <c r="I1" s="5" t="str">
        <f>$H$1&amp;"_data_"</f>
        <v>dpt_rej_data_</v>
      </c>
      <c r="J1" s="4" t="str">
        <f>" = self.get_value_excel_cell(file_data_"&amp;$H$1&amp;", column="</f>
        <v xml:space="preserve"> = self.get_value_excel_cell(file_data_dpt_rej, column=</v>
      </c>
      <c r="K1" s="3" t="str">
        <f>", row=row_data_"&amp;$H$1&amp;")"</f>
        <v>, row=row_data_dpt_rej)</v>
      </c>
    </row>
    <row r="2" spans="1:11" x14ac:dyDescent="0.2">
      <c r="A2" s="6">
        <v>1</v>
      </c>
      <c r="B2" s="6" t="s">
        <v>66</v>
      </c>
      <c r="C2" s="9" t="s">
        <v>66</v>
      </c>
      <c r="D2" s="10" t="s">
        <v>16</v>
      </c>
      <c r="E2" s="1" t="str">
        <f t="shared" ref="E2:E15" si="0">$E$1&amp;SUBSTITUTE(SUBSTITUTE(LOWER(D2), " ", "_"), "!", "")</f>
        <v>dpt_rej_field_account_number</v>
      </c>
      <c r="F2" s="1" t="str">
        <f t="shared" ref="F2:F15" si="1">E2&amp;$F$1&amp;A2&amp;$G$1</f>
        <v>dpt_rej_field_account_number = self.get_value_excel_cell(file_form_dpt_rej, column=col_field_name, row=1)</v>
      </c>
      <c r="I2" s="1" t="str">
        <f>$I$1&amp;SUBSTITUTE(LOWER(D2), " ", "_")</f>
        <v>dpt_rej_data_account_number</v>
      </c>
      <c r="J2" s="1" t="str">
        <f>I2&amp;$J$1&amp;E2&amp;$K$1</f>
        <v>dpt_rej_data_account_number = self.get_value_excel_cell(file_data_dpt_rej, column=dpt_rej_field_account_number, row=row_data_dpt_rej)</v>
      </c>
    </row>
    <row r="3" spans="1:11" x14ac:dyDescent="0.2">
      <c r="A3" s="6">
        <v>2</v>
      </c>
      <c r="B3" s="6"/>
      <c r="C3" s="7"/>
      <c r="D3" s="10" t="s">
        <v>26</v>
      </c>
      <c r="E3" s="1" t="str">
        <f t="shared" si="0"/>
        <v>dpt_rej_field_account_holder_name</v>
      </c>
      <c r="F3" s="1" t="str">
        <f t="shared" si="1"/>
        <v>dpt_rej_field_account_holder_name = self.get_value_excel_cell(file_form_dpt_rej, column=col_field_name, row=2)</v>
      </c>
      <c r="I3" s="1" t="str">
        <f t="shared" ref="I3:I12" si="2">$I$1&amp;SUBSTITUTE(LOWER(D3), " ", "_")</f>
        <v>dpt_rej_data_account_holder_name</v>
      </c>
      <c r="J3" s="1" t="str">
        <f t="shared" ref="J3:J12" si="3">I3&amp;$J$1&amp;E3&amp;$K$1</f>
        <v>dpt_rej_data_account_holder_name = self.get_value_excel_cell(file_data_dpt_rej, column=dpt_rej_field_account_holder_name, row=row_data_dpt_rej)</v>
      </c>
    </row>
    <row r="4" spans="1:11" x14ac:dyDescent="0.2">
      <c r="A4" s="6">
        <v>3</v>
      </c>
      <c r="B4" s="6"/>
      <c r="C4" s="9"/>
      <c r="D4" s="10" t="s">
        <v>62</v>
      </c>
      <c r="E4" s="1" t="str">
        <f t="shared" si="0"/>
        <v>dpt_rej_field_account_holding_branch_name</v>
      </c>
      <c r="F4" s="1" t="str">
        <f t="shared" si="1"/>
        <v>dpt_rej_field_account_holding_branch_name = self.get_value_excel_cell(file_form_dpt_rej, column=col_field_name, row=3)</v>
      </c>
      <c r="I4" s="1" t="str">
        <f t="shared" si="2"/>
        <v>dpt_rej_data_account_holding_branch_name</v>
      </c>
      <c r="J4" s="1" t="str">
        <f t="shared" si="3"/>
        <v>dpt_rej_data_account_holding_branch_name = self.get_value_excel_cell(file_data_dpt_rej, column=dpt_rej_field_account_holding_branch_name, row=row_data_dpt_rej)</v>
      </c>
    </row>
    <row r="5" spans="1:11" x14ac:dyDescent="0.2">
      <c r="A5" s="6">
        <v>4</v>
      </c>
      <c r="B5" s="8"/>
      <c r="C5" s="8"/>
      <c r="D5" s="10" t="s">
        <v>20</v>
      </c>
      <c r="E5" s="1" t="str">
        <f t="shared" si="0"/>
        <v>dpt_rej_field_catalogue_code</v>
      </c>
      <c r="F5" s="1" t="str">
        <f t="shared" si="1"/>
        <v>dpt_rej_field_catalogue_code = self.get_value_excel_cell(file_form_dpt_rej, column=col_field_name, row=4)</v>
      </c>
      <c r="I5" s="1" t="str">
        <f t="shared" si="2"/>
        <v>dpt_rej_data_catalogue_code</v>
      </c>
      <c r="J5" s="1" t="str">
        <f t="shared" si="3"/>
        <v>dpt_rej_data_catalogue_code = self.get_value_excel_cell(file_data_dpt_rej, column=dpt_rej_field_catalogue_code, row=row_data_dpt_rej)</v>
      </c>
    </row>
    <row r="6" spans="1:11" x14ac:dyDescent="0.2">
      <c r="A6" s="6">
        <v>5</v>
      </c>
      <c r="B6" s="8"/>
      <c r="C6" s="8"/>
      <c r="D6" s="10" t="s">
        <v>21</v>
      </c>
      <c r="E6" s="1" t="str">
        <f t="shared" si="0"/>
        <v>dpt_rej_field_catalogue_name</v>
      </c>
      <c r="F6" s="1" t="str">
        <f t="shared" si="1"/>
        <v>dpt_rej_field_catalogue_name = self.get_value_excel_cell(file_form_dpt_rej, column=col_field_name, row=5)</v>
      </c>
      <c r="I6" s="1" t="str">
        <f t="shared" si="2"/>
        <v>dpt_rej_data_catalogue_name</v>
      </c>
      <c r="J6" s="1" t="str">
        <f t="shared" si="3"/>
        <v>dpt_rej_data_catalogue_name = self.get_value_excel_cell(file_data_dpt_rej, column=dpt_rej_field_catalogue_name, row=row_data_dpt_rej)</v>
      </c>
    </row>
    <row r="7" spans="1:11" x14ac:dyDescent="0.2">
      <c r="A7" s="6">
        <v>6</v>
      </c>
      <c r="B7" s="8"/>
      <c r="C7" s="8"/>
      <c r="D7" s="10" t="s">
        <v>25</v>
      </c>
      <c r="E7" s="1" t="str">
        <f t="shared" si="0"/>
        <v>dpt_rej_field_customer_segmentation</v>
      </c>
      <c r="F7" s="1" t="str">
        <f t="shared" si="1"/>
        <v>dpt_rej_field_customer_segmentation = self.get_value_excel_cell(file_form_dpt_rej, column=col_field_name, row=6)</v>
      </c>
      <c r="I7" s="1" t="str">
        <f t="shared" si="2"/>
        <v>dpt_rej_data_customer_segmentation</v>
      </c>
      <c r="J7" s="1" t="str">
        <f t="shared" si="3"/>
        <v>dpt_rej_data_customer_segmentation = self.get_value_excel_cell(file_data_dpt_rej, column=dpt_rej_field_customer_segmentation, row=row_data_dpt_rej)</v>
      </c>
    </row>
    <row r="8" spans="1:11" x14ac:dyDescent="0.2">
      <c r="A8" s="6">
        <v>7</v>
      </c>
      <c r="B8" s="8"/>
      <c r="C8" s="8"/>
      <c r="D8" s="10" t="s">
        <v>22</v>
      </c>
      <c r="E8" s="1" t="str">
        <f t="shared" si="0"/>
        <v>dpt_rej_field_deposit_type</v>
      </c>
      <c r="F8" s="1" t="str">
        <f t="shared" si="1"/>
        <v>dpt_rej_field_deposit_type = self.get_value_excel_cell(file_form_dpt_rej, column=col_field_name, row=7)</v>
      </c>
      <c r="I8" s="1" t="str">
        <f t="shared" si="2"/>
        <v>dpt_rej_data_deposit_type</v>
      </c>
      <c r="J8" s="1" t="str">
        <f t="shared" si="3"/>
        <v>dpt_rej_data_deposit_type = self.get_value_excel_cell(file_data_dpt_rej, column=dpt_rej_field_deposit_type, row=row_data_dpt_rej)</v>
      </c>
    </row>
    <row r="9" spans="1:11" x14ac:dyDescent="0.2">
      <c r="A9" s="6">
        <v>8</v>
      </c>
      <c r="B9" s="8"/>
      <c r="C9" s="8"/>
      <c r="D9" s="10" t="s">
        <v>23</v>
      </c>
      <c r="E9" s="1" t="str">
        <f t="shared" si="0"/>
        <v>dpt_rej_field_deposit_sub_type</v>
      </c>
      <c r="F9" s="1" t="str">
        <f t="shared" si="1"/>
        <v>dpt_rej_field_deposit_sub_type = self.get_value_excel_cell(file_form_dpt_rej, column=col_field_name, row=8)</v>
      </c>
      <c r="I9" s="1" t="str">
        <f t="shared" si="2"/>
        <v>dpt_rej_data_deposit_sub_type</v>
      </c>
      <c r="J9" s="1" t="str">
        <f t="shared" si="3"/>
        <v>dpt_rej_data_deposit_sub_type = self.get_value_excel_cell(file_data_dpt_rej, column=dpt_rej_field_deposit_sub_type, row=row_data_dpt_rej)</v>
      </c>
    </row>
    <row r="10" spans="1:11" x14ac:dyDescent="0.2">
      <c r="A10" s="6">
        <v>9</v>
      </c>
      <c r="B10" s="8"/>
      <c r="C10" s="8"/>
      <c r="D10" s="10" t="s">
        <v>63</v>
      </c>
      <c r="E10" s="1" t="str">
        <f t="shared" si="0"/>
        <v>dpt_rej_field_linkage_account_number</v>
      </c>
      <c r="F10" s="1" t="str">
        <f t="shared" si="1"/>
        <v>dpt_rej_field_linkage_account_number = self.get_value_excel_cell(file_form_dpt_rej, column=col_field_name, row=9)</v>
      </c>
      <c r="I10" s="1" t="str">
        <f t="shared" si="2"/>
        <v>dpt_rej_data_linkage_account_number</v>
      </c>
      <c r="J10" s="1" t="str">
        <f t="shared" si="3"/>
        <v>dpt_rej_data_linkage_account_number = self.get_value_excel_cell(file_data_dpt_rej, column=dpt_rej_field_linkage_account_number, row=row_data_dpt_rej)</v>
      </c>
    </row>
    <row r="11" spans="1:11" x14ac:dyDescent="0.2">
      <c r="A11" s="6">
        <v>10</v>
      </c>
      <c r="B11" s="8"/>
      <c r="C11" s="8"/>
      <c r="D11" s="10" t="s">
        <v>64</v>
      </c>
      <c r="E11" s="1" t="str">
        <f t="shared" si="0"/>
        <v>dpt_rej_field_created_by</v>
      </c>
      <c r="F11" s="1" t="str">
        <f t="shared" si="1"/>
        <v>dpt_rej_field_created_by = self.get_value_excel_cell(file_form_dpt_rej, column=col_field_name, row=10)</v>
      </c>
      <c r="I11" s="1" t="str">
        <f t="shared" si="2"/>
        <v>dpt_rej_data_created_by</v>
      </c>
      <c r="J11" s="1" t="str">
        <f t="shared" si="3"/>
        <v>dpt_rej_data_created_by = self.get_value_excel_cell(file_data_dpt_rej, column=dpt_rej_field_created_by, row=row_data_dpt_rej)</v>
      </c>
    </row>
    <row r="12" spans="1:11" x14ac:dyDescent="0.2">
      <c r="A12" s="6">
        <v>11</v>
      </c>
      <c r="B12" s="8"/>
      <c r="C12" s="8"/>
      <c r="D12" s="10" t="s">
        <v>35</v>
      </c>
      <c r="E12" s="1" t="str">
        <f t="shared" si="0"/>
        <v>dpt_rej_field_description</v>
      </c>
      <c r="F12" s="1" t="str">
        <f t="shared" si="1"/>
        <v>dpt_rej_field_description = self.get_value_excel_cell(file_form_dpt_rej, column=col_field_name, row=11)</v>
      </c>
      <c r="I12" s="1" t="str">
        <f t="shared" si="2"/>
        <v>dpt_rej_data_description</v>
      </c>
      <c r="J12" s="1" t="str">
        <f t="shared" si="3"/>
        <v>dpt_rej_data_description = self.get_value_excel_cell(file_data_dpt_rej, column=dpt_rej_field_description, row=row_data_dpt_rej)</v>
      </c>
    </row>
    <row r="13" spans="1:11" x14ac:dyDescent="0.2">
      <c r="A13" s="6">
        <v>12</v>
      </c>
      <c r="B13" s="8"/>
      <c r="C13" s="8"/>
      <c r="D13" s="9" t="s">
        <v>44</v>
      </c>
      <c r="E13" s="1" t="str">
        <f t="shared" si="0"/>
        <v>dpt_rej_field_accept</v>
      </c>
      <c r="F13" s="1" t="str">
        <f t="shared" si="1"/>
        <v>dpt_rej_field_accept = self.get_value_excel_cell(file_form_dpt_rej, column=col_field_name, row=12)</v>
      </c>
    </row>
    <row r="14" spans="1:11" x14ac:dyDescent="0.2">
      <c r="A14" s="6">
        <v>13</v>
      </c>
      <c r="B14" s="8"/>
      <c r="C14" s="8"/>
      <c r="D14" s="9" t="s">
        <v>46</v>
      </c>
      <c r="E14" s="1" t="str">
        <f t="shared" si="0"/>
        <v>dpt_rej_field_saved_successfully</v>
      </c>
      <c r="F14" s="1" t="str">
        <f t="shared" si="1"/>
        <v>dpt_rej_field_saved_successfully = self.get_value_excel_cell(file_form_dpt_rej, column=col_field_name, row=13)</v>
      </c>
    </row>
    <row r="15" spans="1:11" x14ac:dyDescent="0.2">
      <c r="A15" s="6">
        <v>14</v>
      </c>
      <c r="B15" s="8"/>
      <c r="C15" s="8"/>
      <c r="D15" s="9" t="s">
        <v>48</v>
      </c>
      <c r="E15" s="1" t="str">
        <f t="shared" si="0"/>
        <v>dpt_rej_field_transaction_references</v>
      </c>
      <c r="F15" s="1" t="str">
        <f t="shared" si="1"/>
        <v>dpt_rej_field_transaction_references = self.get_value_excel_cell(file_form_dpt_rej, column=col_field_name, row=14)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B15AB-9207-4363-A5C2-A3EC91659086}">
  <dimension ref="A1:L11"/>
  <sheetViews>
    <sheetView workbookViewId="0">
      <selection activeCell="D37" sqref="D37"/>
    </sheetView>
  </sheetViews>
  <sheetFormatPr defaultRowHeight="12.75" x14ac:dyDescent="0.2"/>
  <cols>
    <col min="1" max="1" width="3.42578125" style="1" bestFit="1" customWidth="1"/>
    <col min="2" max="2" width="15.7109375" style="1" bestFit="1" customWidth="1"/>
    <col min="3" max="3" width="18.85546875" style="1" bestFit="1" customWidth="1"/>
    <col min="4" max="4" width="26.140625" style="1" bestFit="1" customWidth="1"/>
    <col min="5" max="5" width="14" style="1" bestFit="1" customWidth="1"/>
    <col min="6" max="6" width="14.5703125" style="1" bestFit="1" customWidth="1"/>
    <col min="7" max="7" width="21" style="1" bestFit="1" customWidth="1"/>
    <col min="8" max="8" width="11.42578125" style="1" bestFit="1" customWidth="1"/>
    <col min="9" max="9" width="15.140625" style="1" bestFit="1" customWidth="1"/>
    <col min="10" max="10" width="21.7109375" style="1" bestFit="1" customWidth="1"/>
    <col min="11" max="11" width="10" style="1" bestFit="1" customWidth="1"/>
    <col min="12" max="12" width="11.7109375" style="1" bestFit="1" customWidth="1"/>
    <col min="13" max="18" width="9.140625" style="1" customWidth="1"/>
    <col min="19" max="16384" width="9.140625" style="1"/>
  </cols>
  <sheetData>
    <row r="1" spans="1:12" ht="15" customHeight="1" x14ac:dyDescent="0.2">
      <c r="A1" s="12" t="s">
        <v>0</v>
      </c>
      <c r="B1" s="10" t="s">
        <v>16</v>
      </c>
      <c r="C1" s="10" t="s">
        <v>26</v>
      </c>
      <c r="D1" s="10" t="s">
        <v>62</v>
      </c>
      <c r="E1" s="10" t="s">
        <v>20</v>
      </c>
      <c r="F1" s="10" t="s">
        <v>21</v>
      </c>
      <c r="G1" s="10" t="s">
        <v>25</v>
      </c>
      <c r="H1" s="10" t="s">
        <v>22</v>
      </c>
      <c r="I1" s="10" t="s">
        <v>23</v>
      </c>
      <c r="J1" s="10" t="s">
        <v>63</v>
      </c>
      <c r="K1" s="10" t="s">
        <v>64</v>
      </c>
      <c r="L1" s="10" t="s">
        <v>35</v>
      </c>
    </row>
    <row r="2" spans="1:12" x14ac:dyDescent="0.2">
      <c r="A2" s="8">
        <v>1</v>
      </c>
      <c r="B2" s="8" t="s">
        <v>68</v>
      </c>
      <c r="C2" s="8"/>
      <c r="D2" s="8"/>
      <c r="E2" s="8"/>
      <c r="F2" s="8"/>
      <c r="G2" s="8"/>
      <c r="H2" s="8"/>
      <c r="I2" s="8"/>
      <c r="J2" s="8"/>
      <c r="K2" s="8"/>
      <c r="L2" s="8" t="s">
        <v>55</v>
      </c>
    </row>
    <row r="3" spans="1:12" x14ac:dyDescent="0.2">
      <c r="A3" s="8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2">
      <c r="A4" s="8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x14ac:dyDescent="0.2">
      <c r="A5" s="8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x14ac:dyDescent="0.2">
      <c r="A6" s="8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">
      <c r="A7" s="8">
        <v>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">
      <c r="A8" s="8">
        <v>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">
      <c r="A9" s="8">
        <v>8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x14ac:dyDescent="0.2">
      <c r="A10" s="8">
        <v>9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 x14ac:dyDescent="0.2">
      <c r="A11" s="8">
        <v>10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4A24-8623-4E6B-A3C1-50C3CE80AADA}">
  <dimension ref="A1:L69"/>
  <sheetViews>
    <sheetView topLeftCell="A28" workbookViewId="0">
      <selection activeCell="F60" sqref="F60"/>
    </sheetView>
  </sheetViews>
  <sheetFormatPr defaultRowHeight="12.75" x14ac:dyDescent="0.2"/>
  <cols>
    <col min="1" max="1" width="3.5703125" style="1" bestFit="1" customWidth="1"/>
    <col min="2" max="3" width="17.28515625" style="1" bestFit="1" customWidth="1"/>
    <col min="4" max="4" width="29.140625" style="1" customWidth="1"/>
    <col min="5" max="5" width="8" style="1" bestFit="1" customWidth="1"/>
    <col min="6" max="6" width="39.42578125" style="1" bestFit="1" customWidth="1"/>
    <col min="7" max="7" width="9.140625" style="1" customWidth="1"/>
    <col min="8" max="8" width="1.5703125" style="1" bestFit="1" customWidth="1"/>
    <col min="9" max="9" width="7.5703125" style="1" bestFit="1" customWidth="1"/>
    <col min="10" max="10" width="31.42578125" style="1" customWidth="1"/>
    <col min="11" max="16" width="9.140625" style="1" customWidth="1"/>
    <col min="17" max="16384" width="9.140625" style="1"/>
  </cols>
  <sheetData>
    <row r="1" spans="1:12" x14ac:dyDescent="0.2">
      <c r="A1" s="2" t="s">
        <v>0</v>
      </c>
      <c r="B1" s="2" t="s">
        <v>7</v>
      </c>
      <c r="C1" s="2" t="s">
        <v>8</v>
      </c>
      <c r="D1" s="2" t="s">
        <v>9</v>
      </c>
      <c r="E1" s="20"/>
      <c r="F1" s="3" t="str">
        <f>$I$1&amp;"_field_"</f>
        <v>dpt_cdp_field_</v>
      </c>
      <c r="G1" s="4" t="str">
        <f>" = self.get_value_excel_cell(file_form_"&amp;$I$1&amp;", column=col_field_name, row="</f>
        <v xml:space="preserve"> = self.get_value_excel_cell(file_form_dpt_cdp, column=col_field_name, row=</v>
      </c>
      <c r="H1" s="3" t="s">
        <v>12</v>
      </c>
      <c r="I1" s="14" t="s">
        <v>77</v>
      </c>
      <c r="J1" s="5" t="str">
        <f>$I$1&amp;"_data_"</f>
        <v>dpt_cdp_data_</v>
      </c>
      <c r="K1" s="4" t="str">
        <f>" = self.get_value_excel_cell(file_data_"&amp;$I$1&amp;", column="</f>
        <v xml:space="preserve"> = self.get_value_excel_cell(file_data_dpt_cdp, column=</v>
      </c>
      <c r="L1" s="3" t="str">
        <f>", row=row_data_"&amp;$I$1&amp;")"</f>
        <v>, row=row_data_dpt_cdp)</v>
      </c>
    </row>
    <row r="2" spans="1:12" x14ac:dyDescent="0.2">
      <c r="A2" s="6">
        <v>1</v>
      </c>
      <c r="B2" s="6" t="s">
        <v>75</v>
      </c>
      <c r="C2" s="9" t="s">
        <v>75</v>
      </c>
      <c r="D2" s="10" t="s">
        <v>16</v>
      </c>
      <c r="E2" s="21"/>
      <c r="F2" s="1" t="str">
        <f>$F$1&amp;E2&amp;SUBSTITUTE(SUBSTITUTE(SUBSTITUTE(LOWER(D2)," ","_"),"!",""),"interest/fee/charge","ifc")</f>
        <v>dpt_cdp_field_account_number</v>
      </c>
      <c r="G2" s="1" t="str">
        <f>F2&amp;$G$1&amp;A2&amp;$H$1</f>
        <v>dpt_cdp_field_account_number = self.get_value_excel_cell(file_form_dpt_cdp, column=col_field_name, row=1)</v>
      </c>
      <c r="J2" s="17" t="str">
        <f t="shared" ref="J2:J33" si="0">$J$1&amp;SUBSTITUTE(SUBSTITUTE(SUBSTITUTE(LOWER(D2), " ", "_"),"!",""),"interest/fee/charge","ifc")</f>
        <v>dpt_cdp_data_account_number</v>
      </c>
      <c r="K2" s="17" t="str">
        <f>J2&amp;$K$1&amp;F2&amp;$L$1</f>
        <v>dpt_cdp_data_account_number = self.get_value_excel_cell(file_data_dpt_cdp, column=dpt_cdp_field_account_number, row=row_data_dpt_cdp)</v>
      </c>
    </row>
    <row r="3" spans="1:12" x14ac:dyDescent="0.2">
      <c r="A3" s="6">
        <v>2</v>
      </c>
      <c r="B3" s="6"/>
      <c r="C3" s="7"/>
      <c r="D3" s="10" t="s">
        <v>62</v>
      </c>
      <c r="E3" s="21"/>
      <c r="F3" s="1" t="str">
        <f t="shared" ref="F3:F65" si="1">$F$1&amp;E3&amp;SUBSTITUTE(SUBSTITUTE(SUBSTITUTE(LOWER(D3)," ","_"),"!",""),"interest/fee/charge","ifc")</f>
        <v>dpt_cdp_field_account_holding_branch_name</v>
      </c>
      <c r="G3" s="1" t="str">
        <f t="shared" ref="G3:G66" si="2">F3&amp;$G$1&amp;A3&amp;$H$1</f>
        <v>dpt_cdp_field_account_holding_branch_name = self.get_value_excel_cell(file_form_dpt_cdp, column=col_field_name, row=2)</v>
      </c>
      <c r="J3" s="17" t="str">
        <f t="shared" si="0"/>
        <v>dpt_cdp_data_account_holding_branch_name</v>
      </c>
      <c r="K3" s="17" t="str">
        <f t="shared" ref="K3:K55" si="3">J3&amp;$K$1&amp;F3&amp;$L$1</f>
        <v>dpt_cdp_data_account_holding_branch_name = self.get_value_excel_cell(file_data_dpt_cdp, column=dpt_cdp_field_account_holding_branch_name, row=row_data_dpt_cdp)</v>
      </c>
    </row>
    <row r="4" spans="1:12" x14ac:dyDescent="0.2">
      <c r="A4" s="6">
        <v>3</v>
      </c>
      <c r="B4" s="6"/>
      <c r="C4" s="9"/>
      <c r="D4" s="10" t="s">
        <v>76</v>
      </c>
      <c r="E4" s="21"/>
      <c r="F4" s="1" t="str">
        <f t="shared" si="1"/>
        <v>dpt_cdp_field_amount_deposit</v>
      </c>
      <c r="G4" s="1" t="str">
        <f t="shared" si="2"/>
        <v>dpt_cdp_field_amount_deposit = self.get_value_excel_cell(file_form_dpt_cdp, column=col_field_name, row=3)</v>
      </c>
      <c r="J4" s="17" t="str">
        <f t="shared" si="0"/>
        <v>dpt_cdp_data_amount_deposit</v>
      </c>
      <c r="K4" s="17" t="str">
        <f t="shared" si="3"/>
        <v>dpt_cdp_data_amount_deposit = self.get_value_excel_cell(file_data_dpt_cdp, column=dpt_cdp_field_amount_deposit, row=row_data_dpt_cdp)</v>
      </c>
    </row>
    <row r="5" spans="1:12" x14ac:dyDescent="0.2">
      <c r="A5" s="6">
        <v>4</v>
      </c>
      <c r="B5" s="8"/>
      <c r="C5" s="8"/>
      <c r="D5" s="10" t="s">
        <v>78</v>
      </c>
      <c r="E5" s="21"/>
      <c r="F5" s="1" t="str">
        <f t="shared" si="1"/>
        <v>dpt_cdp_field_depositor_name</v>
      </c>
      <c r="G5" s="1" t="str">
        <f t="shared" si="2"/>
        <v>dpt_cdp_field_depositor_name = self.get_value_excel_cell(file_form_dpt_cdp, column=col_field_name, row=4)</v>
      </c>
      <c r="J5" s="17" t="str">
        <f t="shared" si="0"/>
        <v>dpt_cdp_data_depositor_name</v>
      </c>
      <c r="K5" s="17" t="str">
        <f t="shared" si="3"/>
        <v>dpt_cdp_data_depositor_name = self.get_value_excel_cell(file_data_dpt_cdp, column=dpt_cdp_field_depositor_name, row=row_data_dpt_cdp)</v>
      </c>
    </row>
    <row r="6" spans="1:12" x14ac:dyDescent="0.2">
      <c r="A6" s="6">
        <v>5</v>
      </c>
      <c r="B6" s="8"/>
      <c r="C6" s="8"/>
      <c r="D6" s="10" t="s">
        <v>79</v>
      </c>
      <c r="E6" s="21"/>
      <c r="F6" s="1" t="str">
        <f t="shared" si="1"/>
        <v>dpt_cdp_field_depositor_code</v>
      </c>
      <c r="G6" s="1" t="str">
        <f t="shared" si="2"/>
        <v>dpt_cdp_field_depositor_code = self.get_value_excel_cell(file_form_dpt_cdp, column=col_field_name, row=5)</v>
      </c>
      <c r="J6" s="17" t="str">
        <f t="shared" si="0"/>
        <v>dpt_cdp_data_depositor_code</v>
      </c>
      <c r="K6" s="17" t="str">
        <f t="shared" si="3"/>
        <v>dpt_cdp_data_depositor_code = self.get_value_excel_cell(file_data_dpt_cdp, column=dpt_cdp_field_depositor_code, row=row_data_dpt_cdp)</v>
      </c>
    </row>
    <row r="7" spans="1:12" x14ac:dyDescent="0.2">
      <c r="A7" s="6">
        <v>6</v>
      </c>
      <c r="B7" s="8"/>
      <c r="C7" s="8"/>
      <c r="D7" s="10" t="s">
        <v>80</v>
      </c>
      <c r="E7" s="21"/>
      <c r="F7" s="1" t="str">
        <f t="shared" si="1"/>
        <v>dpt_cdp_field_depositor_address</v>
      </c>
      <c r="G7" s="1" t="str">
        <f t="shared" si="2"/>
        <v>dpt_cdp_field_depositor_address = self.get_value_excel_cell(file_form_dpt_cdp, column=col_field_name, row=6)</v>
      </c>
      <c r="J7" s="17" t="str">
        <f t="shared" si="0"/>
        <v>dpt_cdp_data_depositor_address</v>
      </c>
      <c r="K7" s="17" t="str">
        <f t="shared" si="3"/>
        <v>dpt_cdp_data_depositor_address = self.get_value_excel_cell(file_data_dpt_cdp, column=dpt_cdp_field_depositor_address, row=row_data_dpt_cdp)</v>
      </c>
    </row>
    <row r="8" spans="1:12" x14ac:dyDescent="0.2">
      <c r="A8" s="6">
        <v>7</v>
      </c>
      <c r="B8" s="8"/>
      <c r="C8" s="8"/>
      <c r="D8" s="10" t="s">
        <v>81</v>
      </c>
      <c r="E8" s="21"/>
      <c r="F8" s="1" t="str">
        <f t="shared" si="1"/>
        <v>dpt_cdp_field_mobile_phone</v>
      </c>
      <c r="G8" s="1" t="str">
        <f t="shared" si="2"/>
        <v>dpt_cdp_field_mobile_phone = self.get_value_excel_cell(file_form_dpt_cdp, column=col_field_name, row=7)</v>
      </c>
      <c r="J8" s="17" t="str">
        <f t="shared" si="0"/>
        <v>dpt_cdp_data_mobile_phone</v>
      </c>
      <c r="K8" s="17" t="str">
        <f t="shared" si="3"/>
        <v>dpt_cdp_data_mobile_phone = self.get_value_excel_cell(file_data_dpt_cdp, column=dpt_cdp_field_mobile_phone, row=row_data_dpt_cdp)</v>
      </c>
    </row>
    <row r="9" spans="1:12" x14ac:dyDescent="0.2">
      <c r="A9" s="6">
        <v>8</v>
      </c>
      <c r="B9" s="8"/>
      <c r="C9" s="8"/>
      <c r="D9" s="10" t="s">
        <v>83</v>
      </c>
      <c r="E9" s="21"/>
      <c r="F9" s="1" t="str">
        <f t="shared" si="1"/>
        <v>dpt_cdp_field_nrc</v>
      </c>
      <c r="G9" s="1" t="str">
        <f t="shared" si="2"/>
        <v>dpt_cdp_field_nrc = self.get_value_excel_cell(file_form_dpt_cdp, column=col_field_name, row=8)</v>
      </c>
      <c r="J9" s="17" t="str">
        <f t="shared" si="0"/>
        <v>dpt_cdp_data_nrc</v>
      </c>
      <c r="K9" s="17" t="str">
        <f t="shared" si="3"/>
        <v>dpt_cdp_data_nrc = self.get_value_excel_cell(file_data_dpt_cdp, column=dpt_cdp_field_nrc, row=row_data_dpt_cdp)</v>
      </c>
    </row>
    <row r="10" spans="1:12" x14ac:dyDescent="0.2">
      <c r="A10" s="6">
        <v>9</v>
      </c>
      <c r="B10" s="8"/>
      <c r="C10" s="8"/>
      <c r="D10" s="10" t="s">
        <v>35</v>
      </c>
      <c r="E10" s="21"/>
      <c r="F10" s="1" t="str">
        <f t="shared" si="1"/>
        <v>dpt_cdp_field_description</v>
      </c>
      <c r="G10" s="1" t="str">
        <f t="shared" si="2"/>
        <v>dpt_cdp_field_description = self.get_value_excel_cell(file_form_dpt_cdp, column=col_field_name, row=9)</v>
      </c>
      <c r="J10" s="17" t="str">
        <f t="shared" si="0"/>
        <v>dpt_cdp_data_description</v>
      </c>
      <c r="K10" s="17" t="str">
        <f t="shared" si="3"/>
        <v>dpt_cdp_data_description = self.get_value_excel_cell(file_data_dpt_cdp, column=dpt_cdp_field_description, row=row_data_dpt_cdp)</v>
      </c>
    </row>
    <row r="11" spans="1:12" x14ac:dyDescent="0.2">
      <c r="A11" s="6">
        <v>10</v>
      </c>
      <c r="B11" s="15"/>
      <c r="C11" s="15"/>
      <c r="D11" s="16" t="s">
        <v>90</v>
      </c>
      <c r="E11" s="21"/>
      <c r="F11" s="1" t="str">
        <f t="shared" si="1"/>
        <v>dpt_cdp_field_ifc_code_01</v>
      </c>
      <c r="G11" s="1" t="str">
        <f t="shared" si="2"/>
        <v>dpt_cdp_field_ifc_code_01 = self.get_value_excel_cell(file_form_dpt_cdp, column=col_field_name, row=10)</v>
      </c>
      <c r="J11" s="17" t="str">
        <f t="shared" si="0"/>
        <v>dpt_cdp_data_ifc_code_01</v>
      </c>
      <c r="K11" s="17" t="str">
        <f t="shared" si="3"/>
        <v>dpt_cdp_data_ifc_code_01 = self.get_value_excel_cell(file_data_dpt_cdp, column=dpt_cdp_field_ifc_code_01, row=row_data_dpt_cdp)</v>
      </c>
    </row>
    <row r="12" spans="1:12" x14ac:dyDescent="0.2">
      <c r="A12" s="6">
        <v>11</v>
      </c>
      <c r="B12" s="15"/>
      <c r="C12" s="15"/>
      <c r="D12" s="16" t="s">
        <v>91</v>
      </c>
      <c r="E12" s="21"/>
      <c r="F12" s="1" t="str">
        <f t="shared" si="1"/>
        <v>dpt_cdp_field_value_01</v>
      </c>
      <c r="G12" s="1" t="str">
        <f t="shared" si="2"/>
        <v>dpt_cdp_field_value_01 = self.get_value_excel_cell(file_form_dpt_cdp, column=col_field_name, row=11)</v>
      </c>
      <c r="J12" s="17" t="str">
        <f t="shared" si="0"/>
        <v>dpt_cdp_data_value_01</v>
      </c>
      <c r="K12" s="17" t="str">
        <f t="shared" si="3"/>
        <v>dpt_cdp_data_value_01 = self.get_value_excel_cell(file_data_dpt_cdp, column=dpt_cdp_field_value_01, row=row_data_dpt_cdp)</v>
      </c>
    </row>
    <row r="13" spans="1:12" x14ac:dyDescent="0.2">
      <c r="A13" s="6">
        <v>12</v>
      </c>
      <c r="B13" s="15"/>
      <c r="C13" s="15"/>
      <c r="D13" s="16" t="s">
        <v>92</v>
      </c>
      <c r="E13" s="21"/>
      <c r="F13" s="1" t="str">
        <f t="shared" si="1"/>
        <v>dpt_cdp_field_ifc_code_02</v>
      </c>
      <c r="G13" s="1" t="str">
        <f t="shared" si="2"/>
        <v>dpt_cdp_field_ifc_code_02 = self.get_value_excel_cell(file_form_dpt_cdp, column=col_field_name, row=12)</v>
      </c>
      <c r="J13" s="17" t="str">
        <f t="shared" si="0"/>
        <v>dpt_cdp_data_ifc_code_02</v>
      </c>
      <c r="K13" s="17" t="str">
        <f t="shared" si="3"/>
        <v>dpt_cdp_data_ifc_code_02 = self.get_value_excel_cell(file_data_dpt_cdp, column=dpt_cdp_field_ifc_code_02, row=row_data_dpt_cdp)</v>
      </c>
    </row>
    <row r="14" spans="1:12" x14ac:dyDescent="0.2">
      <c r="A14" s="6">
        <v>13</v>
      </c>
      <c r="B14" s="15"/>
      <c r="C14" s="15"/>
      <c r="D14" s="16" t="s">
        <v>93</v>
      </c>
      <c r="E14" s="21"/>
      <c r="F14" s="1" t="str">
        <f t="shared" si="1"/>
        <v>dpt_cdp_field_value_02</v>
      </c>
      <c r="G14" s="1" t="str">
        <f t="shared" si="2"/>
        <v>dpt_cdp_field_value_02 = self.get_value_excel_cell(file_form_dpt_cdp, column=col_field_name, row=13)</v>
      </c>
      <c r="J14" s="17" t="str">
        <f t="shared" si="0"/>
        <v>dpt_cdp_data_value_02</v>
      </c>
      <c r="K14" s="17" t="str">
        <f t="shared" si="3"/>
        <v>dpt_cdp_data_value_02 = self.get_value_excel_cell(file_data_dpt_cdp, column=dpt_cdp_field_value_02, row=row_data_dpt_cdp)</v>
      </c>
    </row>
    <row r="15" spans="1:12" x14ac:dyDescent="0.2">
      <c r="A15" s="6">
        <v>14</v>
      </c>
      <c r="B15" s="15"/>
      <c r="C15" s="15"/>
      <c r="D15" s="16" t="s">
        <v>98</v>
      </c>
      <c r="E15" s="21"/>
      <c r="F15" s="1" t="str">
        <f t="shared" si="1"/>
        <v>dpt_cdp_field_total_fee</v>
      </c>
      <c r="G15" s="1" t="str">
        <f t="shared" si="2"/>
        <v>dpt_cdp_field_total_fee = self.get_value_excel_cell(file_form_dpt_cdp, column=col_field_name, row=14)</v>
      </c>
      <c r="J15" s="17" t="str">
        <f t="shared" si="0"/>
        <v>dpt_cdp_data_total_fee</v>
      </c>
      <c r="K15" s="17" t="str">
        <f t="shared" si="3"/>
        <v>dpt_cdp_data_total_fee = self.get_value_excel_cell(file_data_dpt_cdp, column=dpt_cdp_field_total_fee, row=row_data_dpt_cdp)</v>
      </c>
    </row>
    <row r="16" spans="1:12" x14ac:dyDescent="0.2">
      <c r="A16" s="6">
        <v>15</v>
      </c>
      <c r="B16" s="15"/>
      <c r="C16" s="15"/>
      <c r="D16" s="16" t="s">
        <v>117</v>
      </c>
      <c r="E16" s="21"/>
      <c r="F16" s="1" t="str">
        <f t="shared" si="1"/>
        <v>dpt_cdp_field_debit_account_number_01</v>
      </c>
      <c r="G16" s="1" t="str">
        <f t="shared" si="2"/>
        <v>dpt_cdp_field_debit_account_number_01 = self.get_value_excel_cell(file_form_dpt_cdp, column=col_field_name, row=15)</v>
      </c>
      <c r="J16" s="17" t="str">
        <f t="shared" si="0"/>
        <v>dpt_cdp_data_debit_account_number_01</v>
      </c>
      <c r="K16" s="17" t="str">
        <f t="shared" si="3"/>
        <v>dpt_cdp_data_debit_account_number_01 = self.get_value_excel_cell(file_data_dpt_cdp, column=dpt_cdp_field_debit_account_number_01, row=row_data_dpt_cdp)</v>
      </c>
    </row>
    <row r="17" spans="1:11" x14ac:dyDescent="0.2">
      <c r="A17" s="6">
        <v>16</v>
      </c>
      <c r="B17" s="15"/>
      <c r="C17" s="15"/>
      <c r="D17" s="16" t="s">
        <v>118</v>
      </c>
      <c r="E17" s="21"/>
      <c r="F17" s="1" t="str">
        <f t="shared" si="1"/>
        <v>dpt_cdp_field_debit_amount_01</v>
      </c>
      <c r="G17" s="1" t="str">
        <f t="shared" si="2"/>
        <v>dpt_cdp_field_debit_amount_01 = self.get_value_excel_cell(file_form_dpt_cdp, column=col_field_name, row=16)</v>
      </c>
      <c r="J17" s="17" t="str">
        <f t="shared" si="0"/>
        <v>dpt_cdp_data_debit_amount_01</v>
      </c>
      <c r="K17" s="17" t="str">
        <f t="shared" si="3"/>
        <v>dpt_cdp_data_debit_amount_01 = self.get_value_excel_cell(file_data_dpt_cdp, column=dpt_cdp_field_debit_amount_01, row=row_data_dpt_cdp)</v>
      </c>
    </row>
    <row r="18" spans="1:11" x14ac:dyDescent="0.2">
      <c r="A18" s="6">
        <v>17</v>
      </c>
      <c r="B18" s="15"/>
      <c r="C18" s="15"/>
      <c r="D18" s="16" t="s">
        <v>119</v>
      </c>
      <c r="E18" s="21"/>
      <c r="F18" s="1" t="str">
        <f t="shared" si="1"/>
        <v>dpt_cdp_field_debit_account_number_02</v>
      </c>
      <c r="G18" s="1" t="str">
        <f t="shared" si="2"/>
        <v>dpt_cdp_field_debit_account_number_02 = self.get_value_excel_cell(file_form_dpt_cdp, column=col_field_name, row=17)</v>
      </c>
      <c r="J18" s="17" t="str">
        <f t="shared" si="0"/>
        <v>dpt_cdp_data_debit_account_number_02</v>
      </c>
      <c r="K18" s="17" t="str">
        <f t="shared" si="3"/>
        <v>dpt_cdp_data_debit_account_number_02 = self.get_value_excel_cell(file_data_dpt_cdp, column=dpt_cdp_field_debit_account_number_02, row=row_data_dpt_cdp)</v>
      </c>
    </row>
    <row r="19" spans="1:11" x14ac:dyDescent="0.2">
      <c r="A19" s="6">
        <v>18</v>
      </c>
      <c r="B19" s="15"/>
      <c r="C19" s="15"/>
      <c r="D19" s="16" t="s">
        <v>120</v>
      </c>
      <c r="E19" s="21"/>
      <c r="F19" s="1" t="str">
        <f t="shared" si="1"/>
        <v>dpt_cdp_field_debit_amount_02</v>
      </c>
      <c r="G19" s="1" t="str">
        <f t="shared" si="2"/>
        <v>dpt_cdp_field_debit_amount_02 = self.get_value_excel_cell(file_form_dpt_cdp, column=col_field_name, row=18)</v>
      </c>
      <c r="J19" s="17" t="str">
        <f t="shared" si="0"/>
        <v>dpt_cdp_data_debit_amount_02</v>
      </c>
      <c r="K19" s="17" t="str">
        <f t="shared" si="3"/>
        <v>dpt_cdp_data_debit_amount_02 = self.get_value_excel_cell(file_data_dpt_cdp, column=dpt_cdp_field_debit_amount_02, row=row_data_dpt_cdp)</v>
      </c>
    </row>
    <row r="20" spans="1:11" x14ac:dyDescent="0.2">
      <c r="A20" s="6">
        <v>19</v>
      </c>
      <c r="B20" s="15"/>
      <c r="C20" s="15"/>
      <c r="D20" s="16" t="s">
        <v>121</v>
      </c>
      <c r="E20" s="21"/>
      <c r="F20" s="1" t="str">
        <f t="shared" si="1"/>
        <v>dpt_cdp_field_debit_account_number_03</v>
      </c>
      <c r="G20" s="1" t="str">
        <f t="shared" si="2"/>
        <v>dpt_cdp_field_debit_account_number_03 = self.get_value_excel_cell(file_form_dpt_cdp, column=col_field_name, row=19)</v>
      </c>
      <c r="J20" s="17" t="str">
        <f t="shared" si="0"/>
        <v>dpt_cdp_data_debit_account_number_03</v>
      </c>
      <c r="K20" s="17" t="str">
        <f t="shared" si="3"/>
        <v>dpt_cdp_data_debit_account_number_03 = self.get_value_excel_cell(file_data_dpt_cdp, column=dpt_cdp_field_debit_account_number_03, row=row_data_dpt_cdp)</v>
      </c>
    </row>
    <row r="21" spans="1:11" x14ac:dyDescent="0.2">
      <c r="A21" s="6">
        <v>20</v>
      </c>
      <c r="B21" s="15"/>
      <c r="C21" s="15"/>
      <c r="D21" s="16" t="s">
        <v>122</v>
      </c>
      <c r="E21" s="21"/>
      <c r="F21" s="1" t="str">
        <f t="shared" si="1"/>
        <v>dpt_cdp_field_debit_amount_03</v>
      </c>
      <c r="G21" s="1" t="str">
        <f t="shared" si="2"/>
        <v>dpt_cdp_field_debit_amount_03 = self.get_value_excel_cell(file_form_dpt_cdp, column=col_field_name, row=20)</v>
      </c>
      <c r="J21" s="17" t="str">
        <f t="shared" si="0"/>
        <v>dpt_cdp_data_debit_amount_03</v>
      </c>
      <c r="K21" s="17" t="str">
        <f t="shared" si="3"/>
        <v>dpt_cdp_data_debit_amount_03 = self.get_value_excel_cell(file_data_dpt_cdp, column=dpt_cdp_field_debit_amount_03, row=row_data_dpt_cdp)</v>
      </c>
    </row>
    <row r="22" spans="1:11" x14ac:dyDescent="0.2">
      <c r="A22" s="6">
        <v>21</v>
      </c>
      <c r="B22" s="15"/>
      <c r="C22" s="15"/>
      <c r="D22" s="16" t="s">
        <v>123</v>
      </c>
      <c r="E22" s="21"/>
      <c r="F22" s="1" t="str">
        <f t="shared" si="1"/>
        <v>dpt_cdp_field_debit_account_number_04</v>
      </c>
      <c r="G22" s="1" t="str">
        <f t="shared" si="2"/>
        <v>dpt_cdp_field_debit_account_number_04 = self.get_value_excel_cell(file_form_dpt_cdp, column=col_field_name, row=21)</v>
      </c>
      <c r="J22" s="17" t="str">
        <f t="shared" si="0"/>
        <v>dpt_cdp_data_debit_account_number_04</v>
      </c>
      <c r="K22" s="17" t="str">
        <f t="shared" si="3"/>
        <v>dpt_cdp_data_debit_account_number_04 = self.get_value_excel_cell(file_data_dpt_cdp, column=dpt_cdp_field_debit_account_number_04, row=row_data_dpt_cdp)</v>
      </c>
    </row>
    <row r="23" spans="1:11" x14ac:dyDescent="0.2">
      <c r="A23" s="6">
        <v>22</v>
      </c>
      <c r="B23" s="15"/>
      <c r="C23" s="15"/>
      <c r="D23" s="16" t="s">
        <v>124</v>
      </c>
      <c r="E23" s="21"/>
      <c r="F23" s="1" t="str">
        <f t="shared" si="1"/>
        <v>dpt_cdp_field_debit_amount_04</v>
      </c>
      <c r="G23" s="1" t="str">
        <f t="shared" si="2"/>
        <v>dpt_cdp_field_debit_amount_04 = self.get_value_excel_cell(file_form_dpt_cdp, column=col_field_name, row=22)</v>
      </c>
      <c r="J23" s="17" t="str">
        <f t="shared" si="0"/>
        <v>dpt_cdp_data_debit_amount_04</v>
      </c>
      <c r="K23" s="17" t="str">
        <f t="shared" si="3"/>
        <v>dpt_cdp_data_debit_amount_04 = self.get_value_excel_cell(file_data_dpt_cdp, column=dpt_cdp_field_debit_amount_04, row=row_data_dpt_cdp)</v>
      </c>
    </row>
    <row r="24" spans="1:11" x14ac:dyDescent="0.2">
      <c r="A24" s="6">
        <v>23</v>
      </c>
      <c r="B24" s="15"/>
      <c r="C24" s="15"/>
      <c r="D24" s="16" t="s">
        <v>125</v>
      </c>
      <c r="E24" s="21"/>
      <c r="F24" s="1" t="str">
        <f t="shared" si="1"/>
        <v>dpt_cdp_field_debit_account_number_05</v>
      </c>
      <c r="G24" s="1" t="str">
        <f t="shared" si="2"/>
        <v>dpt_cdp_field_debit_account_number_05 = self.get_value_excel_cell(file_form_dpt_cdp, column=col_field_name, row=23)</v>
      </c>
      <c r="J24" s="17" t="str">
        <f t="shared" si="0"/>
        <v>dpt_cdp_data_debit_account_number_05</v>
      </c>
      <c r="K24" s="17" t="str">
        <f t="shared" si="3"/>
        <v>dpt_cdp_data_debit_account_number_05 = self.get_value_excel_cell(file_data_dpt_cdp, column=dpt_cdp_field_debit_account_number_05, row=row_data_dpt_cdp)</v>
      </c>
    </row>
    <row r="25" spans="1:11" x14ac:dyDescent="0.2">
      <c r="A25" s="6">
        <v>24</v>
      </c>
      <c r="B25" s="15"/>
      <c r="C25" s="15"/>
      <c r="D25" s="16" t="s">
        <v>126</v>
      </c>
      <c r="E25" s="21"/>
      <c r="F25" s="1" t="str">
        <f t="shared" si="1"/>
        <v>dpt_cdp_field_debit_amount_05</v>
      </c>
      <c r="G25" s="1" t="str">
        <f t="shared" si="2"/>
        <v>dpt_cdp_field_debit_amount_05 = self.get_value_excel_cell(file_form_dpt_cdp, column=col_field_name, row=24)</v>
      </c>
      <c r="J25" s="17" t="str">
        <f t="shared" si="0"/>
        <v>dpt_cdp_data_debit_amount_05</v>
      </c>
      <c r="K25" s="17" t="str">
        <f t="shared" si="3"/>
        <v>dpt_cdp_data_debit_amount_05 = self.get_value_excel_cell(file_data_dpt_cdp, column=dpt_cdp_field_debit_amount_05, row=row_data_dpt_cdp)</v>
      </c>
    </row>
    <row r="26" spans="1:11" x14ac:dyDescent="0.2">
      <c r="A26" s="6">
        <v>25</v>
      </c>
      <c r="B26" s="15"/>
      <c r="C26" s="15"/>
      <c r="D26" s="16" t="s">
        <v>127</v>
      </c>
      <c r="E26" s="21"/>
      <c r="F26" s="1" t="str">
        <f t="shared" si="1"/>
        <v>dpt_cdp_field_debit_account_number_06</v>
      </c>
      <c r="G26" s="1" t="str">
        <f t="shared" si="2"/>
        <v>dpt_cdp_field_debit_account_number_06 = self.get_value_excel_cell(file_form_dpt_cdp, column=col_field_name, row=25)</v>
      </c>
      <c r="J26" s="17" t="str">
        <f t="shared" si="0"/>
        <v>dpt_cdp_data_debit_account_number_06</v>
      </c>
      <c r="K26" s="17" t="str">
        <f t="shared" si="3"/>
        <v>dpt_cdp_data_debit_account_number_06 = self.get_value_excel_cell(file_data_dpt_cdp, column=dpt_cdp_field_debit_account_number_06, row=row_data_dpt_cdp)</v>
      </c>
    </row>
    <row r="27" spans="1:11" x14ac:dyDescent="0.2">
      <c r="A27" s="6">
        <v>26</v>
      </c>
      <c r="B27" s="15"/>
      <c r="C27" s="15"/>
      <c r="D27" s="16" t="s">
        <v>128</v>
      </c>
      <c r="E27" s="21"/>
      <c r="F27" s="1" t="str">
        <f t="shared" si="1"/>
        <v>dpt_cdp_field_debit_amount_06</v>
      </c>
      <c r="G27" s="1" t="str">
        <f t="shared" si="2"/>
        <v>dpt_cdp_field_debit_amount_06 = self.get_value_excel_cell(file_form_dpt_cdp, column=col_field_name, row=26)</v>
      </c>
      <c r="J27" s="17" t="str">
        <f t="shared" si="0"/>
        <v>dpt_cdp_data_debit_amount_06</v>
      </c>
      <c r="K27" s="17" t="str">
        <f t="shared" si="3"/>
        <v>dpt_cdp_data_debit_amount_06 = self.get_value_excel_cell(file_data_dpt_cdp, column=dpt_cdp_field_debit_amount_06, row=row_data_dpt_cdp)</v>
      </c>
    </row>
    <row r="28" spans="1:11" x14ac:dyDescent="0.2">
      <c r="A28" s="6">
        <v>27</v>
      </c>
      <c r="B28" s="15"/>
      <c r="C28" s="15"/>
      <c r="D28" s="16" t="s">
        <v>129</v>
      </c>
      <c r="E28" s="21"/>
      <c r="F28" s="1" t="str">
        <f t="shared" si="1"/>
        <v>dpt_cdp_field_debit_account_number_07</v>
      </c>
      <c r="G28" s="1" t="str">
        <f t="shared" si="2"/>
        <v>dpt_cdp_field_debit_account_number_07 = self.get_value_excel_cell(file_form_dpt_cdp, column=col_field_name, row=27)</v>
      </c>
      <c r="J28" s="17" t="str">
        <f t="shared" si="0"/>
        <v>dpt_cdp_data_debit_account_number_07</v>
      </c>
      <c r="K28" s="17" t="str">
        <f t="shared" si="3"/>
        <v>dpt_cdp_data_debit_account_number_07 = self.get_value_excel_cell(file_data_dpt_cdp, column=dpt_cdp_field_debit_account_number_07, row=row_data_dpt_cdp)</v>
      </c>
    </row>
    <row r="29" spans="1:11" x14ac:dyDescent="0.2">
      <c r="A29" s="6">
        <v>28</v>
      </c>
      <c r="B29" s="15"/>
      <c r="C29" s="15"/>
      <c r="D29" s="16" t="s">
        <v>130</v>
      </c>
      <c r="E29" s="21"/>
      <c r="F29" s="1" t="str">
        <f t="shared" si="1"/>
        <v>dpt_cdp_field_debit_amount_07</v>
      </c>
      <c r="G29" s="1" t="str">
        <f t="shared" si="2"/>
        <v>dpt_cdp_field_debit_amount_07 = self.get_value_excel_cell(file_form_dpt_cdp, column=col_field_name, row=28)</v>
      </c>
      <c r="J29" s="17" t="str">
        <f t="shared" si="0"/>
        <v>dpt_cdp_data_debit_amount_07</v>
      </c>
      <c r="K29" s="17" t="str">
        <f t="shared" si="3"/>
        <v>dpt_cdp_data_debit_amount_07 = self.get_value_excel_cell(file_data_dpt_cdp, column=dpt_cdp_field_debit_amount_07, row=row_data_dpt_cdp)</v>
      </c>
    </row>
    <row r="30" spans="1:11" x14ac:dyDescent="0.2">
      <c r="A30" s="6">
        <v>29</v>
      </c>
      <c r="B30" s="15"/>
      <c r="C30" s="15"/>
      <c r="D30" s="16" t="s">
        <v>131</v>
      </c>
      <c r="E30" s="21"/>
      <c r="F30" s="1" t="str">
        <f t="shared" si="1"/>
        <v>dpt_cdp_field_debit_account_number_08</v>
      </c>
      <c r="G30" s="1" t="str">
        <f t="shared" si="2"/>
        <v>dpt_cdp_field_debit_account_number_08 = self.get_value_excel_cell(file_form_dpt_cdp, column=col_field_name, row=29)</v>
      </c>
      <c r="J30" s="17" t="str">
        <f t="shared" si="0"/>
        <v>dpt_cdp_data_debit_account_number_08</v>
      </c>
      <c r="K30" s="17" t="str">
        <f t="shared" si="3"/>
        <v>dpt_cdp_data_debit_account_number_08 = self.get_value_excel_cell(file_data_dpt_cdp, column=dpt_cdp_field_debit_account_number_08, row=row_data_dpt_cdp)</v>
      </c>
    </row>
    <row r="31" spans="1:11" x14ac:dyDescent="0.2">
      <c r="A31" s="6">
        <v>30</v>
      </c>
      <c r="B31" s="15"/>
      <c r="C31" s="15"/>
      <c r="D31" s="16" t="s">
        <v>132</v>
      </c>
      <c r="E31" s="21"/>
      <c r="F31" s="1" t="str">
        <f t="shared" si="1"/>
        <v>dpt_cdp_field_debit_amount_08</v>
      </c>
      <c r="G31" s="1" t="str">
        <f t="shared" si="2"/>
        <v>dpt_cdp_field_debit_amount_08 = self.get_value_excel_cell(file_form_dpt_cdp, column=col_field_name, row=30)</v>
      </c>
      <c r="J31" s="17" t="str">
        <f t="shared" si="0"/>
        <v>dpt_cdp_data_debit_amount_08</v>
      </c>
      <c r="K31" s="17" t="str">
        <f t="shared" si="3"/>
        <v>dpt_cdp_data_debit_amount_08 = self.get_value_excel_cell(file_data_dpt_cdp, column=dpt_cdp_field_debit_amount_08, row=row_data_dpt_cdp)</v>
      </c>
    </row>
    <row r="32" spans="1:11" x14ac:dyDescent="0.2">
      <c r="A32" s="6">
        <v>31</v>
      </c>
      <c r="B32" s="15"/>
      <c r="C32" s="15"/>
      <c r="D32" s="16" t="s">
        <v>133</v>
      </c>
      <c r="E32" s="21"/>
      <c r="F32" s="1" t="str">
        <f t="shared" si="1"/>
        <v>dpt_cdp_field_debit_account_number_09</v>
      </c>
      <c r="G32" s="1" t="str">
        <f t="shared" si="2"/>
        <v>dpt_cdp_field_debit_account_number_09 = self.get_value_excel_cell(file_form_dpt_cdp, column=col_field_name, row=31)</v>
      </c>
      <c r="J32" s="17" t="str">
        <f t="shared" si="0"/>
        <v>dpt_cdp_data_debit_account_number_09</v>
      </c>
      <c r="K32" s="17" t="str">
        <f t="shared" si="3"/>
        <v>dpt_cdp_data_debit_account_number_09 = self.get_value_excel_cell(file_data_dpt_cdp, column=dpt_cdp_field_debit_account_number_09, row=row_data_dpt_cdp)</v>
      </c>
    </row>
    <row r="33" spans="1:11" x14ac:dyDescent="0.2">
      <c r="A33" s="6">
        <v>32</v>
      </c>
      <c r="B33" s="15"/>
      <c r="C33" s="15"/>
      <c r="D33" s="16" t="s">
        <v>134</v>
      </c>
      <c r="E33" s="21"/>
      <c r="F33" s="1" t="str">
        <f t="shared" si="1"/>
        <v>dpt_cdp_field_debit_amount_09</v>
      </c>
      <c r="G33" s="1" t="str">
        <f t="shared" si="2"/>
        <v>dpt_cdp_field_debit_amount_09 = self.get_value_excel_cell(file_form_dpt_cdp, column=col_field_name, row=32)</v>
      </c>
      <c r="J33" s="17" t="str">
        <f t="shared" si="0"/>
        <v>dpt_cdp_data_debit_amount_09</v>
      </c>
      <c r="K33" s="17" t="str">
        <f t="shared" si="3"/>
        <v>dpt_cdp_data_debit_amount_09 = self.get_value_excel_cell(file_data_dpt_cdp, column=dpt_cdp_field_debit_amount_09, row=row_data_dpt_cdp)</v>
      </c>
    </row>
    <row r="34" spans="1:11" x14ac:dyDescent="0.2">
      <c r="A34" s="6">
        <v>33</v>
      </c>
      <c r="B34" s="15"/>
      <c r="C34" s="15"/>
      <c r="D34" s="16" t="s">
        <v>135</v>
      </c>
      <c r="E34" s="21"/>
      <c r="F34" s="1" t="str">
        <f t="shared" si="1"/>
        <v>dpt_cdp_field_debit_account_number_10</v>
      </c>
      <c r="G34" s="1" t="str">
        <f t="shared" si="2"/>
        <v>dpt_cdp_field_debit_account_number_10 = self.get_value_excel_cell(file_form_dpt_cdp, column=col_field_name, row=33)</v>
      </c>
      <c r="J34" s="17" t="str">
        <f t="shared" ref="J34:J55" si="4">$J$1&amp;SUBSTITUTE(SUBSTITUTE(SUBSTITUTE(LOWER(D34), " ", "_"),"!",""),"interest/fee/charge","ifc")</f>
        <v>dpt_cdp_data_debit_account_number_10</v>
      </c>
      <c r="K34" s="17" t="str">
        <f t="shared" si="3"/>
        <v>dpt_cdp_data_debit_account_number_10 = self.get_value_excel_cell(file_data_dpt_cdp, column=dpt_cdp_field_debit_account_number_10, row=row_data_dpt_cdp)</v>
      </c>
    </row>
    <row r="35" spans="1:11" x14ac:dyDescent="0.2">
      <c r="A35" s="6">
        <v>34</v>
      </c>
      <c r="B35" s="15"/>
      <c r="C35" s="15"/>
      <c r="D35" s="16" t="s">
        <v>136</v>
      </c>
      <c r="E35" s="21"/>
      <c r="F35" s="1" t="str">
        <f t="shared" si="1"/>
        <v>dpt_cdp_field_debit_amount_10</v>
      </c>
      <c r="G35" s="1" t="str">
        <f t="shared" si="2"/>
        <v>dpt_cdp_field_debit_amount_10 = self.get_value_excel_cell(file_form_dpt_cdp, column=col_field_name, row=34)</v>
      </c>
      <c r="J35" s="17" t="str">
        <f t="shared" si="4"/>
        <v>dpt_cdp_data_debit_amount_10</v>
      </c>
      <c r="K35" s="17" t="str">
        <f t="shared" si="3"/>
        <v>dpt_cdp_data_debit_amount_10 = self.get_value_excel_cell(file_data_dpt_cdp, column=dpt_cdp_field_debit_amount_10, row=row_data_dpt_cdp)</v>
      </c>
    </row>
    <row r="36" spans="1:11" x14ac:dyDescent="0.2">
      <c r="A36" s="6">
        <v>35</v>
      </c>
      <c r="B36" s="15"/>
      <c r="C36" s="15"/>
      <c r="D36" s="16" t="s">
        <v>137</v>
      </c>
      <c r="E36" s="21"/>
      <c r="F36" s="1" t="str">
        <f t="shared" si="1"/>
        <v>dpt_cdp_field_credit_account_number_01</v>
      </c>
      <c r="G36" s="1" t="str">
        <f t="shared" si="2"/>
        <v>dpt_cdp_field_credit_account_number_01 = self.get_value_excel_cell(file_form_dpt_cdp, column=col_field_name, row=35)</v>
      </c>
      <c r="J36" s="17" t="str">
        <f t="shared" si="4"/>
        <v>dpt_cdp_data_credit_account_number_01</v>
      </c>
      <c r="K36" s="17" t="str">
        <f t="shared" si="3"/>
        <v>dpt_cdp_data_credit_account_number_01 = self.get_value_excel_cell(file_data_dpt_cdp, column=dpt_cdp_field_credit_account_number_01, row=row_data_dpt_cdp)</v>
      </c>
    </row>
    <row r="37" spans="1:11" x14ac:dyDescent="0.2">
      <c r="A37" s="6">
        <v>36</v>
      </c>
      <c r="B37" s="15"/>
      <c r="C37" s="15"/>
      <c r="D37" s="16" t="s">
        <v>138</v>
      </c>
      <c r="E37" s="21"/>
      <c r="F37" s="1" t="str">
        <f t="shared" si="1"/>
        <v>dpt_cdp_field_credit_amount_01</v>
      </c>
      <c r="G37" s="1" t="str">
        <f t="shared" si="2"/>
        <v>dpt_cdp_field_credit_amount_01 = self.get_value_excel_cell(file_form_dpt_cdp, column=col_field_name, row=36)</v>
      </c>
      <c r="J37" s="17" t="str">
        <f t="shared" si="4"/>
        <v>dpt_cdp_data_credit_amount_01</v>
      </c>
      <c r="K37" s="17" t="str">
        <f t="shared" si="3"/>
        <v>dpt_cdp_data_credit_amount_01 = self.get_value_excel_cell(file_data_dpt_cdp, column=dpt_cdp_field_credit_amount_01, row=row_data_dpt_cdp)</v>
      </c>
    </row>
    <row r="38" spans="1:11" x14ac:dyDescent="0.2">
      <c r="A38" s="6">
        <v>37</v>
      </c>
      <c r="B38" s="15"/>
      <c r="C38" s="15"/>
      <c r="D38" s="16" t="s">
        <v>139</v>
      </c>
      <c r="E38" s="21"/>
      <c r="F38" s="1" t="str">
        <f t="shared" si="1"/>
        <v>dpt_cdp_field_credit_account_number_02</v>
      </c>
      <c r="G38" s="1" t="str">
        <f t="shared" si="2"/>
        <v>dpt_cdp_field_credit_account_number_02 = self.get_value_excel_cell(file_form_dpt_cdp, column=col_field_name, row=37)</v>
      </c>
      <c r="J38" s="17" t="str">
        <f t="shared" si="4"/>
        <v>dpt_cdp_data_credit_account_number_02</v>
      </c>
      <c r="K38" s="17" t="str">
        <f t="shared" si="3"/>
        <v>dpt_cdp_data_credit_account_number_02 = self.get_value_excel_cell(file_data_dpt_cdp, column=dpt_cdp_field_credit_account_number_02, row=row_data_dpt_cdp)</v>
      </c>
    </row>
    <row r="39" spans="1:11" x14ac:dyDescent="0.2">
      <c r="A39" s="6">
        <v>38</v>
      </c>
      <c r="B39" s="15"/>
      <c r="C39" s="15"/>
      <c r="D39" s="16" t="s">
        <v>140</v>
      </c>
      <c r="E39" s="21"/>
      <c r="F39" s="1" t="str">
        <f t="shared" si="1"/>
        <v>dpt_cdp_field_credit_amount_02</v>
      </c>
      <c r="G39" s="1" t="str">
        <f t="shared" si="2"/>
        <v>dpt_cdp_field_credit_amount_02 = self.get_value_excel_cell(file_form_dpt_cdp, column=col_field_name, row=38)</v>
      </c>
      <c r="J39" s="17" t="str">
        <f t="shared" si="4"/>
        <v>dpt_cdp_data_credit_amount_02</v>
      </c>
      <c r="K39" s="17" t="str">
        <f t="shared" si="3"/>
        <v>dpt_cdp_data_credit_amount_02 = self.get_value_excel_cell(file_data_dpt_cdp, column=dpt_cdp_field_credit_amount_02, row=row_data_dpt_cdp)</v>
      </c>
    </row>
    <row r="40" spans="1:11" x14ac:dyDescent="0.2">
      <c r="A40" s="6">
        <v>39</v>
      </c>
      <c r="B40" s="15"/>
      <c r="C40" s="15"/>
      <c r="D40" s="16" t="s">
        <v>141</v>
      </c>
      <c r="E40" s="21"/>
      <c r="F40" s="1" t="str">
        <f t="shared" si="1"/>
        <v>dpt_cdp_field_credit_account_number_03</v>
      </c>
      <c r="G40" s="1" t="str">
        <f t="shared" si="2"/>
        <v>dpt_cdp_field_credit_account_number_03 = self.get_value_excel_cell(file_form_dpt_cdp, column=col_field_name, row=39)</v>
      </c>
      <c r="J40" s="17" t="str">
        <f t="shared" si="4"/>
        <v>dpt_cdp_data_credit_account_number_03</v>
      </c>
      <c r="K40" s="17" t="str">
        <f t="shared" si="3"/>
        <v>dpt_cdp_data_credit_account_number_03 = self.get_value_excel_cell(file_data_dpt_cdp, column=dpt_cdp_field_credit_account_number_03, row=row_data_dpt_cdp)</v>
      </c>
    </row>
    <row r="41" spans="1:11" x14ac:dyDescent="0.2">
      <c r="A41" s="6">
        <v>40</v>
      </c>
      <c r="B41" s="15"/>
      <c r="C41" s="15"/>
      <c r="D41" s="16" t="s">
        <v>142</v>
      </c>
      <c r="E41" s="21"/>
      <c r="F41" s="1" t="str">
        <f t="shared" si="1"/>
        <v>dpt_cdp_field_credit_amount_03</v>
      </c>
      <c r="G41" s="1" t="str">
        <f t="shared" si="2"/>
        <v>dpt_cdp_field_credit_amount_03 = self.get_value_excel_cell(file_form_dpt_cdp, column=col_field_name, row=40)</v>
      </c>
      <c r="J41" s="17" t="str">
        <f t="shared" si="4"/>
        <v>dpt_cdp_data_credit_amount_03</v>
      </c>
      <c r="K41" s="17" t="str">
        <f t="shared" si="3"/>
        <v>dpt_cdp_data_credit_amount_03 = self.get_value_excel_cell(file_data_dpt_cdp, column=dpt_cdp_field_credit_amount_03, row=row_data_dpt_cdp)</v>
      </c>
    </row>
    <row r="42" spans="1:11" x14ac:dyDescent="0.2">
      <c r="A42" s="6">
        <v>41</v>
      </c>
      <c r="B42" s="15"/>
      <c r="C42" s="15"/>
      <c r="D42" s="16" t="s">
        <v>143</v>
      </c>
      <c r="E42" s="21"/>
      <c r="F42" s="1" t="str">
        <f t="shared" si="1"/>
        <v>dpt_cdp_field_credit_account_number_04</v>
      </c>
      <c r="G42" s="1" t="str">
        <f t="shared" si="2"/>
        <v>dpt_cdp_field_credit_account_number_04 = self.get_value_excel_cell(file_form_dpt_cdp, column=col_field_name, row=41)</v>
      </c>
      <c r="J42" s="17" t="str">
        <f t="shared" si="4"/>
        <v>dpt_cdp_data_credit_account_number_04</v>
      </c>
      <c r="K42" s="17" t="str">
        <f t="shared" si="3"/>
        <v>dpt_cdp_data_credit_account_number_04 = self.get_value_excel_cell(file_data_dpt_cdp, column=dpt_cdp_field_credit_account_number_04, row=row_data_dpt_cdp)</v>
      </c>
    </row>
    <row r="43" spans="1:11" x14ac:dyDescent="0.2">
      <c r="A43" s="6">
        <v>42</v>
      </c>
      <c r="B43" s="15"/>
      <c r="C43" s="15"/>
      <c r="D43" s="16" t="s">
        <v>144</v>
      </c>
      <c r="E43" s="21"/>
      <c r="F43" s="1" t="str">
        <f t="shared" si="1"/>
        <v>dpt_cdp_field_credit_amount_04</v>
      </c>
      <c r="G43" s="1" t="str">
        <f t="shared" si="2"/>
        <v>dpt_cdp_field_credit_amount_04 = self.get_value_excel_cell(file_form_dpt_cdp, column=col_field_name, row=42)</v>
      </c>
      <c r="J43" s="17" t="str">
        <f t="shared" si="4"/>
        <v>dpt_cdp_data_credit_amount_04</v>
      </c>
      <c r="K43" s="17" t="str">
        <f t="shared" si="3"/>
        <v>dpt_cdp_data_credit_amount_04 = self.get_value_excel_cell(file_data_dpt_cdp, column=dpt_cdp_field_credit_amount_04, row=row_data_dpt_cdp)</v>
      </c>
    </row>
    <row r="44" spans="1:11" x14ac:dyDescent="0.2">
      <c r="A44" s="6">
        <v>43</v>
      </c>
      <c r="B44" s="15"/>
      <c r="C44" s="15"/>
      <c r="D44" s="16" t="s">
        <v>145</v>
      </c>
      <c r="E44" s="21"/>
      <c r="F44" s="1" t="str">
        <f t="shared" si="1"/>
        <v>dpt_cdp_field_credit_account_number_05</v>
      </c>
      <c r="G44" s="1" t="str">
        <f t="shared" si="2"/>
        <v>dpt_cdp_field_credit_account_number_05 = self.get_value_excel_cell(file_form_dpt_cdp, column=col_field_name, row=43)</v>
      </c>
      <c r="J44" s="17" t="str">
        <f t="shared" si="4"/>
        <v>dpt_cdp_data_credit_account_number_05</v>
      </c>
      <c r="K44" s="17" t="str">
        <f t="shared" si="3"/>
        <v>dpt_cdp_data_credit_account_number_05 = self.get_value_excel_cell(file_data_dpt_cdp, column=dpt_cdp_field_credit_account_number_05, row=row_data_dpt_cdp)</v>
      </c>
    </row>
    <row r="45" spans="1:11" x14ac:dyDescent="0.2">
      <c r="A45" s="6">
        <v>44</v>
      </c>
      <c r="B45" s="15"/>
      <c r="C45" s="15"/>
      <c r="D45" s="16" t="s">
        <v>146</v>
      </c>
      <c r="E45" s="21"/>
      <c r="F45" s="1" t="str">
        <f t="shared" si="1"/>
        <v>dpt_cdp_field_credit_amount_05</v>
      </c>
      <c r="G45" s="1" t="str">
        <f t="shared" si="2"/>
        <v>dpt_cdp_field_credit_amount_05 = self.get_value_excel_cell(file_form_dpt_cdp, column=col_field_name, row=44)</v>
      </c>
      <c r="J45" s="17" t="str">
        <f t="shared" si="4"/>
        <v>dpt_cdp_data_credit_amount_05</v>
      </c>
      <c r="K45" s="17" t="str">
        <f t="shared" si="3"/>
        <v>dpt_cdp_data_credit_amount_05 = self.get_value_excel_cell(file_data_dpt_cdp, column=dpt_cdp_field_credit_amount_05, row=row_data_dpt_cdp)</v>
      </c>
    </row>
    <row r="46" spans="1:11" x14ac:dyDescent="0.2">
      <c r="A46" s="6">
        <v>45</v>
      </c>
      <c r="B46" s="15"/>
      <c r="C46" s="15"/>
      <c r="D46" s="16" t="s">
        <v>147</v>
      </c>
      <c r="E46" s="21"/>
      <c r="F46" s="1" t="str">
        <f t="shared" si="1"/>
        <v>dpt_cdp_field_credit_account_number_06</v>
      </c>
      <c r="G46" s="1" t="str">
        <f t="shared" si="2"/>
        <v>dpt_cdp_field_credit_account_number_06 = self.get_value_excel_cell(file_form_dpt_cdp, column=col_field_name, row=45)</v>
      </c>
      <c r="J46" s="17" t="str">
        <f t="shared" si="4"/>
        <v>dpt_cdp_data_credit_account_number_06</v>
      </c>
      <c r="K46" s="17" t="str">
        <f t="shared" si="3"/>
        <v>dpt_cdp_data_credit_account_number_06 = self.get_value_excel_cell(file_data_dpt_cdp, column=dpt_cdp_field_credit_account_number_06, row=row_data_dpt_cdp)</v>
      </c>
    </row>
    <row r="47" spans="1:11" x14ac:dyDescent="0.2">
      <c r="A47" s="6">
        <v>46</v>
      </c>
      <c r="B47" s="15"/>
      <c r="C47" s="15"/>
      <c r="D47" s="16" t="s">
        <v>148</v>
      </c>
      <c r="E47" s="21"/>
      <c r="F47" s="1" t="str">
        <f t="shared" si="1"/>
        <v>dpt_cdp_field_credit_amount_06</v>
      </c>
      <c r="G47" s="1" t="str">
        <f t="shared" si="2"/>
        <v>dpt_cdp_field_credit_amount_06 = self.get_value_excel_cell(file_form_dpt_cdp, column=col_field_name, row=46)</v>
      </c>
      <c r="J47" s="17" t="str">
        <f t="shared" si="4"/>
        <v>dpt_cdp_data_credit_amount_06</v>
      </c>
      <c r="K47" s="17" t="str">
        <f t="shared" si="3"/>
        <v>dpt_cdp_data_credit_amount_06 = self.get_value_excel_cell(file_data_dpt_cdp, column=dpt_cdp_field_credit_amount_06, row=row_data_dpt_cdp)</v>
      </c>
    </row>
    <row r="48" spans="1:11" x14ac:dyDescent="0.2">
      <c r="A48" s="6">
        <v>47</v>
      </c>
      <c r="B48" s="15"/>
      <c r="C48" s="15"/>
      <c r="D48" s="16" t="s">
        <v>149</v>
      </c>
      <c r="E48" s="21"/>
      <c r="F48" s="1" t="str">
        <f t="shared" si="1"/>
        <v>dpt_cdp_field_credit_account_number_07</v>
      </c>
      <c r="G48" s="1" t="str">
        <f t="shared" si="2"/>
        <v>dpt_cdp_field_credit_account_number_07 = self.get_value_excel_cell(file_form_dpt_cdp, column=col_field_name, row=47)</v>
      </c>
      <c r="J48" s="17" t="str">
        <f t="shared" si="4"/>
        <v>dpt_cdp_data_credit_account_number_07</v>
      </c>
      <c r="K48" s="17" t="str">
        <f t="shared" si="3"/>
        <v>dpt_cdp_data_credit_account_number_07 = self.get_value_excel_cell(file_data_dpt_cdp, column=dpt_cdp_field_credit_account_number_07, row=row_data_dpt_cdp)</v>
      </c>
    </row>
    <row r="49" spans="1:11" x14ac:dyDescent="0.2">
      <c r="A49" s="6">
        <v>48</v>
      </c>
      <c r="B49" s="15"/>
      <c r="C49" s="15"/>
      <c r="D49" s="16" t="s">
        <v>150</v>
      </c>
      <c r="E49" s="21"/>
      <c r="F49" s="1" t="str">
        <f t="shared" si="1"/>
        <v>dpt_cdp_field_credit_amount_07</v>
      </c>
      <c r="G49" s="1" t="str">
        <f t="shared" si="2"/>
        <v>dpt_cdp_field_credit_amount_07 = self.get_value_excel_cell(file_form_dpt_cdp, column=col_field_name, row=48)</v>
      </c>
      <c r="J49" s="17" t="str">
        <f t="shared" si="4"/>
        <v>dpt_cdp_data_credit_amount_07</v>
      </c>
      <c r="K49" s="17" t="str">
        <f t="shared" si="3"/>
        <v>dpt_cdp_data_credit_amount_07 = self.get_value_excel_cell(file_data_dpt_cdp, column=dpt_cdp_field_credit_amount_07, row=row_data_dpt_cdp)</v>
      </c>
    </row>
    <row r="50" spans="1:11" x14ac:dyDescent="0.2">
      <c r="A50" s="6">
        <v>49</v>
      </c>
      <c r="B50" s="15"/>
      <c r="C50" s="15"/>
      <c r="D50" s="16" t="s">
        <v>151</v>
      </c>
      <c r="E50" s="21"/>
      <c r="F50" s="1" t="str">
        <f t="shared" si="1"/>
        <v>dpt_cdp_field_credit_account_number_08</v>
      </c>
      <c r="G50" s="1" t="str">
        <f t="shared" si="2"/>
        <v>dpt_cdp_field_credit_account_number_08 = self.get_value_excel_cell(file_form_dpt_cdp, column=col_field_name, row=49)</v>
      </c>
      <c r="J50" s="17" t="str">
        <f t="shared" si="4"/>
        <v>dpt_cdp_data_credit_account_number_08</v>
      </c>
      <c r="K50" s="17" t="str">
        <f t="shared" si="3"/>
        <v>dpt_cdp_data_credit_account_number_08 = self.get_value_excel_cell(file_data_dpt_cdp, column=dpt_cdp_field_credit_account_number_08, row=row_data_dpt_cdp)</v>
      </c>
    </row>
    <row r="51" spans="1:11" x14ac:dyDescent="0.2">
      <c r="A51" s="6">
        <v>50</v>
      </c>
      <c r="B51" s="15"/>
      <c r="C51" s="15"/>
      <c r="D51" s="16" t="s">
        <v>152</v>
      </c>
      <c r="E51" s="21"/>
      <c r="F51" s="1" t="str">
        <f t="shared" si="1"/>
        <v>dpt_cdp_field_credit_amount_08</v>
      </c>
      <c r="G51" s="1" t="str">
        <f t="shared" si="2"/>
        <v>dpt_cdp_field_credit_amount_08 = self.get_value_excel_cell(file_form_dpt_cdp, column=col_field_name, row=50)</v>
      </c>
      <c r="J51" s="17" t="str">
        <f t="shared" si="4"/>
        <v>dpt_cdp_data_credit_amount_08</v>
      </c>
      <c r="K51" s="17" t="str">
        <f t="shared" si="3"/>
        <v>dpt_cdp_data_credit_amount_08 = self.get_value_excel_cell(file_data_dpt_cdp, column=dpt_cdp_field_credit_amount_08, row=row_data_dpt_cdp)</v>
      </c>
    </row>
    <row r="52" spans="1:11" x14ac:dyDescent="0.2">
      <c r="A52" s="6">
        <v>51</v>
      </c>
      <c r="B52" s="15"/>
      <c r="C52" s="15"/>
      <c r="D52" s="16" t="s">
        <v>153</v>
      </c>
      <c r="E52" s="21"/>
      <c r="F52" s="1" t="str">
        <f t="shared" si="1"/>
        <v>dpt_cdp_field_credit_account_number_09</v>
      </c>
      <c r="G52" s="1" t="str">
        <f t="shared" si="2"/>
        <v>dpt_cdp_field_credit_account_number_09 = self.get_value_excel_cell(file_form_dpt_cdp, column=col_field_name, row=51)</v>
      </c>
      <c r="J52" s="17" t="str">
        <f t="shared" si="4"/>
        <v>dpt_cdp_data_credit_account_number_09</v>
      </c>
      <c r="K52" s="17" t="str">
        <f t="shared" si="3"/>
        <v>dpt_cdp_data_credit_account_number_09 = self.get_value_excel_cell(file_data_dpt_cdp, column=dpt_cdp_field_credit_account_number_09, row=row_data_dpt_cdp)</v>
      </c>
    </row>
    <row r="53" spans="1:11" x14ac:dyDescent="0.2">
      <c r="A53" s="6">
        <v>52</v>
      </c>
      <c r="B53" s="15"/>
      <c r="C53" s="15"/>
      <c r="D53" s="16" t="s">
        <v>154</v>
      </c>
      <c r="E53" s="21"/>
      <c r="F53" s="1" t="str">
        <f t="shared" si="1"/>
        <v>dpt_cdp_field_credit_amount_09</v>
      </c>
      <c r="G53" s="1" t="str">
        <f t="shared" si="2"/>
        <v>dpt_cdp_field_credit_amount_09 = self.get_value_excel_cell(file_form_dpt_cdp, column=col_field_name, row=52)</v>
      </c>
      <c r="J53" s="17" t="str">
        <f t="shared" si="4"/>
        <v>dpt_cdp_data_credit_amount_09</v>
      </c>
      <c r="K53" s="17" t="str">
        <f t="shared" si="3"/>
        <v>dpt_cdp_data_credit_amount_09 = self.get_value_excel_cell(file_data_dpt_cdp, column=dpt_cdp_field_credit_amount_09, row=row_data_dpt_cdp)</v>
      </c>
    </row>
    <row r="54" spans="1:11" x14ac:dyDescent="0.2">
      <c r="A54" s="6">
        <v>53</v>
      </c>
      <c r="B54" s="15"/>
      <c r="C54" s="15"/>
      <c r="D54" s="16" t="s">
        <v>155</v>
      </c>
      <c r="E54" s="21"/>
      <c r="F54" s="1" t="str">
        <f t="shared" si="1"/>
        <v>dpt_cdp_field_credit_account_number_10</v>
      </c>
      <c r="G54" s="1" t="str">
        <f t="shared" si="2"/>
        <v>dpt_cdp_field_credit_account_number_10 = self.get_value_excel_cell(file_form_dpt_cdp, column=col_field_name, row=53)</v>
      </c>
      <c r="J54" s="17" t="str">
        <f t="shared" si="4"/>
        <v>dpt_cdp_data_credit_account_number_10</v>
      </c>
      <c r="K54" s="17" t="str">
        <f t="shared" si="3"/>
        <v>dpt_cdp_data_credit_account_number_10 = self.get_value_excel_cell(file_data_dpt_cdp, column=dpt_cdp_field_credit_account_number_10, row=row_data_dpt_cdp)</v>
      </c>
    </row>
    <row r="55" spans="1:11" x14ac:dyDescent="0.2">
      <c r="A55" s="6">
        <v>54</v>
      </c>
      <c r="B55" s="15"/>
      <c r="C55" s="15"/>
      <c r="D55" s="16" t="s">
        <v>156</v>
      </c>
      <c r="E55" s="21"/>
      <c r="F55" s="1" t="str">
        <f t="shared" si="1"/>
        <v>dpt_cdp_field_credit_amount_10</v>
      </c>
      <c r="G55" s="1" t="str">
        <f t="shared" si="2"/>
        <v>dpt_cdp_field_credit_amount_10 = self.get_value_excel_cell(file_form_dpt_cdp, column=col_field_name, row=54)</v>
      </c>
      <c r="J55" s="17" t="str">
        <f t="shared" si="4"/>
        <v>dpt_cdp_data_credit_amount_10</v>
      </c>
      <c r="K55" s="17" t="str">
        <f t="shared" si="3"/>
        <v>dpt_cdp_data_credit_amount_10 = self.get_value_excel_cell(file_data_dpt_cdp, column=dpt_cdp_field_credit_amount_10, row=row_data_dpt_cdp)</v>
      </c>
    </row>
    <row r="56" spans="1:11" x14ac:dyDescent="0.2">
      <c r="A56" s="6">
        <v>55</v>
      </c>
      <c r="B56" s="15"/>
      <c r="C56" s="15"/>
      <c r="D56" s="9" t="s">
        <v>114</v>
      </c>
      <c r="E56" s="22" t="s">
        <v>157</v>
      </c>
      <c r="F56" s="1" t="str">
        <f t="shared" si="1"/>
        <v>dpt_cdp_field_posting_debit</v>
      </c>
      <c r="G56" s="1" t="str">
        <f t="shared" si="2"/>
        <v>dpt_cdp_field_posting_debit = self.get_value_excel_cell(file_form_dpt_cdp, column=col_field_name, row=55)</v>
      </c>
      <c r="J56" s="17"/>
      <c r="K56" s="17"/>
    </row>
    <row r="57" spans="1:11" x14ac:dyDescent="0.2">
      <c r="A57" s="6">
        <v>56</v>
      </c>
      <c r="B57" s="15"/>
      <c r="C57" s="15"/>
      <c r="D57" s="9" t="s">
        <v>115</v>
      </c>
      <c r="E57" s="22" t="s">
        <v>157</v>
      </c>
      <c r="F57" s="1" t="str">
        <f t="shared" si="1"/>
        <v>dpt_cdp_field_posting_credit</v>
      </c>
      <c r="G57" s="1" t="str">
        <f t="shared" si="2"/>
        <v>dpt_cdp_field_posting_credit = self.get_value_excel_cell(file_form_dpt_cdp, column=col_field_name, row=56)</v>
      </c>
      <c r="J57" s="17"/>
      <c r="K57" s="17"/>
    </row>
    <row r="58" spans="1:11" x14ac:dyDescent="0.2">
      <c r="A58" s="6">
        <v>57</v>
      </c>
      <c r="B58" s="15"/>
      <c r="C58" s="15"/>
      <c r="D58" s="9" t="s">
        <v>16</v>
      </c>
      <c r="E58" s="22" t="s">
        <v>157</v>
      </c>
      <c r="F58" s="1" t="str">
        <f t="shared" si="1"/>
        <v>dpt_cdp_field_posting_account_number</v>
      </c>
      <c r="G58" s="1" t="str">
        <f t="shared" si="2"/>
        <v>dpt_cdp_field_posting_account_number = self.get_value_excel_cell(file_form_dpt_cdp, column=col_field_name, row=57)</v>
      </c>
      <c r="J58" s="17"/>
      <c r="K58" s="17"/>
    </row>
    <row r="59" spans="1:11" x14ac:dyDescent="0.2">
      <c r="A59" s="6">
        <v>58</v>
      </c>
      <c r="B59" s="15"/>
      <c r="C59" s="15"/>
      <c r="D59" s="9" t="s">
        <v>116</v>
      </c>
      <c r="E59" s="22" t="s">
        <v>157</v>
      </c>
      <c r="F59" s="1" t="str">
        <f t="shared" si="1"/>
        <v>dpt_cdp_field_posting_amount</v>
      </c>
      <c r="G59" s="1" t="str">
        <f t="shared" si="2"/>
        <v>dpt_cdp_field_posting_amount = self.get_value_excel_cell(file_form_dpt_cdp, column=col_field_name, row=58)</v>
      </c>
      <c r="J59" s="17"/>
      <c r="K59" s="17"/>
    </row>
    <row r="60" spans="1:11" x14ac:dyDescent="0.2">
      <c r="A60" s="6">
        <v>59</v>
      </c>
      <c r="B60" s="15"/>
      <c r="C60" s="15"/>
      <c r="D60" s="9" t="s">
        <v>84</v>
      </c>
      <c r="E60" s="22" t="s">
        <v>158</v>
      </c>
      <c r="F60" s="1" t="str">
        <f t="shared" si="1"/>
        <v>dpt_cdp_field_fee_ifc_code</v>
      </c>
      <c r="G60" s="1" t="str">
        <f t="shared" si="2"/>
        <v>dpt_cdp_field_fee_ifc_code = self.get_value_excel_cell(file_form_dpt_cdp, column=col_field_name, row=59)</v>
      </c>
      <c r="J60" s="17"/>
      <c r="K60" s="17"/>
    </row>
    <row r="61" spans="1:11" x14ac:dyDescent="0.2">
      <c r="A61" s="6">
        <v>60</v>
      </c>
      <c r="B61" s="15"/>
      <c r="C61" s="15"/>
      <c r="D61" s="9" t="s">
        <v>85</v>
      </c>
      <c r="E61" s="22" t="s">
        <v>158</v>
      </c>
      <c r="F61" s="1" t="str">
        <f t="shared" ref="F61" si="5">$F$1&amp;E61&amp;SUBSTITUTE(SUBSTITUTE(SUBSTITUTE(LOWER(D61)," ","_"),"!",""),"interest/fee/charge","ifc")</f>
        <v>dpt_cdp_field_fee_value</v>
      </c>
      <c r="G61" s="1" t="str">
        <f t="shared" si="2"/>
        <v>dpt_cdp_field_fee_value = self.get_value_excel_cell(file_form_dpt_cdp, column=col_field_name, row=60)</v>
      </c>
      <c r="J61" s="17"/>
      <c r="K61" s="17"/>
    </row>
    <row r="62" spans="1:11" x14ac:dyDescent="0.2">
      <c r="A62" s="6">
        <v>61</v>
      </c>
      <c r="B62" s="15"/>
      <c r="C62" s="15"/>
      <c r="D62" s="9" t="s">
        <v>162</v>
      </c>
      <c r="E62" s="22" t="s">
        <v>158</v>
      </c>
      <c r="F62" s="1" t="str">
        <f t="shared" si="1"/>
        <v>dpt_cdp_field_fee_fee</v>
      </c>
      <c r="G62" s="1" t="str">
        <f t="shared" si="2"/>
        <v>dpt_cdp_field_fee_fee = self.get_value_excel_cell(file_form_dpt_cdp, column=col_field_name, row=61)</v>
      </c>
      <c r="J62" s="17"/>
      <c r="K62" s="17"/>
    </row>
    <row r="63" spans="1:11" x14ac:dyDescent="0.2">
      <c r="A63" s="6">
        <v>62</v>
      </c>
      <c r="B63" s="8"/>
      <c r="C63" s="8"/>
      <c r="D63" s="9" t="s">
        <v>82</v>
      </c>
      <c r="E63" s="22"/>
      <c r="F63" s="1" t="str">
        <f t="shared" si="1"/>
        <v>dpt_cdp_field_depositor_description</v>
      </c>
      <c r="G63" s="1" t="str">
        <f t="shared" si="2"/>
        <v>dpt_cdp_field_depositor_description = self.get_value_excel_cell(file_form_dpt_cdp, column=col_field_name, row=62)</v>
      </c>
    </row>
    <row r="64" spans="1:11" x14ac:dyDescent="0.2">
      <c r="A64" s="6">
        <v>63</v>
      </c>
      <c r="B64" s="15"/>
      <c r="C64" s="15"/>
      <c r="D64" s="9" t="s">
        <v>86</v>
      </c>
      <c r="E64" s="22"/>
      <c r="F64" s="1" t="str">
        <f t="shared" si="1"/>
        <v>dpt_cdp_field_add</v>
      </c>
      <c r="G64" s="1" t="str">
        <f t="shared" si="2"/>
        <v>dpt_cdp_field_add = self.get_value_excel_cell(file_form_dpt_cdp, column=col_field_name, row=63)</v>
      </c>
      <c r="K64" s="1" t="str">
        <f t="shared" ref="K64" si="6">J64&amp;$K$1&amp;F64&amp;$L$1</f>
        <v xml:space="preserve"> = self.get_value_excel_cell(file_data_dpt_cdp, column=dpt_cdp_field_add, row=row_data_dpt_cdp)</v>
      </c>
    </row>
    <row r="65" spans="1:7" x14ac:dyDescent="0.2">
      <c r="A65" s="6">
        <v>64</v>
      </c>
      <c r="B65" s="15"/>
      <c r="C65" s="15"/>
      <c r="D65" s="9" t="s">
        <v>87</v>
      </c>
      <c r="E65" s="22"/>
      <c r="F65" s="1" t="str">
        <f t="shared" si="1"/>
        <v>dpt_cdp_field_apply</v>
      </c>
      <c r="G65" s="1" t="str">
        <f t="shared" si="2"/>
        <v>dpt_cdp_field_apply = self.get_value_excel_cell(file_form_dpt_cdp, column=col_field_name, row=64)</v>
      </c>
    </row>
    <row r="66" spans="1:7" x14ac:dyDescent="0.2">
      <c r="A66" s="6">
        <v>65</v>
      </c>
      <c r="B66" s="8"/>
      <c r="C66" s="8"/>
      <c r="D66" s="9" t="s">
        <v>42</v>
      </c>
      <c r="E66" s="22"/>
      <c r="F66" s="1" t="s">
        <v>88</v>
      </c>
      <c r="G66" s="1" t="str">
        <f t="shared" si="2"/>
        <v>dpt_cdp_field_caution = self.get_value_excel_cell(file_form_dpt_cdp, column=col_field_name, row=65)</v>
      </c>
    </row>
    <row r="67" spans="1:7" x14ac:dyDescent="0.2">
      <c r="A67" s="6">
        <v>66</v>
      </c>
      <c r="B67" s="8"/>
      <c r="C67" s="8"/>
      <c r="D67" s="9" t="s">
        <v>44</v>
      </c>
      <c r="E67" s="22"/>
      <c r="F67" s="1" t="str">
        <f>$F$1&amp;SUBSTITUTE(SUBSTITUTE(SUBSTITUTE(LOWER(D67)," ","_"),"!",""),"interest/fee/charge","ifc")</f>
        <v>dpt_cdp_field_accept</v>
      </c>
      <c r="G67" s="1" t="str">
        <f t="shared" ref="G67:G69" si="7">F67&amp;$G$1&amp;A67&amp;$H$1</f>
        <v>dpt_cdp_field_accept = self.get_value_excel_cell(file_form_dpt_cdp, column=col_field_name, row=66)</v>
      </c>
    </row>
    <row r="68" spans="1:7" x14ac:dyDescent="0.2">
      <c r="A68" s="6">
        <v>67</v>
      </c>
      <c r="B68" s="8"/>
      <c r="C68" s="8"/>
      <c r="D68" s="9" t="s">
        <v>46</v>
      </c>
      <c r="E68" s="22"/>
      <c r="F68" s="1" t="str">
        <f>$F$1&amp;SUBSTITUTE(SUBSTITUTE(SUBSTITUTE(LOWER(D68)," ","_"),"!",""),"interest/fee/charge","ifc")</f>
        <v>dpt_cdp_field_saved_successfully</v>
      </c>
      <c r="G68" s="1" t="str">
        <f t="shared" si="7"/>
        <v>dpt_cdp_field_saved_successfully = self.get_value_excel_cell(file_form_dpt_cdp, column=col_field_name, row=67)</v>
      </c>
    </row>
    <row r="69" spans="1:7" x14ac:dyDescent="0.2">
      <c r="A69" s="6">
        <v>68</v>
      </c>
      <c r="B69" s="8"/>
      <c r="C69" s="8"/>
      <c r="D69" s="9" t="s">
        <v>48</v>
      </c>
      <c r="E69" s="22"/>
      <c r="F69" s="1" t="str">
        <f>$F$1&amp;SUBSTITUTE(SUBSTITUTE(SUBSTITUTE(LOWER(D69)," ","_"),"!",""),"interest/fee/charge","ifc")</f>
        <v>dpt_cdp_field_transaction_references</v>
      </c>
      <c r="G69" s="1" t="str">
        <f t="shared" si="7"/>
        <v>dpt_cdp_field_transaction_references = self.get_value_excel_cell(file_form_dpt_cdp, column=col_field_name, row=68)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05A89-C46F-4110-900D-4E287BB72BE8}">
  <dimension ref="A1:BC11"/>
  <sheetViews>
    <sheetView tabSelected="1" workbookViewId="0">
      <selection activeCell="L2" sqref="L2"/>
    </sheetView>
  </sheetViews>
  <sheetFormatPr defaultRowHeight="12.75" x14ac:dyDescent="0.2"/>
  <cols>
    <col min="1" max="1" width="3.5703125" style="1" bestFit="1" customWidth="1"/>
    <col min="2" max="2" width="14.85546875" style="1" bestFit="1" customWidth="1"/>
    <col min="3" max="3" width="26.140625" style="1" bestFit="1" customWidth="1"/>
    <col min="4" max="5" width="14.140625" style="1" bestFit="1" customWidth="1"/>
    <col min="6" max="6" width="13.5703125" style="1" bestFit="1" customWidth="1"/>
    <col min="7" max="7" width="16.140625" style="1" bestFit="1" customWidth="1"/>
    <col min="8" max="8" width="12" style="1" bestFit="1" customWidth="1"/>
    <col min="9" max="9" width="4.85546875" style="1" bestFit="1" customWidth="1"/>
    <col min="10" max="10" width="11.7109375" style="1" bestFit="1" customWidth="1"/>
    <col min="11" max="11" width="11" style="1" bestFit="1" customWidth="1"/>
    <col min="12" max="12" width="8.28515625" style="1" bestFit="1" customWidth="1"/>
    <col min="13" max="13" width="11" style="1" bestFit="1" customWidth="1"/>
    <col min="14" max="14" width="8.28515625" style="1" bestFit="1" customWidth="1"/>
    <col min="15" max="15" width="21.85546875" style="1" bestFit="1" customWidth="1"/>
    <col min="16" max="16" width="22.140625" style="1" bestFit="1" customWidth="1"/>
    <col min="17" max="17" width="14.7109375" style="1" bestFit="1" customWidth="1"/>
    <col min="18" max="18" width="22.140625" style="1" bestFit="1" customWidth="1"/>
    <col min="19" max="19" width="14.7109375" style="1" bestFit="1" customWidth="1"/>
    <col min="20" max="20" width="22.140625" style="1" bestFit="1" customWidth="1"/>
    <col min="21" max="21" width="14.7109375" style="1" bestFit="1" customWidth="1"/>
    <col min="22" max="22" width="22.140625" style="1" bestFit="1" customWidth="1"/>
    <col min="23" max="23" width="14.7109375" style="1" bestFit="1" customWidth="1"/>
    <col min="24" max="24" width="22.140625" style="1" bestFit="1" customWidth="1"/>
    <col min="25" max="25" width="14.7109375" style="1" bestFit="1" customWidth="1"/>
    <col min="26" max="26" width="22.140625" style="1" bestFit="1" customWidth="1"/>
    <col min="27" max="27" width="14.7109375" style="1" bestFit="1" customWidth="1"/>
    <col min="28" max="28" width="22.140625" style="1" bestFit="1" customWidth="1"/>
    <col min="29" max="29" width="14.7109375" style="1" bestFit="1" customWidth="1"/>
    <col min="30" max="30" width="22.140625" style="1" bestFit="1" customWidth="1"/>
    <col min="31" max="31" width="14.7109375" style="1" bestFit="1" customWidth="1"/>
    <col min="32" max="32" width="22.140625" style="1" bestFit="1" customWidth="1"/>
    <col min="33" max="33" width="14.7109375" style="1" bestFit="1" customWidth="1"/>
    <col min="34" max="34" width="22.140625" style="1" bestFit="1" customWidth="1"/>
    <col min="35" max="35" width="14.7109375" style="1" bestFit="1" customWidth="1"/>
    <col min="36" max="36" width="22.7109375" style="1" bestFit="1" customWidth="1"/>
    <col min="37" max="37" width="15.28515625" style="1" bestFit="1" customWidth="1"/>
    <col min="38" max="38" width="22.7109375" style="1" bestFit="1" customWidth="1"/>
    <col min="39" max="39" width="15.28515625" style="1" bestFit="1" customWidth="1"/>
    <col min="40" max="40" width="22.7109375" style="1" bestFit="1" customWidth="1"/>
    <col min="41" max="41" width="15.28515625" style="1" bestFit="1" customWidth="1"/>
    <col min="42" max="42" width="22.7109375" style="1" bestFit="1" customWidth="1"/>
    <col min="43" max="43" width="15.28515625" style="1" bestFit="1" customWidth="1"/>
    <col min="44" max="44" width="22.7109375" style="1" bestFit="1" customWidth="1"/>
    <col min="45" max="45" width="15.28515625" style="1" bestFit="1" customWidth="1"/>
    <col min="46" max="46" width="22.7109375" style="1" bestFit="1" customWidth="1"/>
    <col min="47" max="47" width="15.28515625" style="1" bestFit="1" customWidth="1"/>
    <col min="48" max="48" width="22.7109375" style="1" bestFit="1" customWidth="1"/>
    <col min="49" max="49" width="15.28515625" style="1" bestFit="1" customWidth="1"/>
    <col min="50" max="50" width="22.7109375" style="1" bestFit="1" customWidth="1"/>
    <col min="51" max="51" width="15.28515625" style="1" bestFit="1" customWidth="1"/>
    <col min="52" max="52" width="22.7109375" style="1" bestFit="1" customWidth="1"/>
    <col min="53" max="53" width="15.28515625" style="1" bestFit="1" customWidth="1"/>
    <col min="54" max="54" width="22.7109375" style="1" bestFit="1" customWidth="1"/>
    <col min="55" max="55" width="15.28515625" style="1" bestFit="1" customWidth="1"/>
    <col min="56" max="16384" width="9.140625" style="1"/>
  </cols>
  <sheetData>
    <row r="1" spans="1:55" ht="15" customHeight="1" x14ac:dyDescent="0.2">
      <c r="A1" s="12" t="s">
        <v>0</v>
      </c>
      <c r="B1" s="10" t="s">
        <v>16</v>
      </c>
      <c r="C1" s="10" t="s">
        <v>62</v>
      </c>
      <c r="D1" s="10" t="s">
        <v>76</v>
      </c>
      <c r="E1" s="10" t="s">
        <v>78</v>
      </c>
      <c r="F1" s="10" t="s">
        <v>79</v>
      </c>
      <c r="G1" s="10" t="s">
        <v>80</v>
      </c>
      <c r="H1" s="10" t="s">
        <v>81</v>
      </c>
      <c r="I1" s="10" t="s">
        <v>83</v>
      </c>
      <c r="J1" s="10" t="s">
        <v>35</v>
      </c>
      <c r="K1" s="16" t="s">
        <v>90</v>
      </c>
      <c r="L1" s="16" t="s">
        <v>91</v>
      </c>
      <c r="M1" s="16" t="s">
        <v>92</v>
      </c>
      <c r="N1" s="16" t="s">
        <v>93</v>
      </c>
      <c r="O1" s="16" t="s">
        <v>98</v>
      </c>
      <c r="P1" s="16" t="s">
        <v>117</v>
      </c>
      <c r="Q1" s="16" t="s">
        <v>118</v>
      </c>
      <c r="R1" s="16" t="s">
        <v>119</v>
      </c>
      <c r="S1" s="16" t="s">
        <v>120</v>
      </c>
      <c r="T1" s="16" t="s">
        <v>121</v>
      </c>
      <c r="U1" s="16" t="s">
        <v>122</v>
      </c>
      <c r="V1" s="16" t="s">
        <v>123</v>
      </c>
      <c r="W1" s="16" t="s">
        <v>124</v>
      </c>
      <c r="X1" s="16" t="s">
        <v>125</v>
      </c>
      <c r="Y1" s="16" t="s">
        <v>126</v>
      </c>
      <c r="Z1" s="16" t="s">
        <v>127</v>
      </c>
      <c r="AA1" s="16" t="s">
        <v>128</v>
      </c>
      <c r="AB1" s="16" t="s">
        <v>129</v>
      </c>
      <c r="AC1" s="16" t="s">
        <v>130</v>
      </c>
      <c r="AD1" s="16" t="s">
        <v>131</v>
      </c>
      <c r="AE1" s="16" t="s">
        <v>132</v>
      </c>
      <c r="AF1" s="16" t="s">
        <v>133</v>
      </c>
      <c r="AG1" s="16" t="s">
        <v>134</v>
      </c>
      <c r="AH1" s="16" t="s">
        <v>135</v>
      </c>
      <c r="AI1" s="16" t="s">
        <v>136</v>
      </c>
      <c r="AJ1" s="16" t="s">
        <v>137</v>
      </c>
      <c r="AK1" s="16" t="s">
        <v>138</v>
      </c>
      <c r="AL1" s="16" t="s">
        <v>139</v>
      </c>
      <c r="AM1" s="16" t="s">
        <v>140</v>
      </c>
      <c r="AN1" s="16" t="s">
        <v>141</v>
      </c>
      <c r="AO1" s="16" t="s">
        <v>142</v>
      </c>
      <c r="AP1" s="16" t="s">
        <v>143</v>
      </c>
      <c r="AQ1" s="16" t="s">
        <v>144</v>
      </c>
      <c r="AR1" s="16" t="s">
        <v>145</v>
      </c>
      <c r="AS1" s="16" t="s">
        <v>146</v>
      </c>
      <c r="AT1" s="16" t="s">
        <v>147</v>
      </c>
      <c r="AU1" s="16" t="s">
        <v>148</v>
      </c>
      <c r="AV1" s="16" t="s">
        <v>149</v>
      </c>
      <c r="AW1" s="16" t="s">
        <v>150</v>
      </c>
      <c r="AX1" s="16" t="s">
        <v>151</v>
      </c>
      <c r="AY1" s="16" t="s">
        <v>152</v>
      </c>
      <c r="AZ1" s="16" t="s">
        <v>153</v>
      </c>
      <c r="BA1" s="16" t="s">
        <v>154</v>
      </c>
      <c r="BB1" s="16" t="s">
        <v>155</v>
      </c>
      <c r="BC1" s="16" t="s">
        <v>156</v>
      </c>
    </row>
    <row r="2" spans="1:55" x14ac:dyDescent="0.2">
      <c r="A2" s="8">
        <v>1</v>
      </c>
      <c r="B2" s="18" t="s">
        <v>89</v>
      </c>
      <c r="C2" s="18"/>
      <c r="D2" s="19" t="s">
        <v>94</v>
      </c>
      <c r="E2" s="18"/>
      <c r="F2" s="18"/>
      <c r="G2" s="18"/>
      <c r="H2" s="18"/>
      <c r="I2" s="18"/>
      <c r="J2" s="18" t="s">
        <v>55</v>
      </c>
      <c r="K2" s="18" t="s">
        <v>95</v>
      </c>
      <c r="L2" s="18" t="s">
        <v>96</v>
      </c>
      <c r="M2" s="18" t="s">
        <v>97</v>
      </c>
      <c r="N2" s="18" t="s">
        <v>163</v>
      </c>
      <c r="O2" s="18" t="s">
        <v>99</v>
      </c>
      <c r="P2" s="18" t="s">
        <v>159</v>
      </c>
      <c r="Q2" s="19" t="s">
        <v>94</v>
      </c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 t="s">
        <v>160</v>
      </c>
      <c r="AK2" s="19" t="s">
        <v>94</v>
      </c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</row>
    <row r="3" spans="1:55" x14ac:dyDescent="0.2">
      <c r="A3" s="8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</row>
    <row r="4" spans="1:55" x14ac:dyDescent="0.2">
      <c r="A4" s="8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</row>
    <row r="5" spans="1:55" x14ac:dyDescent="0.2">
      <c r="A5" s="8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</row>
    <row r="6" spans="1:55" x14ac:dyDescent="0.2">
      <c r="A6" s="8">
        <v>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</row>
    <row r="7" spans="1:55" x14ac:dyDescent="0.2">
      <c r="A7" s="8">
        <v>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</row>
    <row r="8" spans="1:55" x14ac:dyDescent="0.2">
      <c r="A8" s="8">
        <v>7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</row>
    <row r="9" spans="1:55" x14ac:dyDescent="0.2">
      <c r="A9" s="8">
        <v>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</row>
    <row r="10" spans="1:55" x14ac:dyDescent="0.2">
      <c r="A10" s="8">
        <v>9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</row>
    <row r="11" spans="1:55" x14ac:dyDescent="0.2">
      <c r="A11" s="8">
        <v>10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FOF_F8</vt:lpstr>
      <vt:lpstr>DPT_OPN</vt:lpstr>
      <vt:lpstr>DPT_OPN_DATA</vt:lpstr>
      <vt:lpstr>DPT_APR</vt:lpstr>
      <vt:lpstr>DPT_APR_DATA</vt:lpstr>
      <vt:lpstr>DPT_REJ</vt:lpstr>
      <vt:lpstr>DPT_REJ_DATA</vt:lpstr>
      <vt:lpstr>DPT_CDP</vt:lpstr>
      <vt:lpstr>DPT_CDP_DATA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Nhi Doan</dc:creator>
  <cp:lastModifiedBy>Nhi Doan</cp:lastModifiedBy>
  <dcterms:created xsi:type="dcterms:W3CDTF">2024-09-19T09:38:24Z</dcterms:created>
  <dcterms:modified xsi:type="dcterms:W3CDTF">2024-11-11T05:03:48Z</dcterms:modified>
</cp:coreProperties>
</file>