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_AutoTest\source-code\cbs-neptune-autotest\ui-test\tests\data_excel\"/>
    </mc:Choice>
  </mc:AlternateContent>
  <xr:revisionPtr revIDLastSave="0" documentId="13_ncr:1_{36EFE7C8-D6FC-45EB-827B-2F406D42503E}" xr6:coauthVersionLast="45" xr6:coauthVersionMax="45" xr10:uidLastSave="{00000000-0000-0000-0000-000000000000}"/>
  <bookViews>
    <workbookView xWindow="20370" yWindow="-120" windowWidth="29040" windowHeight="15990" tabRatio="833" activeTab="2" xr2:uid="{5E6CAB1F-32B9-4BCB-BBA6-02F8AECCA153}"/>
  </bookViews>
  <sheets>
    <sheet name="URL" sheetId="6" r:id="rId1"/>
    <sheet name="ListUser" sheetId="4" r:id="rId2"/>
    <sheet name="ListDataTest" sheetId="16" r:id="rId3"/>
    <sheet name="ListTransFO" sheetId="9" r:id="rId4"/>
    <sheet name="ListTransBO" sheetId="11" r:id="rId5"/>
    <sheet name="Sheet2" sheetId="13" r:id="rId6"/>
    <sheet name="ListTransAPI" sheetId="10" r:id="rId7"/>
    <sheet name="ListTrans" sheetId="8" r:id="rId8"/>
    <sheet name="Sheet4" sheetId="15" r:id="rId9"/>
    <sheet name="RawData" sheetId="12" r:id="rId10"/>
    <sheet name="Sheet1" sheetId="5" r:id="rId11"/>
    <sheet name="Sheet3" sheetId="14" r:id="rId12"/>
  </sheets>
  <definedNames>
    <definedName name="_xlnm._FilterDatabase" localSheetId="7" hidden="1">ListTrans!$A$1:$C$124</definedName>
    <definedName name="_xlnm._FilterDatabase" localSheetId="3" hidden="1">ListTransFO!$A$1:$H$130</definedName>
    <definedName name="_xlnm._FilterDatabase" localSheetId="9" hidden="1">RawData!$A$1:$E$396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6" i="14" l="1"/>
  <c r="J55" i="14"/>
  <c r="J54" i="14"/>
  <c r="J53" i="14"/>
  <c r="J52" i="14"/>
  <c r="J51" i="14"/>
  <c r="J37" i="14"/>
  <c r="J38" i="14"/>
  <c r="J39" i="14"/>
  <c r="J40" i="14"/>
  <c r="J41" i="14"/>
  <c r="J42" i="14"/>
  <c r="J43" i="14"/>
  <c r="J44" i="14"/>
  <c r="J45" i="14"/>
  <c r="J46" i="14"/>
  <c r="J47" i="14"/>
  <c r="J36" i="14" l="1"/>
  <c r="J32" i="14" l="1"/>
  <c r="J31" i="14"/>
  <c r="J25" i="14"/>
  <c r="J26" i="14"/>
  <c r="J27" i="14"/>
  <c r="J28" i="14"/>
  <c r="J29" i="14"/>
  <c r="J30" i="14"/>
  <c r="J24" i="14"/>
  <c r="J18" i="14"/>
  <c r="J19" i="14"/>
  <c r="J20" i="14"/>
  <c r="J17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3" i="14"/>
  <c r="D35" i="13" l="1"/>
  <c r="C13" i="12" l="1"/>
  <c r="C17" i="12"/>
  <c r="C33" i="12"/>
  <c r="C49" i="12"/>
  <c r="C64" i="12"/>
  <c r="C77" i="12"/>
  <c r="C93" i="12"/>
  <c r="C109" i="12"/>
  <c r="C121" i="12"/>
  <c r="C154" i="12"/>
  <c r="C158" i="12"/>
  <c r="C170" i="12"/>
  <c r="C124" i="8"/>
  <c r="C123" i="8"/>
  <c r="C122" i="8"/>
  <c r="C121" i="8"/>
  <c r="C120" i="12" s="1"/>
  <c r="C120" i="8"/>
  <c r="C119" i="8"/>
  <c r="C118" i="8"/>
  <c r="C117" i="8"/>
  <c r="C116" i="8"/>
  <c r="C105" i="12" s="1"/>
  <c r="C115" i="8"/>
  <c r="C19" i="12" s="1"/>
  <c r="C114" i="8"/>
  <c r="C22" i="12" s="1"/>
  <c r="C113" i="8"/>
  <c r="C112" i="8"/>
  <c r="C111" i="8"/>
  <c r="C110" i="8"/>
  <c r="C109" i="8"/>
  <c r="C108" i="8"/>
  <c r="C107" i="8"/>
  <c r="C106" i="8"/>
  <c r="C151" i="12" s="1"/>
  <c r="C105" i="8"/>
  <c r="C104" i="8"/>
  <c r="C103" i="8"/>
  <c r="C130" i="12" s="1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166" i="12" s="1"/>
  <c r="C81" i="8"/>
  <c r="C80" i="8"/>
  <c r="C79" i="8"/>
  <c r="C78" i="8"/>
  <c r="C77" i="8"/>
  <c r="C76" i="8"/>
  <c r="C75" i="8"/>
  <c r="C74" i="8"/>
  <c r="C157" i="12" s="1"/>
  <c r="C73" i="8"/>
  <c r="C72" i="8"/>
  <c r="C71" i="8"/>
  <c r="C70" i="8"/>
  <c r="C69" i="8"/>
  <c r="C68" i="8"/>
  <c r="C67" i="8"/>
  <c r="C117" i="12" s="1"/>
  <c r="C66" i="8"/>
  <c r="C65" i="8"/>
  <c r="C126" i="12" s="1"/>
  <c r="C64" i="8"/>
  <c r="C129" i="12" s="1"/>
  <c r="C63" i="8"/>
  <c r="C66" i="12" s="1"/>
  <c r="C62" i="8"/>
  <c r="C65" i="12" s="1"/>
  <c r="C61" i="8"/>
  <c r="C60" i="8"/>
  <c r="C59" i="8"/>
  <c r="C58" i="8"/>
  <c r="C57" i="8"/>
  <c r="C56" i="8"/>
  <c r="C136" i="12" s="1"/>
  <c r="C55" i="8"/>
  <c r="C125" i="12" s="1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133" i="12" s="1"/>
  <c r="C33" i="8"/>
  <c r="C114" i="12" s="1"/>
  <c r="C32" i="8"/>
  <c r="C113" i="12" s="1"/>
  <c r="C31" i="8"/>
  <c r="C108" i="12" s="1"/>
  <c r="C30" i="8"/>
  <c r="C107" i="12" s="1"/>
  <c r="C29" i="8"/>
  <c r="C28" i="8"/>
  <c r="C89" i="12" s="1"/>
  <c r="C27" i="8"/>
  <c r="C85" i="12" s="1"/>
  <c r="C26" i="8"/>
  <c r="C25" i="8"/>
  <c r="C24" i="8"/>
  <c r="C23" i="8"/>
  <c r="C69" i="12" s="1"/>
  <c r="C22" i="8"/>
  <c r="C21" i="8"/>
  <c r="C61" i="12" s="1"/>
  <c r="C20" i="8"/>
  <c r="C57" i="12" s="1"/>
  <c r="C19" i="8"/>
  <c r="C18" i="8"/>
  <c r="C17" i="8"/>
  <c r="C45" i="12" s="1"/>
  <c r="C16" i="8"/>
  <c r="C15" i="8"/>
  <c r="C14" i="8"/>
  <c r="C32" i="12" s="1"/>
  <c r="C13" i="8"/>
  <c r="C12" i="8"/>
  <c r="C29" i="12" s="1"/>
  <c r="C11" i="8"/>
  <c r="C28" i="12" s="1"/>
  <c r="C10" i="8"/>
  <c r="C25" i="12" s="1"/>
  <c r="C9" i="8"/>
  <c r="C20" i="12" s="1"/>
  <c r="C8" i="8"/>
  <c r="C18" i="12" s="1"/>
  <c r="C7" i="8"/>
  <c r="C6" i="8"/>
  <c r="C5" i="8"/>
  <c r="C9" i="12" s="1"/>
  <c r="C4" i="8"/>
  <c r="C3" i="8"/>
  <c r="C2" i="8"/>
  <c r="C70" i="12" l="1"/>
  <c r="C71" i="12"/>
  <c r="C72" i="12"/>
  <c r="C26" i="12"/>
  <c r="C27" i="12"/>
  <c r="C139" i="12"/>
  <c r="C140" i="12"/>
  <c r="C137" i="12"/>
  <c r="C141" i="12"/>
  <c r="C138" i="12"/>
  <c r="C73" i="12"/>
  <c r="C143" i="12"/>
  <c r="C147" i="12"/>
  <c r="C144" i="12"/>
  <c r="C145" i="12"/>
  <c r="C6" i="12"/>
  <c r="C7" i="12"/>
  <c r="C38" i="12"/>
  <c r="C42" i="12"/>
  <c r="C39" i="12"/>
  <c r="C43" i="12"/>
  <c r="C40" i="12"/>
  <c r="C44" i="12"/>
  <c r="C90" i="12"/>
  <c r="C94" i="12"/>
  <c r="C91" i="12"/>
  <c r="C88" i="12"/>
  <c r="C92" i="12"/>
  <c r="C110" i="12"/>
  <c r="C111" i="12"/>
  <c r="C112" i="12"/>
  <c r="C127" i="12"/>
  <c r="C128" i="12"/>
  <c r="C102" i="12"/>
  <c r="C106" i="12"/>
  <c r="C103" i="12"/>
  <c r="C104" i="12"/>
  <c r="C58" i="12"/>
  <c r="C62" i="12"/>
  <c r="C59" i="12"/>
  <c r="C63" i="12"/>
  <c r="C60" i="12"/>
  <c r="C148" i="12"/>
  <c r="C149" i="12"/>
  <c r="C163" i="12"/>
  <c r="C164" i="12"/>
  <c r="C161" i="12"/>
  <c r="C165" i="12"/>
  <c r="C171" i="12"/>
  <c r="C169" i="12"/>
  <c r="C159" i="12"/>
  <c r="C160" i="12"/>
  <c r="C150" i="12"/>
  <c r="C101" i="12"/>
  <c r="C41" i="12"/>
  <c r="C2" i="12"/>
  <c r="C3" i="12"/>
  <c r="C4" i="12"/>
  <c r="C14" i="12"/>
  <c r="C15" i="12"/>
  <c r="C16" i="12"/>
  <c r="C34" i="12"/>
  <c r="C35" i="12"/>
  <c r="C36" i="12"/>
  <c r="C50" i="12"/>
  <c r="C51" i="12"/>
  <c r="C52" i="12"/>
  <c r="C82" i="12"/>
  <c r="C86" i="12"/>
  <c r="C83" i="12"/>
  <c r="C87" i="12"/>
  <c r="C84" i="12"/>
  <c r="C118" i="12"/>
  <c r="C115" i="12"/>
  <c r="C119" i="12"/>
  <c r="C116" i="12"/>
  <c r="C142" i="12"/>
  <c r="C54" i="12"/>
  <c r="C55" i="12"/>
  <c r="C56" i="12"/>
  <c r="C172" i="12"/>
  <c r="C173" i="12"/>
  <c r="C10" i="12"/>
  <c r="C8" i="12"/>
  <c r="C30" i="12"/>
  <c r="C31" i="12"/>
  <c r="C74" i="12"/>
  <c r="C75" i="12"/>
  <c r="C76" i="12"/>
  <c r="C98" i="12"/>
  <c r="C95" i="12"/>
  <c r="C99" i="12"/>
  <c r="C96" i="12"/>
  <c r="C100" i="12"/>
  <c r="C122" i="12"/>
  <c r="C123" i="12"/>
  <c r="C124" i="12"/>
  <c r="C155" i="12"/>
  <c r="C156" i="12"/>
  <c r="C11" i="12"/>
  <c r="C12" i="12"/>
  <c r="C23" i="12"/>
  <c r="C24" i="12"/>
  <c r="C46" i="12"/>
  <c r="C47" i="12"/>
  <c r="C48" i="12"/>
  <c r="C67" i="12"/>
  <c r="C68" i="12"/>
  <c r="C78" i="12"/>
  <c r="C79" i="12"/>
  <c r="C80" i="12"/>
  <c r="C134" i="12"/>
  <c r="C131" i="12"/>
  <c r="C135" i="12"/>
  <c r="C132" i="12"/>
  <c r="C167" i="12"/>
  <c r="C168" i="12"/>
  <c r="C152" i="12"/>
  <c r="C153" i="12"/>
  <c r="C162" i="12"/>
  <c r="C146" i="12"/>
  <c r="C97" i="12"/>
  <c r="C81" i="12"/>
  <c r="C53" i="12"/>
  <c r="C37" i="12"/>
  <c r="C21" i="12"/>
  <c r="C5" i="12"/>
  <c r="F15" i="5"/>
  <c r="G13" i="5"/>
  <c r="F16" i="5" s="1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E27" i="5"/>
  <c r="E31" i="5"/>
  <c r="E35" i="5"/>
  <c r="E39" i="5"/>
  <c r="E43" i="5"/>
  <c r="E47" i="5"/>
  <c r="E51" i="5"/>
  <c r="E55" i="5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D28" i="5"/>
  <c r="E28" i="5" s="1"/>
  <c r="D29" i="5"/>
  <c r="E29" i="5" s="1"/>
  <c r="D30" i="5"/>
  <c r="E30" i="5" s="1"/>
  <c r="D31" i="5"/>
  <c r="D32" i="5"/>
  <c r="E32" i="5" s="1"/>
  <c r="D33" i="5"/>
  <c r="E33" i="5" s="1"/>
  <c r="D34" i="5"/>
  <c r="E34" i="5" s="1"/>
  <c r="D35" i="5"/>
  <c r="D36" i="5"/>
  <c r="E36" i="5" s="1"/>
  <c r="D37" i="5"/>
  <c r="E37" i="5" s="1"/>
  <c r="D38" i="5"/>
  <c r="E38" i="5" s="1"/>
  <c r="D39" i="5"/>
  <c r="D40" i="5"/>
  <c r="E40" i="5" s="1"/>
  <c r="D41" i="5"/>
  <c r="E41" i="5" s="1"/>
  <c r="D42" i="5"/>
  <c r="E42" i="5" s="1"/>
  <c r="D43" i="5"/>
  <c r="D44" i="5"/>
  <c r="E44" i="5" s="1"/>
  <c r="D45" i="5"/>
  <c r="E45" i="5" s="1"/>
  <c r="D46" i="5"/>
  <c r="E46" i="5" s="1"/>
  <c r="D47" i="5"/>
  <c r="D48" i="5"/>
  <c r="E48" i="5" s="1"/>
  <c r="D49" i="5"/>
  <c r="E49" i="5" s="1"/>
  <c r="D50" i="5"/>
  <c r="E50" i="5" s="1"/>
  <c r="D51" i="5"/>
  <c r="D52" i="5"/>
  <c r="E52" i="5" s="1"/>
  <c r="D53" i="5"/>
  <c r="E53" i="5" s="1"/>
  <c r="D54" i="5"/>
  <c r="E54" i="5" s="1"/>
  <c r="D55" i="5"/>
  <c r="D56" i="5"/>
  <c r="E56" i="5" s="1"/>
  <c r="D57" i="5"/>
  <c r="E57" i="5" s="1"/>
  <c r="D58" i="5"/>
  <c r="E58" i="5" s="1"/>
  <c r="D15" i="5"/>
  <c r="E15" i="5" s="1"/>
  <c r="M12" i="5"/>
  <c r="L12" i="5"/>
  <c r="K12" i="5"/>
  <c r="J12" i="5"/>
  <c r="K4" i="5" l="1"/>
  <c r="M4" i="5"/>
  <c r="L4" i="5"/>
  <c r="J4" i="5"/>
  <c r="J5" i="5"/>
  <c r="K5" i="5" s="1"/>
  <c r="L5" i="5" s="1"/>
  <c r="M5" i="5" s="1"/>
  <c r="J6" i="5" s="1"/>
  <c r="K6" i="5" s="1"/>
  <c r="L6" i="5" s="1"/>
  <c r="M6" i="5" s="1"/>
  <c r="J7" i="5" s="1"/>
  <c r="K7" i="5" s="1"/>
  <c r="L7" i="5" s="1"/>
  <c r="M7" i="5" s="1"/>
  <c r="J8" i="5" s="1"/>
  <c r="K8" i="5" s="1"/>
  <c r="L8" i="5" s="1"/>
  <c r="M8" i="5" s="1"/>
  <c r="J9" i="5" s="1"/>
  <c r="K9" i="5" s="1"/>
  <c r="L9" i="5" s="1"/>
  <c r="M9" i="5" s="1"/>
  <c r="J10" i="5" s="1"/>
  <c r="K10" i="5" s="1"/>
  <c r="L10" i="5" s="1"/>
  <c r="M10" i="5" s="1"/>
  <c r="J11" i="5" s="1"/>
  <c r="K11" i="5" s="1"/>
  <c r="L11" i="5" s="1"/>
  <c r="M11" i="5" s="1"/>
  <c r="L3" i="5"/>
  <c r="M3" i="5"/>
  <c r="K3" i="5"/>
  <c r="J3" i="5"/>
  <c r="K2" i="5"/>
  <c r="L2" i="5" s="1"/>
  <c r="M2" i="5" s="1"/>
</calcChain>
</file>

<file path=xl/sharedStrings.xml><?xml version="1.0" encoding="utf-8"?>
<sst xmlns="http://schemas.openxmlformats.org/spreadsheetml/2006/main" count="4324" uniqueCount="841">
  <si>
    <t>No</t>
  </si>
  <si>
    <t>cashier001</t>
  </si>
  <si>
    <t>cashier002</t>
  </si>
  <si>
    <t>cashier003</t>
  </si>
  <si>
    <t>cashier004</t>
  </si>
  <si>
    <t>cashier005</t>
  </si>
  <si>
    <t>cashier006</t>
  </si>
  <si>
    <t>cashier007</t>
  </si>
  <si>
    <t>cashier008</t>
  </si>
  <si>
    <t>cashier009</t>
  </si>
  <si>
    <t>cashier997</t>
  </si>
  <si>
    <t>cashier999</t>
  </si>
  <si>
    <t>Password</t>
  </si>
  <si>
    <t>Sh@123456</t>
  </si>
  <si>
    <t>Username</t>
  </si>
  <si>
    <t>URL</t>
  </si>
  <si>
    <t>users</t>
  </si>
  <si>
    <t>User</t>
  </si>
  <si>
    <t>Account</t>
  </si>
  <si>
    <t>Files</t>
  </si>
  <si>
    <t>File 1</t>
  </si>
  <si>
    <t>File 2</t>
  </si>
  <si>
    <t>File 3</t>
  </si>
  <si>
    <t>File 4</t>
  </si>
  <si>
    <t>RowStart</t>
  </si>
  <si>
    <t>Index</t>
  </si>
  <si>
    <t>https://demo-cbs.finasit.jits.digital/login/</t>
  </si>
  <si>
    <t>File name for test</t>
  </si>
  <si>
    <t>File name for run</t>
  </si>
  <si>
    <t>run_</t>
  </si>
  <si>
    <t>test_account_information_</t>
  </si>
  <si>
    <t>RowIndex</t>
  </si>
  <si>
    <t>Run CMD</t>
  </si>
  <si>
    <t xml:space="preserve">start cmd /k "python </t>
  </si>
  <si>
    <t>h</t>
  </si>
  <si>
    <t>m</t>
  </si>
  <si>
    <t>https://test-cbs.shwesit.jits.digital/login/</t>
  </si>
  <si>
    <t>https://27.3.1.198:5017/login/</t>
  </si>
  <si>
    <t>TransCode</t>
  </si>
  <si>
    <t>TransName</t>
  </si>
  <si>
    <t>RuleName</t>
  </si>
  <si>
    <t>Parameter</t>
  </si>
  <si>
    <t>Note</t>
  </si>
  <si>
    <t>Expected</t>
  </si>
  <si>
    <t>DPT_RCTM</t>
  </si>
  <si>
    <t>TMM_OPN</t>
  </si>
  <si>
    <t>TMM_AAR</t>
  </si>
  <si>
    <t>MM - Open account</t>
  </si>
  <si>
    <t>MM - Amendment account registration</t>
  </si>
  <si>
    <t>__CheckDepositExit</t>
  </si>
  <si>
    <t>{"Condition": {"func": "=", "paras": ["$.request.request_body.data.SettlementBy1", "D"], "type": "String"}, "DepositAccount": "$.request.request_body.data.AccountNo1"}</t>
  </si>
  <si>
    <t>{"Condition":{"func":"=","paras":["$.request.request_body.data.SettlementBy2","D"],"type":"String"},"DepositAccount":"$.request.request_body.data.AccountNo2"}</t>
  </si>
  <si>
    <t>{"Condition": {"func": "=", "paras":  ["$.request.request_body.data.SettlementBy2",  "D"], "type": "String"}, "DepositAccount": "$.request.request_body.data.AccountNo2"}</t>
  </si>
  <si>
    <t>__CheckNotAllowedDepositStatus</t>
  </si>
  <si>
    <t>{"AccountNumber":"$.request.request_body.data.AccountNumber","NotAllowStatus":"C"}</t>
  </si>
  <si>
    <t>Change Deposit Account Name And Relation Customers</t>
  </si>
  <si>
    <t>DPT_CLS, DPT_DLS, DPT_MLS</t>
  </si>
  <si>
    <t>CheckAllowBranch</t>
  </si>
  <si>
    <t>{"AccountNumber":"account_number", "UserBranch":"current_branch_code"}</t>
  </si>
  <si>
    <t>DPT_UPDATE_DEPOSIT</t>
  </si>
  <si>
    <t>ACT_DPT</t>
  </si>
  <si>
    <t>{"en":"FX accounting - deposit","vi":"FX accounting - cash"}</t>
  </si>
  <si>
    <t>CRD_FCD</t>
  </si>
  <si>
    <t>{"en":"5572: Fee collection by deposit","vi":""}</t>
  </si>
  <si>
    <t>CRD_IPCT</t>
  </si>
  <si>
    <t>{"en":"5513: Principal and interest collection by transfer","vi":""}</t>
  </si>
  <si>
    <t>CRD_RFD</t>
  </si>
  <si>
    <t>{"en":"55721: Ree refund by transfer","vi":""}</t>
  </si>
  <si>
    <t>CRD_TDR</t>
  </si>
  <si>
    <t>{"en":"5523: Disbursement by transfer","vi":""}</t>
  </si>
  <si>
    <t>CSH_DPT</t>
  </si>
  <si>
    <t>{"en":"FX cash - Deposit","vi":"FX cash - Deposit"}</t>
  </si>
  <si>
    <t>DPT_ACT</t>
  </si>
  <si>
    <t>{"en":"FX deposit - accounting","vi":"FX deposit - accounting"}</t>
  </si>
  <si>
    <t>DPT_APR</t>
  </si>
  <si>
    <t>{"en":"Approve deposit account","vi":""}</t>
  </si>
  <si>
    <t>DPT_BLK</t>
  </si>
  <si>
    <t>{"en":"11840: Block account","vi":""}</t>
  </si>
  <si>
    <t>DPT_CAS</t>
  </si>
  <si>
    <t>{"en":"11841: Change account status","vi":""}</t>
  </si>
  <si>
    <t>DPT_CCI</t>
  </si>
  <si>
    <t>{"en":"11806: Gift cheque issued","vi":""}</t>
  </si>
  <si>
    <t>DPT_CCW</t>
  </si>
  <si>
    <t>{"en":"11807: Gift Cheque withdrawal","vi":""}</t>
  </si>
  <si>
    <t>DPT_CDP</t>
  </si>
  <si>
    <t>{"en":"1110: Cash deposit","vi":""}</t>
  </si>
  <si>
    <t>DPT_CDT</t>
  </si>
  <si>
    <t>{"en":"1111: Deposit by cheque","vi":""}</t>
  </si>
  <si>
    <t>DPT_CEI</t>
  </si>
  <si>
    <t>{"en":"11850: Issued hold balance for cheque","vi":"Issued an earmark cheque"}</t>
  </si>
  <si>
    <t>DPT_CER</t>
  </si>
  <si>
    <t>{"en":"11803: Fixed deposit receipt issued","vi":""}</t>
  </si>
  <si>
    <t>DPT_CIP</t>
  </si>
  <si>
    <t>{"en":"1140: Interest payment by cash","vi":""}</t>
  </si>
  <si>
    <t>DPT_CIS</t>
  </si>
  <si>
    <t>{"en":"11801: Cheque book issued","vi":""}</t>
  </si>
  <si>
    <t>DPT_CLS</t>
  </si>
  <si>
    <t>{"en":"1193: Close deposit account","vi":""}</t>
  </si>
  <si>
    <t>DPT_CSH</t>
  </si>
  <si>
    <t>{"en":"FX deposit - cash","vi":"FX deposit - cash"}</t>
  </si>
  <si>
    <t>DPT_CTS</t>
  </si>
  <si>
    <t>{"en":"11837: Change status of stock","vi":""}</t>
  </si>
  <si>
    <t>DPT_CWC</t>
  </si>
  <si>
    <t>{"en":"1121: Cash withdrawal by cheque","vi":""}</t>
  </si>
  <si>
    <t>DPT_CWM</t>
  </si>
  <si>
    <t>{"en":"1125: Misellaneous debit by cheque","vi":""}</t>
  </si>
  <si>
    <t>DPT_CWR</t>
  </si>
  <si>
    <t>{"en":"1120: Cash withdrawal","vi":""}</t>
  </si>
  <si>
    <t>DPT_DIP</t>
  </si>
  <si>
    <t>{"en":"1141: Interest payment to deposit account","vi":""}</t>
  </si>
  <si>
    <t>DPT_DLS</t>
  </si>
  <si>
    <t>{"en":"1190: Close deposit account by deposit","vi":""}</t>
  </si>
  <si>
    <t>DPT_DPT</t>
  </si>
  <si>
    <t>{"en":"FX deposit- deposit","vi":"FX deposit - deposit"}</t>
  </si>
  <si>
    <t>DPT_EMK</t>
  </si>
  <si>
    <t>{"en":"1180:Hold balance","vi":"Earmark"}</t>
  </si>
  <si>
    <t>DPT_ERL</t>
  </si>
  <si>
    <t>{"en":"11851:Release hold balance","vi":"Release earmarked"}</t>
  </si>
  <si>
    <t>DPT_FEE</t>
  </si>
  <si>
    <t>{"en":"1185: Fee collection by transfer","vi":""}</t>
  </si>
  <si>
    <t>DPT_FOC</t>
  </si>
  <si>
    <t>{"en":"1184: Fee collection by cash for DD","vi":""}</t>
  </si>
  <si>
    <t>DPT_IFC</t>
  </si>
  <si>
    <t>{"en":"1169: Adjust deposit interest","vi":""}</t>
  </si>
  <si>
    <t>DPT_MDP</t>
  </si>
  <si>
    <t>{"en":"1112: Miscellaneous deposit","vi":""}</t>
  </si>
  <si>
    <t>DPT_MIP</t>
  </si>
  <si>
    <t>{"en":"1142: Miscellaneous interest payment","vi":""}</t>
  </si>
  <si>
    <t>DPT_MLS</t>
  </si>
  <si>
    <t>{"en":"1191: Close deposit account by miscellaneous","vi":""}</t>
  </si>
  <si>
    <t>DPT_MWR</t>
  </si>
  <si>
    <t>{"en":"1122: Miscellaneous withdrawal","vi":""}</t>
  </si>
  <si>
    <t>DPT_OPN</t>
  </si>
  <si>
    <t>{"en":"1100: Open new deposit account","vi":""}</t>
  </si>
  <si>
    <t>DPT_REC</t>
  </si>
  <si>
    <t>{"en":"11852:Release hold balance for cheque","vi":"Release an earmarked cheque"}</t>
  </si>
  <si>
    <t>DPT_RLS</t>
  </si>
  <si>
    <t>{"en":"11843: Release block account","vi":""}</t>
  </si>
  <si>
    <t>DPT_SBI</t>
  </si>
  <si>
    <t>{"en":"11802: Deposit saving book issue","vi":""}</t>
  </si>
  <si>
    <t>DPT_TRF</t>
  </si>
  <si>
    <t>{"en":"1130: Transfer from deposit account to deposit account","vi":""}</t>
  </si>
  <si>
    <t>FAC_PBD</t>
  </si>
  <si>
    <t>{"en":"Purchase fixed asset by deposit","vi":"Mua tÃ i sÂ¿n cÂ¿ dÂ¿nh bÂ¿ng tÃ i khoÂ¿n tiÂ¿n gÂ¿i"}</t>
  </si>
  <si>
    <t>FAC_SBD</t>
  </si>
  <si>
    <t>{"en":"Selling fixed asset by deposit","vi":"BÂ¿n tÂ¿i sÂ¿n cÂ¿ dÂ¿nh bÂ¿ng tiÂ¿n gÂ¿i"}</t>
  </si>
  <si>
    <t>PMT_IIT</t>
  </si>
  <si>
    <t>{"en":"6610: Inward internal bank","vi":"Thanh toÃƒÂ¡n chuyÃ‚Â¿n tiÃ‚Â¿n nÃ‚Â¿i bÃ‚Â¿"}</t>
  </si>
  <si>
    <t>PMT_IITT</t>
  </si>
  <si>
    <t>{"en":"6612: Inward international bank","vi":"Thanh toÃ¡n tiÂ¿n liÃªn ngÃ¢n hÃ ng nuÂ¿c ngoÃ i"}</t>
  </si>
  <si>
    <t>PMT_OIT</t>
  </si>
  <si>
    <t>{"en":"6600: Outward internal bank","vi":"Chuy?n ti?n n?i b?"}</t>
  </si>
  <si>
    <t>PMT_OITT</t>
  </si>
  <si>
    <t>{"en":"6602: Outward international bank","vi":"Chuy?n ti?n li?n ng?n h?ng nu?c ngo?i"}</t>
  </si>
  <si>
    <t>DPT_RCC</t>
  </si>
  <si>
    <t>{"en":"11808: Gift cheque return","vi":""}</t>
  </si>
  <si>
    <t>DPT_POI</t>
  </si>
  <si>
    <t>{"en":"11816: Payment order issued","vi":""}</t>
  </si>
  <si>
    <t>DPT_FBI</t>
  </si>
  <si>
    <t>{"en":"11804: Fixed deposit book issue","vi":"11804: Fixed deposit book issue"}</t>
  </si>
  <si>
    <t>DPT_POW</t>
  </si>
  <si>
    <t>{"en":"11817: Payment order withdrawal","vi":""}</t>
  </si>
  <si>
    <t>DPT_RPO</t>
  </si>
  <si>
    <t>{"en":"11818: Payment order return","vi":""}</t>
  </si>
  <si>
    <t>DPT_GET_ACCOUNT_INFO</t>
  </si>
  <si>
    <t>DPT_INSERT_CATALOG</t>
  </si>
  <si>
    <t>DPT_UPDATE_ACCOUNTLINKAGE</t>
  </si>
  <si>
    <t>DPT_UPDATE_CATALOG</t>
  </si>
  <si>
    <t>DPT_OPAL</t>
  </si>
  <si>
    <t>DPT_ODO</t>
  </si>
  <si>
    <t>{"en":"1101: Create overdraft contract","vi":""}</t>
  </si>
  <si>
    <t>DPT_REJ</t>
  </si>
  <si>
    <t>{"en":"DPT_REJ: Reject deposit account","vi":""}</t>
  </si>
  <si>
    <t>DPT_COD</t>
  </si>
  <si>
    <t>{"en":"1195: Close OD Facility by Cash","vi":""}</t>
  </si>
  <si>
    <t>DPT_COG</t>
  </si>
  <si>
    <t>{"en":"1196: Close OD Facility by GL","vi":""}</t>
  </si>
  <si>
    <t>DPT_GET_ACCOUNT_STATEMENT_CARDZONE</t>
  </si>
  <si>
    <t>{"en":"Get Account Statement for CardZone","vi":""}</t>
  </si>
  <si>
    <t>DPT_GET_ACCOUNT_INFO_CARDZONE</t>
  </si>
  <si>
    <t>{"en":"Get deposit balance inquiry for CardZone","vi":""}</t>
  </si>
  <si>
    <t>DPT_TRF_MOMONEY</t>
  </si>
  <si>
    <t>{"en":"Transfer deposit to deposit Momoney","vi":""}</t>
  </si>
  <si>
    <t>DPT_FUND_TRANSFER</t>
  </si>
  <si>
    <t>{"en":"Fund transfer","vi":""}</t>
  </si>
  <si>
    <t>DPT_BATCH_TRANSFER</t>
  </si>
  <si>
    <t>{"en":"Batch transfer","vi":""}</t>
  </si>
  <si>
    <t>DPT_FUND_TRANSFER_PAYGATE</t>
  </si>
  <si>
    <t>{"en":"Fund transfer Paygate","vi":""}</t>
  </si>
  <si>
    <t>DPT_MWR_SALE1_CARDZONE</t>
  </si>
  <si>
    <t>{"en":"Miscellaneous withdrawal sale 1 Cardzone","vi":""}</t>
  </si>
  <si>
    <t>DPT_MWR_SALE2_CARDZONE</t>
  </si>
  <si>
    <t>{"en":"Miscellaneous withdrawal sale 2 Cardzone","vi":""}</t>
  </si>
  <si>
    <t>DPT_MWR_TOPUP_CARDZONE</t>
  </si>
  <si>
    <t>{"en":"Miscellaneous withdrawal top-up Cardzone","vi":""}</t>
  </si>
  <si>
    <t>DPT_MWR_IBFT_CARDZONE</t>
  </si>
  <si>
    <t>{"en":"Miscellaneous withdrawal IBFT Cardzone","vi":""}</t>
  </si>
  <si>
    <t>DPT_MDP_IBFT_CARDZONE</t>
  </si>
  <si>
    <t>{"en":"Miscellaneous deposit IBFT Cardzone","vi":""}</t>
  </si>
  <si>
    <t>DPT_TRF_IBFT_CARDZONE</t>
  </si>
  <si>
    <t>{"en":"Transfer from deposit account to deposit account Cardzone","vi":""}</t>
  </si>
  <si>
    <t>DPT_MWR_CARDZONE</t>
  </si>
  <si>
    <t>{"en":"Miscellaneous withdrawal Cardzone","vi":""}</t>
  </si>
  <si>
    <t>DPT_MDP_CARDZONE</t>
  </si>
  <si>
    <t>{"en":"Miscellaneous deposit CardZone","vi":""}</t>
  </si>
  <si>
    <t>DPT_TRF_CARDZONE</t>
  </si>
  <si>
    <t>{"en":"Transfer from deposit account to deposit account CardZone","vi":""}</t>
  </si>
  <si>
    <t>DPT_MDP_VOID1_CARDZONE</t>
  </si>
  <si>
    <t>{"en":"Miscellaneous deposit VOID1 CardZone","vi":""}</t>
  </si>
  <si>
    <t>DPT_MDP_VOID2_CARDZONE</t>
  </si>
  <si>
    <t>{"en":"Miscellaneous deposit VOID2 CardZone","vi":""}</t>
  </si>
  <si>
    <t>DPT_MWR_MOMONEY</t>
  </si>
  <si>
    <t>{"en":"1122: Miscellaneous withdrawal Momoney","vi":""}</t>
  </si>
  <si>
    <t>DPT_MDP_MOMONEY</t>
  </si>
  <si>
    <t>{"en":"1122: Miscellaneous deposit Momoney","vi":""}</t>
  </si>
  <si>
    <t>DPT_MWR_MPU_CARDZONE</t>
  </si>
  <si>
    <t>{"en":"Miscellaneous withdral MPU","vi":""}</t>
  </si>
  <si>
    <t>DPT_MWR_DIG</t>
  </si>
  <si>
    <t>{"en":"Outward International Digital","vi":""}</t>
  </si>
  <si>
    <t>DPT_PAYMENT</t>
  </si>
  <si>
    <t>{"en":"Deposit Payment","vi":""}</t>
  </si>
  <si>
    <t>DPT_PAYMENT_CHEQUE</t>
  </si>
  <si>
    <t>{"en":"Payment Cheque","vi":""}</t>
  </si>
  <si>
    <t>DPT_PAYMENT_PO</t>
  </si>
  <si>
    <t>{"en":"Payment Order","vi":""}</t>
  </si>
  <si>
    <t>DPT_TRF_FEE_MOMONEY</t>
  </si>
  <si>
    <t>DPT_MDP_2FEE_CARDZONE</t>
  </si>
  <si>
    <t>{"en":"Miscellaneous deposit CardZone 2 Fee","vi":""}</t>
  </si>
  <si>
    <t>DPT_MWR_2FEE_CARDZONE</t>
  </si>
  <si>
    <t>{"en":"Miscellaneous withdrawal Cardzone 2 Fee","vi":""}</t>
  </si>
  <si>
    <t>DPT_MWR_3FEE_CARDZONE</t>
  </si>
  <si>
    <t>{"en":"Miscellaneous withdrawal Cardzone 3 Fee","vi":""}</t>
  </si>
  <si>
    <t>DPT_MWR_POS_SALE_ONUS_CZ</t>
  </si>
  <si>
    <t>{"en":"Miscellaneous withdrawal sale on us","vi":""}</t>
  </si>
  <si>
    <t>DPT_MWR_POS_SALE_OFF_CZ</t>
  </si>
  <si>
    <t>{"en":"Miscellaneous withdrawal sale off us","vi":""}</t>
  </si>
  <si>
    <t>DPT_MWR_ECOM_SALE_ONUS_CZ</t>
  </si>
  <si>
    <t>{"en":"Miscellaneous withdrawal sale ecom","vi":""}</t>
  </si>
  <si>
    <t>DPT_MWR_POS_CAV_ONUS_CZ</t>
  </si>
  <si>
    <t>{"en":"Miscellaneous withdrawal Cash Advance","vi":""}</t>
  </si>
  <si>
    <t>DPT_MWR_ATM_TOPUP_CZ</t>
  </si>
  <si>
    <t>DPT_MWR_ATM_IBFT2_ISS_CZ</t>
  </si>
  <si>
    <t>DPT_MDP_ATM_IBFT2_BNB_CZ</t>
  </si>
  <si>
    <t>DPT_TRF_ATM_IBFT1_CZ</t>
  </si>
  <si>
    <t>DPT_TRF_MINI_WDR_ONUS_CZ</t>
  </si>
  <si>
    <t>{"en":"Withdraw on us","vi":""}</t>
  </si>
  <si>
    <t>DPT_MDP_MINI_WDR_OFF_CZ</t>
  </si>
  <si>
    <t>{"en":"Withdraw off us","vi":""}</t>
  </si>
  <si>
    <t>DPT_TRF_MINI_DPT_CZ</t>
  </si>
  <si>
    <t>{"en":"Dekposit","vi":""}</t>
  </si>
  <si>
    <t>DPT_GET_ACCOUNT_STATEMENT_CZ</t>
  </si>
  <si>
    <t>DPT_GET_ACCOUNT_INFO_CZ</t>
  </si>
  <si>
    <t>DPT_MWR_ATM_WDR_ONUS_CZ</t>
  </si>
  <si>
    <t>DPT_MDP_ATM_DPT_CZ</t>
  </si>
  <si>
    <t>DPT_TRF_ATM_IBFT_ONUS_CZ</t>
  </si>
  <si>
    <t>DPT_MDP_POS_VOID_ONUS_CZ</t>
  </si>
  <si>
    <t>DPT_MDP_POS_VOID_OFF_CZ</t>
  </si>
  <si>
    <t>{"en":"Miscellaneousdeposit void on us","vi":""}</t>
  </si>
  <si>
    <t>DPT_MWR_ECOM_VOID_ONUS_CZ</t>
  </si>
  <si>
    <t>DPT_MWR_ATM_WDR_OFF_ISS_CZ</t>
  </si>
  <si>
    <t>DPT_MWR_MINI_CLS_RES_CZ</t>
  </si>
  <si>
    <t>{"en":"Cardless Reservation","vi":""}</t>
  </si>
  <si>
    <t>DPT_MDP_MINI_CLS_WDR_CZ</t>
  </si>
  <si>
    <t>{"en":"Cardless Withdrawl","vi":""}</t>
  </si>
  <si>
    <t>DPT_ACT_MID</t>
  </si>
  <si>
    <t>{"en":"Transfer Deposit Accounting middleware","vi":""}</t>
  </si>
  <si>
    <t>CSH_DPT_GL_MID</t>
  </si>
  <si>
    <t>{"en":"Cash deposit gl middleware","vi":""}</t>
  </si>
  <si>
    <t>DPT_DPT_SO</t>
  </si>
  <si>
    <t>{"en":"FX deposit- deposit standing order","vi":"FX deposit - deposit standing order"}</t>
  </si>
  <si>
    <t>EMS_STANDINGORDER</t>
  </si>
  <si>
    <t>{"en":"Create standing order","vi":""}</t>
  </si>
  <si>
    <t>DPT_MSW</t>
  </si>
  <si>
    <t>{"en":"Modify sweeping","vi":""}</t>
  </si>
  <si>
    <t>DPT_OPSW</t>
  </si>
  <si>
    <t>{"en":"Create Sweeping","vi":""}</t>
  </si>
  <si>
    <t>DPT_SWP</t>
  </si>
  <si>
    <t>{"en":"Sweeping Process by Schedule","vi":""}</t>
  </si>
  <si>
    <t>DPT_FUND_TRANSFER_CROSS</t>
  </si>
  <si>
    <t>{"en":"Fund transfer cross currency","vi":""}</t>
  </si>
  <si>
    <t>{"en":"MM - Open account","vi":""}</t>
  </si>
  <si>
    <t>EMS_SICLS</t>
  </si>
  <si>
    <t>{"en":"Close standing order","vi":""}</t>
  </si>
  <si>
    <t>DPT_IPR</t>
  </si>
  <si>
    <t>{"en":"Payment Interest For Prepaid Fixed Deposit","vi":""}</t>
  </si>
  <si>
    <t>WorkflowId</t>
  </si>
  <si>
    <t>CheckNotAllowedDepositType</t>
  </si>
  <si>
    <t>{"AccountNumber":"account_number","NotAllowType":["T"]}</t>
  </si>
  <si>
    <t>CatalogAllowTransaction</t>
  </si>
  <si>
    <t>{"DebitOrCredit":"C","AccountNumber":"account_number","TransactionType":"ACT"}</t>
  </si>
  <si>
    <t>CheckAllowedDepositStatus</t>
  </si>
  <si>
    <t>{"AccountNumber":"account_number","AllowStatus":["N"]}</t>
  </si>
  <si>
    <t>CheckAllowedDepositCurrecy</t>
  </si>
  <si>
    <t>{"AccountNumber":"account_number","CurrencyCode":"currency_code","AllowStatus":["N","A"],"IsReverse":"is_reverse"}</t>
  </si>
  <si>
    <t>{"AccountNumber":"account_number","CurrencyCode":"currency_code","AllowStatus":["N","W","D"],"IsReverse":"is_reverse"}</t>
  </si>
  <si>
    <t>{"AccountNumber":"account_number","CurrencyCode":"currency_code","AllowStatus":["N","A","D"],"IsReverse":"is_reverse"}</t>
  </si>
  <si>
    <t>{"AccountNumber":"account_number","CurrencyCode":"currency_code","AllowStatus":[],"IsReverse":"is_reverse"}</t>
  </si>
  <si>
    <t>ValidateListDepositAccount</t>
  </si>
  <si>
    <t>{"ListAccountNumber":"list_deposit_account","ListCurrencyCode":"list_currency_code","AllowType":["C","S"],"AllowStatus":["N","W"],"AllowDifferentCurrency":false}</t>
  </si>
  <si>
    <t>CheckNotAllowedDepositStatus</t>
  </si>
  <si>
    <t>{"AccountNumber":"account_number","NotAllowStatus":["B"]}</t>
  </si>
  <si>
    <t>{"AccountNumber":"account_number","AllowStatus":["P"]}</t>
  </si>
  <si>
    <t>FundTransferValidate</t>
  </si>
  <si>
    <t>{"CheckCatalog":true,"DebitOrCredit":"posting_side","AccountNumber":"account_number","TransactionType":"transaction_type","NotAllowType":["T"],"AllowStatus":["N"]}</t>
  </si>
  <si>
    <t>__FundTransferValidate</t>
  </si>
  <si>
    <t>{"CheckCatalog":true,"TransferData":"$.request.request_body.data.TransferData","NotAllowType":"T","DebitAllowStatus":"N|D","CreditAllowStatus":"N|D|W","IsVerify":"$.request.request_body.data.IsVerify","DebitWith":"CSH|DPT|ACT","CreditWith":"CSH","IgnoreApprove":"B|D|L|M|N|O|P|Q|U|Z"}</t>
  </si>
  <si>
    <t>{"AccountNumber":"account_number","AllowStatus":["N","D","A","M"]}</t>
  </si>
  <si>
    <t>CheckDepositType</t>
  </si>
  <si>
    <t>{"AccountNumber":"debit_account","AllowType":["C","S"],"ModuleCode":"debit_method"}</t>
  </si>
  <si>
    <t>{"AccountNumber":"debit_account","Condition": "{\"expression\":{\"func\":\"IsStringEqual\",\"type\":\"boolean\",\"paras\":[\"debit_method\",\"DPT\"]}}", "NotAllowStatus":["B"]}</t>
  </si>
  <si>
    <t>{"AccountNumber":"account_number","AllowType":["C","S"],"ModuleCode":"withdrawal_method"}</t>
  </si>
  <si>
    <t>{"AccountNumber":"account_number","Condition": "{\"expression\":{\"func\":\"IsStringEqual\",\"type\":\"boolean\",\"paras\":[\"withdrawal_method\",\"DPT\"]}}", "NotAllowStatus":["B"]}</t>
  </si>
  <si>
    <t>{"DebitOrCredit":"C","AccountNumber":"account_number","TransactionType":"CSH","ErrorCode":"Deposit.NotAllowedCredit"}</t>
  </si>
  <si>
    <t>HandleDormant</t>
  </si>
  <si>
    <t>{"AccountNumber":"account_number","DebitOrCredit":"C","TransactionType":"CSH","SourceId":"COR","DebitWith":["CSH","DPT","ACT"],"CreditWith":["CSH"],"IgnoreApprove":["MID","DIG"],"UserApprove":"user_approve"}</t>
  </si>
  <si>
    <t>ValidateDepositAccount</t>
  </si>
  <si>
    <t>{"AccountNumber":"account_number","CheckMultipleDeposit":true}</t>
  </si>
  <si>
    <t>{"AccountNumber":"debit_account","DebitOrCredit":"D","TransactionType":"DPT","SourceId":"COR","DebitWith":["CSH","DPT","ACT"],"CreditWith":["CSH"],"IgnoreApprove":["MID","DIG"],"UserApprove":"user_approve"}</t>
  </si>
  <si>
    <t>{"DebitOrCredit":"D","AccountNumber":"debit_account","TransactionType":"DPT","ErrorCode":"Deposit.NotAllowedDebit"}</t>
  </si>
  <si>
    <t>{"DebitOrCredit":"C","AccountNumber":"credit_account","TransactionType":"DPT","ErrorCode":"Deposit.NotAllowedCredit"}</t>
  </si>
  <si>
    <t>{"AccountNumber":"credit_account","DebitOrCredit":"C","TransactionType":"DPT","SourceId":"COR","DebitWith":["CSH","DPT","ACT"],"CreditWith":["CSH"],"IgnoreApprove":["MID","DIG"],"UserApprove":"user_approve"}</t>
  </si>
  <si>
    <t>{"AccountNumber":"debit_account","NotAllowStatus":["E","R","B"]}</t>
  </si>
  <si>
    <t>{"AccountNumber":"credit_account","NotAllowStatus":["E","R","B"]}</t>
  </si>
  <si>
    <t>{"AccountNumber":"account_linkage","NotAllowStatus":["E","R","B"]}</t>
  </si>
  <si>
    <t>{"AccountNumber":"account_number","AllowStatus":["N","S"]}</t>
  </si>
  <si>
    <t>CheckDepositSubType</t>
  </si>
  <si>
    <t>{"AccountNumber":"account_number","AllowType":["T6"]}</t>
  </si>
  <si>
    <t>CheckAssignedTeller</t>
  </si>
  <si>
    <t>{"StockType":"stock_type","FromSerial":"cerfiticate_serial","ToSerial":"cerfiticate_serial","StockPrefix":"stock_prefix","AssignedTeller":"current_user_code"}</t>
  </si>
  <si>
    <t>{"AccountNumber":"account_number_for_fee","Condition": "{\"expression\":{\"func\":\"IsStringEqual\",\"type\":\"boolean\",\"paras\":[\"method\",\"DPT\"]}}", "NotAllowStatus":["B"]}</t>
  </si>
  <si>
    <t>{"AccountNumber":"account_number","AllowStatus":["N","D","W","M"]}</t>
  </si>
  <si>
    <t>{"AccountNumber":"account_number","DebitOrCredit":"D","TransactionType":"CSH","SourceId":"COR","DebitWith":["CSH","DPT","ACT"],"CreditWith":["CSH"],"IgnoreApprove":["MID","DIG"],"UserApprove":"user_approve"}</t>
  </si>
  <si>
    <t>{"DebitOrCredit":"D","AccountNumber":"account_number","TransactionType":"CSH","ErrorCode":"Deposit.NotAllowedDebit"}</t>
  </si>
  <si>
    <t>{"AccountNumber":"account_number","AllowStatus":["N", "A", "S", "M", "D"]}</t>
  </si>
  <si>
    <t>{"AccountNumber":"account_for_fee","AllowType":["C","S"],"Condition":"{\"expression\":{\"func\":\"IsStringEqual\",\"type\":\"boolean\",\"paras\":[\"fee_collected_method\",\"DPT\"]}}"}</t>
  </si>
  <si>
    <t>{"StockType":"stock_type","FromSerial":"from_serial","ToSerial":"to_serial","StockPrefix":"stock_prefix","AssignedTeller":"current_user_code"}</t>
  </si>
  <si>
    <t>{"AccountNumber":"account_number","AllowStatus":["N","D","W"]}</t>
  </si>
  <si>
    <t>{"AccountNumber":"account_for_fee","AllowStatus":["N"],"Condition":"{\"expression\":{\"func\":\"IsStringEqual\",\"type\":\"boolean\",\"paras\":[\"fee_collected_method\",\"DPT\"]}}"}</t>
  </si>
  <si>
    <t>{"AccountNumber":"account_number","AccountNumberForFee":"account_for_fee","AllowDifferentCurrencyFee":false,"RequiredAccountNumber":true,"RequiredAccountNumberForFee":true,"Condition":"{\"expression\":{\"func\":\"IsStringEqual\",\"type\":\"boolean\",\"paras\":[\"fee_collected_method\",\"DPT\"]}}"}</t>
  </si>
  <si>
    <t>{"AccountNumber":"account_number","NotAllowStatus":["C", "S", "B", "E", "D", "R"]}</t>
  </si>
  <si>
    <t>CheckDepositAccountIsLinked</t>
  </si>
  <si>
    <t>{"AccountNumber":"account_number"}</t>
  </si>
  <si>
    <t>CheckEarlyWithdraw</t>
  </si>
  <si>
    <t>{"AccountNumber":"account_number","ValueDate":"value_date","ListDepositSubtype":["T6"]}</t>
  </si>
  <si>
    <t>{"AccountNumber":"account_number","NotAllowStatus":["R","B"]}</t>
  </si>
  <si>
    <t>{"AccountNumber":"account_number","NotAllowStatus":["C","S","O","B","R"]}</t>
  </si>
  <si>
    <t>{"AccountNumber":"account_linkage","NotAllowStatus":["C","S","B","R"]}</t>
  </si>
  <si>
    <t>{"DebitOrCredit":"D","AccountNumber":"account_number","TransactionType":"ACT","ErrorCode":"Deposit.NotAllowedDebit"}</t>
  </si>
  <si>
    <t>{"AccountNumber":"account_number","DebitOrCredit":"D","TransactionType":"ACT","SourceId":"COR","DebitWith":["CSH","DPT","ACT"],"CreditWith":["CSH"],"IgnoreApprove":["MID","DIG"],"UserApprove":"user_approve"}</t>
  </si>
  <si>
    <t>{"AccountNumber":"account_number","AllowType":["C"]}</t>
  </si>
  <si>
    <t>{"AccountNumber":"account_number","AllowStatus":["N","D","M","W"]}</t>
  </si>
  <si>
    <t>{"AccountNumber":"account_number","AllowType":["S"]}</t>
  </si>
  <si>
    <t>{"AccountNumber":"account_number","NotAllowStatus":["C","B","S","R"]}</t>
  </si>
  <si>
    <t>{"DebitOrCredit":"C","AccountNumber":"paid_to_this_deposit_account","TransactionType":"DPT","ErrorCode":"Deposit.NotAllowedCredit"}</t>
  </si>
  <si>
    <t>{"AccountNumber":"deposit_account","DebitOrCredit":"D","TransactionType":"DPT","SourceId":"COR","DebitWith":["CSH","DPT","ACT"],"CreditWith":["CSH"],"IgnoreApprove":["MID","DIG"],"UserApprove":"user_approve"}</t>
  </si>
  <si>
    <t>{"AccountNumber":"paid_to_this_deposit_account","DebitOrCredit":"C","TransactionType":"DPT","SourceId":"COR","DebitWith":["CSH","DPT","ACT"],"CreditWith":["CSH"],"IgnoreApprove":["MID","DIG"],"UserApprove":"user_approve"}</t>
  </si>
  <si>
    <t>{"AccountNumber":"paid_to_this_deposit_account","AllowType":["C1","S1","S2","S3","S4","S5","S7","S8"]}</t>
  </si>
  <si>
    <t>{"AccountNumber":"paid_to_this_deposit_account","AllowStatus":["N","W"]}</t>
  </si>
  <si>
    <t>{"AccountNumber":"deposit_account","AllowStatus":["N","A","D","S","M"]}</t>
  </si>
  <si>
    <t>{"DebitOrCredit":"D","AccountNumber":"account_number","TransactionType":"DPT","ErrorCode":"Deposit.NotAllowedDebit"}</t>
  </si>
  <si>
    <t>{"AccountNumber":"account_number","DebitOrCredit":"D","TransactionType":"DPT","SourceId":"COR","DebitWith":["CSH","DPT","ACT"],"CreditWith":["CSH"],"IgnoreApprove":["MID","DIG"],"UserApprove":"user_approve"}</t>
  </si>
  <si>
    <t>{"AccountNumber":"another_deposit_account","NotAllowStatus":["C","B", "E", "R"]}</t>
  </si>
  <si>
    <t>{"DebitOrCredit":"D","AccountNumber":"debit_account_number","TransactionType":"DPT"}</t>
  </si>
  <si>
    <t>{"AccountNumber":"debit_account_number","NotAllowType":["T"]}</t>
  </si>
  <si>
    <t>{"AccountNumber":"debit_account_number","AllowStatus":["N"]}</t>
  </si>
  <si>
    <t>{"DebitOrCredit":"C","AccountNumber":"credit_account_number","TransactionType":"DPT"}</t>
  </si>
  <si>
    <t>{"AccountNumber":"credit_account_number","NotAllowType":["T"]}</t>
  </si>
  <si>
    <t>{"AccountNumber":"credit_account_number","AllowStatus":["N"]}</t>
  </si>
  <si>
    <t>{"AccountNumber":"account_number","AllowStatus":["N","D","M"]}</t>
  </si>
  <si>
    <t>{"AccountNumber":"account_number","AllowType":["T1","T2","T3","T4","T5"]}</t>
  </si>
  <si>
    <t>{"StockType":"stock_type","FromSerial":"serial_no","ToSerial":"serial_no","StockPrefix":"stock_prefix","AssignedTeller":"current_user_code"}</t>
  </si>
  <si>
    <t>{"DebitOrCredit":"posting_side","AccountNumber":"account_number","TransactionType":"transaction_type","ErrorCode":""}</t>
  </si>
  <si>
    <t>{"CheckCatalog":true,"TransferData":"$.request.request_body.data.TransferData","NotAllowType":"T","AllowStatus":"N|D","IsVerify":"$.request.request_body.data.IsVerify","DebitWith":"CSH|DPT|ACT","CreditWith":"CSH","IgnoreApprove":"B|D|L|M|N|O|P|Q|U|Z"}</t>
  </si>
  <si>
    <t>{"DepositAccount":"$.request.request_body.data.AccountNumber"}</t>
  </si>
  <si>
    <t>{"AccountNumber":"account_number","AllowType":["C1", "S1", "S2", "S3", "S4", "S5", "S6","S7","S8"]}</t>
  </si>
  <si>
    <t>__CheckAllowedDepositSubType</t>
  </si>
  <si>
    <t>{"AccountNumber":"$.request.request_body.data.AccountNumber","AllowType":"C1|S1|S2|S3|S4|S5|S6|S7|S8"}</t>
  </si>
  <si>
    <t>CheckNotAllowedDepositSubType</t>
  </si>
  <si>
    <t>{"AccountNumber":"account_number","NotAllowType":["T6"]}</t>
  </si>
  <si>
    <t>{"AccountNumber":"account_number","NotAllowStatus":["E"]}</t>
  </si>
  <si>
    <t>CheckAllowIfcStatus</t>
  </si>
  <si>
    <t>{"AccountNumber":"account_number","IfcCode":"ifc_code","AllowIfcStatus":["N"]}</t>
  </si>
  <si>
    <t>{"AccountNumber":"account_number","NotAllowStatus":["R"]}</t>
  </si>
  <si>
    <t>CheckAllowRollover</t>
  </si>
  <si>
    <t>{"Rollover":"rollover","AllowRollover":"N|P", "Condition": "{\"expression\":{\"func\":\"IsStringEqual\",\"type\":\"boolean\",\"paras\":[\"deposit_sub_type\",\"T6\"]}}"}</t>
  </si>
  <si>
    <t>__CheckAllowedDepositStatus</t>
  </si>
  <si>
    <t>{"AccountNumber":"$.request.request_body.data.AccountNumber","AllowStatus":"N|M"}</t>
  </si>
  <si>
    <t>{"AccountNumber":"$.request.request_body.data.CreditAccount","AllowStatus":"N"}</t>
  </si>
  <si>
    <t>__CheckDepositType</t>
  </si>
  <si>
    <t>{"AccountNumber":"$.request.request_body.data.CreditAccount","AllowType":"C|S"}</t>
  </si>
  <si>
    <t>__CheckCurrency</t>
  </si>
  <si>
    <t>{"AccountNumber1":"$.request.request_body.data.AccountNumber","AccountNumber2":"$.request.request_body.data.CreditAccount"}</t>
  </si>
  <si>
    <t>__CheckAccountForFee</t>
  </si>
  <si>
    <t>{"AccountNumber":"$.request.request_body.data.AccountNumber","AccountNumberForFee":"$.request.request_body.data.AccountNumberForFee","AllowStatusForFee":"N","AllowDepositTypeForFee":"C|S","IsEqualCurrency":true,"Condition":{"expression":{"func":"=","type":"boolean","paras":["$.request.request_body.data.FeeCollection","DPT"]}}}</t>
  </si>
  <si>
    <t>{"AccountNumber":"account_number","DebitOrCredit":"C","TransactionType":"ACT","SourceId":"COR","DebitWith":["CSH","DPT","ACT"],"CreditWith":["CSH"],"IgnoreApprove":["MID","DIG"],"UserApprove":"user_approve"}</t>
  </si>
  <si>
    <t>{"DebitOrCredit":"C","AccountNumber":"account_number","TransactionType":"ACT","ErrorCode":"Deposit.NotAllowedCredit"}</t>
  </si>
  <si>
    <t>{"AccountNumber":"account_number","AllowType":["C","S"]}</t>
  </si>
  <si>
    <t>{"AccountNumber":"account_number","NotAllowType":["S6"]}</t>
  </si>
  <si>
    <t>{"AccountNumber":"account_number","AllowStatus":["W","N","S","D"]}</t>
  </si>
  <si>
    <t>CardzoneValidate</t>
  </si>
  <si>
    <t>{"AccountNumber":"account_number","AllowSubType":["C1","S1","S2","S3","S4","S5","S6","S7","S8"],"AllowCurrency":["MMK"],"RefCurrency":"MMK","Amount":"amount","AllowStatus":["N"]}</t>
  </si>
  <si>
    <t>{"AccountNumber":"account_number","AllowStatus":["W", "N","D"]}</t>
  </si>
  <si>
    <t>__CardzoneValidate</t>
  </si>
  <si>
    <t>{"AccountNumber":"$.request.request_body.data.AccountNumber","AllowSubType":"C1|S1|S2|S3|S4|S5|S6|S7|S8","AllowCurrency":"MMK","RefCurrency":"MMK","Amount":"$.request.request_body.data.Amount","AllowStatus":"N|W"}</t>
  </si>
  <si>
    <t>__CatalogAllowTransaction</t>
  </si>
  <si>
    <t>{"DebitOrCredit":"C","AccountNumber":"$.request.request_body.data.AccountNumber","TransactionType":"ACT"}</t>
  </si>
  <si>
    <t>{"AccountNumber":"$.request.request_body.data.AccountNumber","AllowSubType":"C1|S1|S2|S3|S4|S5|S6|S7|S8","AllowCurrency":"MMK","Amount":"$.request.request_body.data.Amount","AllowStatus":"N|W"}</t>
  </si>
  <si>
    <t>{"AccountNumber":"account_number","AllowSubType":["C1", "S1", "S2", "S3", "S4", "S5", "S6","S7","S8"], "AllowCurrency":["MMK"], "AllowStatus":["N"]}</t>
  </si>
  <si>
    <t>{"AccountNumber":"account_number","AllowSubType":["C1","S1","S2","S3","S4","S5","S6","S7","S8"],"AllowCurrency":["MMK"],"AllowStatus":["N"]}</t>
  </si>
  <si>
    <t>{"AccountNumber":"$.request.request_body.data.AccountNumber","AllowStatus":"N|W|D"}</t>
  </si>
  <si>
    <t>__CheckNotAllowedDepositType</t>
  </si>
  <si>
    <t>{"AccountNumber":"$.request.request_body.data.CreditAccountNumber","NotAllowType":"T"}</t>
  </si>
  <si>
    <t>{"AccountNumber":"$.request.request_body.data.CreditAccountNumber","AllowStatus":"N"}</t>
  </si>
  <si>
    <t>{"AccountNumber":"$.request.request_body.data.CreditAccountNumber","DebitOrCredit":"C","TransactionType":"ACT"}</t>
  </si>
  <si>
    <t>{"AccountNumber":"account_number","AllowType":["T"]}</t>
  </si>
  <si>
    <t>{"AccountNumber":"account_number","AllowStatus":["N", "A", "D", "M"]}</t>
  </si>
  <si>
    <t>__CheckMasterSweeping</t>
  </si>
  <si>
    <t>{"MasterAccount":"$.request.request_body.data.MasterAccount"}</t>
  </si>
  <si>
    <t>__CheckSweeping</t>
  </si>
  <si>
    <t>{"MasterAccount":"$.request.request_body.data.MasterAccount","SurplusAccount":"$.request.request_body.data.SurplusAccount","DeficitAccount":"$.request.request_body.data.DeficitAccount","SweepingType":"$.request.request_body.data.SweepingType","AllowDepositTypeMasterAccount":"C|S","AllowStatusMasterAccount":"N","AllowDepositTypeSurplusAccount":"C|S","AllowStatusSurplusAccount":"N|W","AllowDepositTypeDeficitAccount":"C|S","AllowStatusDeficitAccount":"N","CheckDifferentCustomers":1,"CheckCustomerType":0,"CheckRelationCustomers":0}</t>
  </si>
  <si>
    <t>{"AccountNumber":"$.request.request_body.data.MasterAccount","AccountNumberForFee":"$.request.request_body.data.AccountNumberForFee","AllowStatusForFee":"N","AllowDepositTypeForFee":"C|S","IsEqualCurrency":true,"Condition":{"expression":{"func":"=","type":"boolean","paras":["$.request.request_body.data.FeeCollection","DPT"]}}}</t>
  </si>
  <si>
    <t>{"AccountNumber":"$.request.request_body.data.MasterAccount","AccountNumberForFee":"$.request.request_body.data.AccountNumberForFee","AllowStatusForFee":"N","AllowDepositTypeForFee":"C|S","IsEqualCurrency":true,"Condition":{"expression":{"func":"=","type":"boolean","paras":["$.request.request_body.data.Data.fee_collection","DPT"]}}}</t>
  </si>
  <si>
    <t>{"AccountNumber":"account_number","AllowType":["S","C"]}</t>
  </si>
  <si>
    <t>{"AccountNumber":"account_number","AllowStatus":["N","D"]}</t>
  </si>
  <si>
    <t>{"AccountNumber":"$.request.request_body.data.AccountNumber","AllowSubType":"C1|S1|S2|S3|S4|S5|S6|S7|S8","AllowCurrency":"MMK","Amount":"$.request.request_body.data.Amount","AllowStatus":"N"}</t>
  </si>
  <si>
    <t>{"DebitOrCredit":"D","AccountNumber":"$.request.request_body.data.AccountNumber","TransactionType":"ACT"}</t>
  </si>
  <si>
    <t>{"AccountNumber":"$.request.request_body.data.AccountNumber","AllowSubType":"C1|S1|S2|S3|S4|S5|S6|S7|S8","AllowCurrency":"MMK","RefCurrency":"MMK","Amount":"$.request.request_body.data.Amount"}</t>
  </si>
  <si>
    <t>{"AccountNumber":"account_number","AllowSubType":["C1", "S1", "S2", "S3", "S4", "S5", "S6","S7","S8"], "AllowCurrency":["MMK"]}</t>
  </si>
  <si>
    <t>{"AccountNumber":"$.request.request_body.data.AccountNumber","AllowStatus":"N|D"}</t>
  </si>
  <si>
    <t>{"AccountNumber":"$.request.request_body.data.AccountNumber","NotAllowType":"T"}</t>
  </si>
  <si>
    <t>{"AccountNumber":"account_number","AllowSubType":["C1", "S1", "S2", "S3", "S4", "S5", "S6","S7","S8"], "AllowCurrency":["MMK"], "RefCurrency":"MMK", "Amount":"amount"}</t>
  </si>
  <si>
    <t>{"AccountNumber":"sender_account_number","NotAllowType":["T"]}</t>
  </si>
  <si>
    <t>{"DebitOrCredit":"D","AccountNumber":"$.request.request_body.data.SenderAccountNumber","TransactionType":"ACT"}</t>
  </si>
  <si>
    <t>{"DebitOrCredit":"D","AccountNumber":"sender_account_number","TransactionType":"DPT"}</t>
  </si>
  <si>
    <t>{"AccountNumber":"sender_account_number","AllowStatus":["N"]}</t>
  </si>
  <si>
    <t>{"AccountNumber":"$.request.request_body.data.SenderAccountNumber","AllowStatus":"N|D"}</t>
  </si>
  <si>
    <t>{"AccountNumber":"$.request.request_body.data.SenderAccountNumber","NotAllowType":"T"}</t>
  </si>
  <si>
    <t>__HandleDormant</t>
  </si>
  <si>
    <t>{"AccountNumber":"$.request.request_body.data.SenderAccountNumber","DebitOrCredit":"D","TransactionType":"ACT","DebitWith":"CSH|DPT|ACT","CreditWith":"CSH","IgnoreApprove":"B|D|L|M|N|O|P|Q|U|Z"}</t>
  </si>
  <si>
    <t>{"AccountNumber":"$.request.request_body.data.AccountNumber","AllowSubType":"C1|S1|S2|S3|S4|S5|S6|S7|S8","AllowCurrency":"MMK","RefCurrency":"MMK","Amount":"$.request.request_body.data.Amount","AllowStatus":"N"}</t>
  </si>
  <si>
    <t>{"AccountNumber":"$.request.request_body.data.DebitAccountNumber","NotAllowType":"T"}</t>
  </si>
  <si>
    <t>{"AccountNumber":"$.request.request_body.data.DebitAccountNumber","AllowStatus":"N"}</t>
  </si>
  <si>
    <t>{"AccountNumber":"$.request.request_body.data.DebitAccountNumber","DebitOrCredit":"D","TransactionType":"ACT"}</t>
  </si>
  <si>
    <t>{"AccountNumber":"account_number","AllowStatus":["N","W"]}</t>
  </si>
  <si>
    <t>ValidateAccountlinkage</t>
  </si>
  <si>
    <t>{"IsCreate":true,"MasterAccountNumber":"master_account_number","ListAccountLinkage":"list_account_linkage","OneToOne":{"LinkageClass":"A|I|F","AllowDepositType":"C|S"},"ManyToOne":{"LinkageClass":"A|I|F","AllowDepositType":"C|S"},"Condition":"{\"expression\":{\"func\":\"IsStringEqual\",\"type\":\"boolean\",\"paras\":[\"deposit_type\",\"C\"]}}"}</t>
  </si>
  <si>
    <t>{"IsCreate":true,"MasterAccountNumber":"master_account_number","ListAccountLinkage":"list_account_linkage","OneToOne":{"LinkageClass":"A|I|F","AllowDepositType":"C|S"},"ManyToOne":{"LinkageClass":"A|I|F","AllowDepositType":"C|S"},"Condition":"{\"expression\":{\"func\":\"IsStringEqual\",\"type\":\"boolean\",\"paras\":[\"deposit_type\",\"S\"]}}"}</t>
  </si>
  <si>
    <t>{"IsCreate":true,"MasterAccountNumber":"master_account_number","ListAccountLinkage":"list_account_linkage","OneToOne":{"LinkageClass":"A|I","AllowDepositType":"C|S"},"ManyToOne":{"LinkageClass":"A|I","AllowDepositType":"C|S"},"Condition":"{\"expression\":{\"func\":\"IsStringEqual\",\"type\":\"boolean\",\"paras\":[\"deposit_type\",\"T\"]}}"}</t>
  </si>
  <si>
    <t>{"AccountNumber":"to_account_number","NotAllowType":["S6"]}</t>
  </si>
  <si>
    <t>{"AllowDifferentCurrencyLinkage":false,"CurrencyCode":"currency_code","AccountLinkage":"to_account_number","CustomerType":"customer_type","CatalogCode":"catalog_code","ListValidateCustomerType":[{"CatalogCode":"CAUSD0000","CustomerType":"C|L"},{"CatalogCode":"CAUSD0001","CustomerType":"G"},{"CatalogCode":"CAEUR0000","CustomerType":"C|L"},{"CatalogCode":"CAEUR0001","CustomerType":"G"},{"CatalogCode":"CASGD0000","CustomerType":"C|L"},{"CatalogCode":"CASGD0001","CustomerType":"G"}]}</t>
  </si>
  <si>
    <t>{"AccountNumber":"$.request.request_body.data.AccountNumberForFee","AllowStatus":"N","Condition":{"expression":{"func":"=","type":"boolean","paras":["$.request.request_body.data.FeeCollection","DPT"]}}}</t>
  </si>
  <si>
    <t>{"AccountNumber":"$.request.request_body.data.AccountNumberForFee","NotAllowType":"T","Condition":{"expression":{"func":"=","type":"boolean","paras":["$.request.request_body.data.FeeCollection","DPT"]}}}</t>
  </si>
  <si>
    <t>{"DebitOrCredit":"credit_or_debit","AccountNumber":"account_number","TransactionType":"transaction_type","ErrorCode":""}</t>
  </si>
  <si>
    <t>{"AccountNumber":"account_number","AllowType":["C","S"],"ModuleCode":"return_method"}</t>
  </si>
  <si>
    <t>{"AccountNumber":"account_number","Condition": "{\"expression\":{\"func\":\"IsStringEqual\",\"type\":\"boolean\",\"paras\":[\"return_method\",\"DPT\"]}}", "NotAllowStatus":["B"]}</t>
  </si>
  <si>
    <t>{"AccountNumber":"account_number","AllowStatus":["N","D","S"]}</t>
  </si>
  <si>
    <t>{"AccountNumber":"account_number","AllowStatus":["B"]}</t>
  </si>
  <si>
    <t>{"AccountNumber":"credit_account","AllowType":["C","S"],"ModuleCode":"return_method"}</t>
  </si>
  <si>
    <t>{"AccountNumber":"credit_account","Condition": "{\"expression\":{\"func\":\"IsStringEqual\",\"type\":\"boolean\",\"paras\":[\"return_method\",\"DPT\"]}}", "NotAllowStatus":["B"]}</t>
  </si>
  <si>
    <t>{"MasterAccount":"$.request.request_body.data.MasterAccount","SurplusAccount":"$.request.request_body.data.SurplusAccount","DeficitAccount":"$.request.request_body.data.DeficitAccount","SweepingType":"$.request.request_body.data.SweepingType","MasterBalanceSide":"$.request.request_body.data.MasterBalanceSide","AllowDepositTypeMasterAccount":"C|S","AllowStatusMasterAccount":"N","AllowDepositTypeSurplusAccount":"C|S","AllowStatusSurplusAccount":"N|W","AllowDepositTypeDeficitAccount":"C|S","AllowStatusDeficitAccount":"N","CheckDifferentCustomers":1,"CheckCustomerType":0,"CheckRelationCustomers":0}</t>
  </si>
  <si>
    <t>{"AccountNumber":"$.request.request_body.data.MasterAccount","DebitOrCredit":"$.request.request_body.data.MasterBalanceSide","TransactionType":"DPT"}</t>
  </si>
  <si>
    <t>{"AccountNumber":"$.request.request_body.data.SurplusAccount","DebitOrCredit":"C","TransactionType":"DPT","Condition":{"expression":{"func":"=","type":"boolean","paras":["$.request.request_body.data.MasterBalanceSide","D"]}}}</t>
  </si>
  <si>
    <t>{"AccountNumber":"$.request.request_body.data.DeficitAccount","DebitOrCredit":"D","TransactionType":"DPT","Condition":{"expression":{"func":"=","type":"boolean","paras":["$.request.request_body.data.MasterBalanceSide","C"]}}}</t>
  </si>
  <si>
    <t>{"AccountNumber":"debit_account","AllowType":["S","C"]}</t>
  </si>
  <si>
    <t>{"AccountNumber":"debit_account","AllowStatus":["N","S","D"]}</t>
  </si>
  <si>
    <t>{"AccountNumber":"account_linkage","AllowStatus":["N","S","D"]}</t>
  </si>
  <si>
    <t>{"AccountNumber":"credit_account","AllowStatus":["N","S","W","D"]}</t>
  </si>
  <si>
    <t>{"AccountNumber":"credit_account","CheckMultipleDeposit":true}</t>
  </si>
  <si>
    <t>CheckDifferentCurrency</t>
  </si>
  <si>
    <t>{"AccountNumber1":"debit_account","AccountNumber2":"credit_account"}</t>
  </si>
  <si>
    <t>{"DebitOrCredit":"D","AccountNumber":"$.request.request_body.data.AccountNumber","TransactionType":"DPT"}</t>
  </si>
  <si>
    <t>{"AccountNumber":"account_number","AllowSubType":["C1", "S1", "S2", "S3", "S4", "S5", "S6","S7","S8"], "AllowCurrency":["MMK"], "RefAccountNumber":"credit_account_number", "Amount":"amount"}</t>
  </si>
  <si>
    <t>{"AccountNumber":"$.request.request_body.data.AccountNumber","AllowSubType":"C1|S1|S2|S3|S4|S5|S6|S7|S8","AllowCurrency":"MMK","RefAccountNumber":"$.request.request_body.data.CreditAccountNumber","Amount":"$.request.request_body.data.Amount","AllowStatus":"N" }</t>
  </si>
  <si>
    <t>{"AccountNumber":"$.request.request_body.data.CreditAccountNumber","AllowSubType":"C1|S1|S2|S3|S4|S5|S6|S7|S8","AllowCurrency":"MMK","AllowStatus":"N|W"}</t>
  </si>
  <si>
    <t>{"AccountNumber":"credit_account_number","AllowSubType":["C1", "S1", "S2", "S3", "S4", "S5", "S6","S7","S8"], "AllowCurrency":["MMK"]}</t>
  </si>
  <si>
    <t>{"DebitOrCredit":"C","AccountNumber":"$.request.request_body.data.CreditAccountNumber","TransactionType":"DPT"}</t>
  </si>
  <si>
    <t>{"AccountNumber":"$.request.request_body.data.CreditAccountNumber","AllowSubType":"C1|S1|S2|S3|S4|S5|S6|S7|S8","AllowCurrency":"MMK", "AllowStatus":"N|W"}</t>
  </si>
  <si>
    <t>{"AccountNumber":"account_number","AllowSubType":["C1","S1","S2","S3","S4","S5","S6","S7","S8"],"AllowCurrency":["MMK"],"RefAccountNumber":"credit_account_number","Amount":"amount","AllowStatus":["N","W"]}</t>
  </si>
  <si>
    <t>{"AccountNumber":"credit_account_number","AllowSubType":["C1","S1","S2","S3","S4","S5","S6","S7","S8"],"AllowCurrency":["MMK"],"AllowStatus":["N","W"]}</t>
  </si>
  <si>
    <t>TransferMomoneyValidate</t>
  </si>
  <si>
    <t>{"DebitAccountNumber":"debit_account_number","CreditAccountNumber":"credit_account_number", "IsReverse":"is_reverse"}</t>
  </si>
  <si>
    <t>__TransferMomoneyValidate</t>
  </si>
  <si>
    <t>{"DebitAccountNumber":"$.request.request_body.data.DebitAccountNumber","CreditAccountNumber":"$.request.request_body.data.CreditAccountNumber","IsReverse":"$.request.request_header.tx_context.base_transaction_model.is_reverse"}</t>
  </si>
  <si>
    <t>{"AccountNumber":"$.request.request_body.data.CreditAccountNumber","DebitOrCredit":"C","TransactionType":"DPT"}</t>
  </si>
  <si>
    <t>{"AccountNumber":"$.request.request_body.data.DebitAccountNumber","DebitOrCredit":"D","TransactionType":"DPT"}</t>
  </si>
  <si>
    <t>{"IsCreate":false,"MasterAccountNumber":"master_account_number","ListAccountLinkage":"list_account_linkage","OneToOne":{"LinkageClass":"A|I|F","AllowDepositType":"C|S"},"ManyToOne":{"LinkageClass":"A|I|F","AllowDepositType":"C|S"},"Condition":"{\"expression\":{\"func\":\"IsStringEqual\",\"type\":\"boolean\",\"paras\":[\"deposit_type\",\"C\"]}}"}</t>
  </si>
  <si>
    <t>{"IsCreate":false,"MasterAccountNumber":"master_account_number","ListAccountLinkage":"list_account_linkage","OneToOne":{"LinkageClass":"A|I|F","AllowDepositType":"C|S"},"ManyToOne":{"LinkageClass":"A|I|F","AllowDepositType":"C|S"},"Condition":"{\"expression\":{\"func\":\"IsStringEqual\",\"type\":\"boolean\",\"paras\":[\"deposit_type\",\"S\"]}}"}</t>
  </si>
  <si>
    <t>{"IsCreate":false,"MasterAccountNumber":"master_account_number","ListAccountLinkage":"list_account_linkage","OneToOne":{"LinkageClass":"A|I","AllowDepositType":"C|S"},"ManyToOne":{"LinkageClass":"A|I","AllowDepositType":"C|S"},"Condition":"{\"expression\":{\"func\":\"IsStringEqual\",\"type\":\"boolean\",\"paras\":[\"deposit_type\",\"T\"]}}"}</t>
  </si>
  <si>
    <t>ValidateSweeping</t>
  </si>
  <si>
    <t>{"SweepingStatus":"sweeping_status","SweepingType":"sweeping_type","MasterAccount":"account_number","AllowStatusMasterAccount":["N"],"AllowDepositTypeMasterAccount":["C","S"],"SurplusAccount":"surplus_account","DeficitAccount":"deficit_account","AllowDepositTypeSurplusAccount":["C","S"],"AllowStatusSurplusAccount":["N","W"],"AllowDepositTypeDeficitAccount":["C","S"],"AllowStatusDeficitAccount":["N"]}</t>
  </si>
  <si>
    <t>__CheckSameCurrencyDeposit</t>
  </si>
  <si>
    <t>{"AccountNumberForFee":"$.request.request_body.data.AccountNumberForFee","CurrencyCode":"$.request.request_body.data.CurrencyCode","Condition":{"expression":{"func":"=","type":"boolean","paras":["$.request.request_body.data.FeeCollection","DPT"]}}}</t>
  </si>
  <si>
    <t>{"AccountNumber":"deposit_account","NotAllowType":["T"]}</t>
  </si>
  <si>
    <t>{"AccountNumber":"deposit_account","CurrencyCode":"fixed_asset_currency_code","AllowStatus":["N"],"IsReverse":"is_reverse"}</t>
  </si>
  <si>
    <t>{"AccountNumber":"deposit_account","CurrencyCode":"fixed_asset_base_currency","AllowStatus":[],"IsReverse":"is_reverse"}</t>
  </si>
  <si>
    <t>{"AccountNumber":"debit_account","NotAllowType":["T"]}</t>
  </si>
  <si>
    <t>{"AccountNumber":"debit_account","CurrencyCode":"fixed_asset_currency_code","AllowStatus":["N"],"IsReverse":"is_reverse"}</t>
  </si>
  <si>
    <t>{"AccountNumber":"debit_account","CurrencyCode":"fixed_asset_base_currency","AllowStatus":[],"IsReverse":"is_reverse"}</t>
  </si>
  <si>
    <t>{"AccountNumber":"receive_account_number","Condition": "{\"expression\":{\"func\":\"IsStringEqual\",\"type\":\"boolean\",\"paras\":[\"receive_by\",\"DPT\"]}}","NotAllowType":["T"]}</t>
  </si>
  <si>
    <t>{"AccountNumber":"receive_account_number","Condition": "{\"expression\":{\"func\":\"IsStringEqual\",\"type\":\"boolean\",\"paras\":[\"receive_by\",\"DPT\"]}}","AllowStatus":["N"]}</t>
  </si>
  <si>
    <t>{"AccountNumber":"account_number_racno","Condition": "{\"expression\":{\"func\":\"IsStringEqual\",\"type\":\"boolean\",\"paras\":[\"receive_by\",\"DPT\"]}}","NotAllowType":["T"]}</t>
  </si>
  <si>
    <t>{"AccountNumber":"account_number_racno","Condition": "{\"expression\":{\"func\":\"IsStringEqual\",\"type\":\"boolean\",\"paras\":[\"receive_by\",\"DPT\"]}}","AllowStatus":["N"]}</t>
  </si>
  <si>
    <t>{"AccountNumber":"send_account_number","Condition": "{\"expression\":{\"func\":\"IsStringEqual\",\"type\":\"boolean\",\"paras\":[\"payment_by\",\"DPT\"]}}","NotAllowType":["T"]}</t>
  </si>
  <si>
    <t>{"AccountNumber":"send_account_number","Condition": "{\"expression\":{\"func\":\"IsStringEqual\",\"type\":\"boolean\",\"paras\":[\"payment_by\",\"DPT\"]}}","AllowStatus":["N"]}</t>
  </si>
  <si>
    <t>{"AccountNumber":"account_number","Condition": "{\"expression\":{\"func\":\"IsStringEqual\",\"type\":\"boolean\",\"paras\":[\"payment_by\",\"DPT\"]}}","NotAllowType":["T"]}</t>
  </si>
  <si>
    <t>{"AccountNumber":"account_number","Condition": "{\"expression\":{\"func\":\"IsStringEqual\",\"type\":\"boolean\",\"paras\":[\"payment_by\",\"DPT\"]}}","AllowStatus":["N"]}</t>
  </si>
  <si>
    <t>TRD_BPM</t>
  </si>
  <si>
    <t>__CheckDepositStatus</t>
  </si>
  <si>
    <t>{"DepositAccount":"$.request.request_body.data.AccountNumber","AllowStatus":"$.request.request_body.data.AllowStatus"}</t>
  </si>
  <si>
    <t>{"AccountNumber": "account_number_for_fee","NotAllowType": ["T"]}</t>
  </si>
  <si>
    <t>TransType</t>
  </si>
  <si>
    <t>FO</t>
  </si>
  <si>
    <t>API</t>
  </si>
  <si>
    <t>BO</t>
  </si>
  <si>
    <t>{"en":"DPT-Account Linkage-Add","vi":""}</t>
  </si>
  <si>
    <t>Insert deposit catalog</t>
  </si>
  <si>
    <t>Update deposit catalog</t>
  </si>
  <si>
    <t>Update account linkage</t>
  </si>
  <si>
    <t>{"en":"Insert deposit catalog","vi":""}</t>
  </si>
  <si>
    <t>{"en":"Update account linkage","vi":""}</t>
  </si>
  <si>
    <t>{"en":"Update deposit catalog","vi":""}</t>
  </si>
  <si>
    <t>{"en":"DPT_GET_ACCOUNT_INFO","vi":""}</t>
  </si>
  <si>
    <t>{"en":"Update deposit account","vi":""}</t>
  </si>
  <si>
    <t>IBP - Payment</t>
  </si>
  <si>
    <t>Miscellaneous deposit VOID1 CardZone</t>
  </si>
  <si>
    <t>Miscellaneous deposit VOID2 CardZone</t>
  </si>
  <si>
    <t>1142: Miscellaneous interest payment</t>
  </si>
  <si>
    <t>1191: Close deposit account by miscellaneous</t>
  </si>
  <si>
    <t>Modify sweeping</t>
  </si>
  <si>
    <t>1122: Miscellaneous withdrawal</t>
  </si>
  <si>
    <t>Miscellaneous withdrawal Cardzone 2 Fee</t>
  </si>
  <si>
    <t>Miscellaneous withdrawal Cardzone 3 Fee</t>
  </si>
  <si>
    <t>Miscellaneous withdrawal IBFT Cardzone</t>
  </si>
  <si>
    <t>Miscellaneous withdrawal top-up Cardzone</t>
  </si>
  <si>
    <t>Miscellaneous withdral MPU</t>
  </si>
  <si>
    <t>Miscellaneous withdrawal Cardzone</t>
  </si>
  <si>
    <t>Outward International Digital</t>
  </si>
  <si>
    <t>Miscellaneous withdrawal sale ecom</t>
  </si>
  <si>
    <t>Miscellaneousdeposit void on us</t>
  </si>
  <si>
    <t>Cardless Reservation</t>
  </si>
  <si>
    <t>1122: Miscellaneous withdrawal Momoney</t>
  </si>
  <si>
    <t>Miscellaneous withdrawal Cash Advance</t>
  </si>
  <si>
    <t>Miscellaneous withdrawal sale off us</t>
  </si>
  <si>
    <t>Miscellaneous withdrawal sale on us</t>
  </si>
  <si>
    <t>Miscellaneous withdrawal sale 1 Cardzone</t>
  </si>
  <si>
    <t>Miscellaneous withdrawal sale 2 Cardzone</t>
  </si>
  <si>
    <t>1101: Create overdraft contract</t>
  </si>
  <si>
    <t>DPT-Account Linkage-Add</t>
  </si>
  <si>
    <t>1100: Open new deposit account</t>
  </si>
  <si>
    <t>Create Sweeping</t>
  </si>
  <si>
    <t>Deposit Payment</t>
  </si>
  <si>
    <t>Payment Cheque</t>
  </si>
  <si>
    <t>Payment Order</t>
  </si>
  <si>
    <t>11816: Payment order issued</t>
  </si>
  <si>
    <t>11817: Payment order withdrawal</t>
  </si>
  <si>
    <t>11808: Gift cheque return</t>
  </si>
  <si>
    <t>11852:Release hold balance for cheque</t>
  </si>
  <si>
    <t>DPT_REJ: Reject deposit account</t>
  </si>
  <si>
    <t>11843: Release block account</t>
  </si>
  <si>
    <t>11818: Payment order return</t>
  </si>
  <si>
    <t>11802: Deposit saving book issue</t>
  </si>
  <si>
    <t>Sweeping Process by Schedule</t>
  </si>
  <si>
    <t>1130: Transfer from deposit account to deposit account</t>
  </si>
  <si>
    <t>Transfer from deposit account to deposit account CardZone</t>
  </si>
  <si>
    <t>Transfer from deposit account to deposit account Cardzone</t>
  </si>
  <si>
    <t>Transfer deposit to deposit Momoney</t>
  </si>
  <si>
    <t>Dekposit</t>
  </si>
  <si>
    <t>Withdraw on us</t>
  </si>
  <si>
    <t>Update deposit account</t>
  </si>
  <si>
    <t>Close standing order</t>
  </si>
  <si>
    <t>Create standing order</t>
  </si>
  <si>
    <t>Purchase fixed asset by deposit</t>
  </si>
  <si>
    <t>Selling fixed asset by deposit</t>
  </si>
  <si>
    <t>6610: Inward internal bank</t>
  </si>
  <si>
    <t>6612: Inward international bank</t>
  </si>
  <si>
    <t>6600: Outward internal bank</t>
  </si>
  <si>
    <t>6602: Outward international bank</t>
  </si>
  <si>
    <t>FX accounting - deposit</t>
  </si>
  <si>
    <t>5572: Fee collection by deposit</t>
  </si>
  <si>
    <t>5513: Principal and interest collection by transfer</t>
  </si>
  <si>
    <t>55721: Ree refund by transfer</t>
  </si>
  <si>
    <t>5523: Disbursement by transfer</t>
  </si>
  <si>
    <t>FX cash - Deposit</t>
  </si>
  <si>
    <t>FX deposit - accounting</t>
  </si>
  <si>
    <t>Approve deposit account</t>
  </si>
  <si>
    <t>11840: Block account</t>
  </si>
  <si>
    <t>11841: Change account status</t>
  </si>
  <si>
    <t>11806: Gift cheque issued</t>
  </si>
  <si>
    <t>11807: Gift Cheque withdrawal</t>
  </si>
  <si>
    <t>1110: Cash deposit</t>
  </si>
  <si>
    <t>1111: Deposit by cheque</t>
  </si>
  <si>
    <t>11850: Issued hold balance for cheque</t>
  </si>
  <si>
    <t>11803: Fixed deposit receipt issued</t>
  </si>
  <si>
    <t>1140: Interest payment by cash</t>
  </si>
  <si>
    <t>11801: Cheque book issued</t>
  </si>
  <si>
    <t>1193: Close deposit account</t>
  </si>
  <si>
    <t>1195: Close OD Facility by Cash</t>
  </si>
  <si>
    <t>1196: Close OD Facility by GL</t>
  </si>
  <si>
    <t>FX deposit - cash</t>
  </si>
  <si>
    <t>11837: Change status of stock</t>
  </si>
  <si>
    <t>1121: Cash withdrawal by cheque</t>
  </si>
  <si>
    <t>1125: Misellaneous debit by cheque</t>
  </si>
  <si>
    <t>1120: Cash withdrawal</t>
  </si>
  <si>
    <t>1141: Interest payment to deposit account</t>
  </si>
  <si>
    <t>1190: Close deposit account by deposit</t>
  </si>
  <si>
    <t>FX deposit- deposit</t>
  </si>
  <si>
    <t>1180:Hold balance</t>
  </si>
  <si>
    <t>11851:Release hold balance</t>
  </si>
  <si>
    <t>11804: Fixed deposit book issue</t>
  </si>
  <si>
    <t>1185: Fee collection by transfer</t>
  </si>
  <si>
    <t>1184: Fee collection by cash for DD</t>
  </si>
  <si>
    <t>1169: Adjust deposit interest</t>
  </si>
  <si>
    <t>Payment Interest For Prepaid Fixed Deposit</t>
  </si>
  <si>
    <t>1112: Miscellaneous deposit</t>
  </si>
  <si>
    <t>Cash deposit gl middleware</t>
  </si>
  <si>
    <t>Transfer Deposit Accounting middleware</t>
  </si>
  <si>
    <t>Batch transfer</t>
  </si>
  <si>
    <t>FX deposit- deposit standing order</t>
  </si>
  <si>
    <t>Fund transfer</t>
  </si>
  <si>
    <t>Fund transfer cross currency</t>
  </si>
  <si>
    <t>Fund transfer Paygate</t>
  </si>
  <si>
    <t>Get deposit balance inquiry for CardZone</t>
  </si>
  <si>
    <t>Get Account Statement for CardZone</t>
  </si>
  <si>
    <t>Miscellaneous deposit CardZone 2 Fee</t>
  </si>
  <si>
    <t>Miscellaneous deposit CardZone</t>
  </si>
  <si>
    <t>Miscellaneous deposit IBFT Cardzone</t>
  </si>
  <si>
    <t>Cardless Withdrawl</t>
  </si>
  <si>
    <t>Withdraw off us</t>
  </si>
  <si>
    <t>1122: Miscellaneous deposit Momoney</t>
  </si>
  <si>
    <t>DataInput</t>
  </si>
  <si>
    <t>Field name</t>
  </si>
  <si>
    <t>Field type</t>
  </si>
  <si>
    <t>Required</t>
  </si>
  <si>
    <t>Branch code</t>
  </si>
  <si>
    <t>Text</t>
  </si>
  <si>
    <t>Yes</t>
  </si>
  <si>
    <t>Old branch ID</t>
  </si>
  <si>
    <t>Branch name</t>
  </si>
  <si>
    <t>Branch address</t>
  </si>
  <si>
    <t>Branch type</t>
  </si>
  <si>
    <t>Dropdown (Physical)</t>
  </si>
  <si>
    <t>Branch phone</t>
  </si>
  <si>
    <t>Phone number (Home, Cell, Telex)</t>
  </si>
  <si>
    <t>Expandable Section</t>
  </si>
  <si>
    <t>Office</t>
  </si>
  <si>
    <t>Facsimile</t>
  </si>
  <si>
    <t>Tax code</t>
  </si>
  <si>
    <t>Base currency code</t>
  </si>
  <si>
    <t>Dropdown (MMK)</t>
  </si>
  <si>
    <t>Local currency code</t>
  </si>
  <si>
    <t>Region</t>
  </si>
  <si>
    <t>Dropdown (Yangon)</t>
  </si>
  <si>
    <t>Reference code (Bic, Internal code)</t>
  </si>
  <si>
    <t>Domestic bank code</t>
  </si>
  <si>
    <t>Country</t>
  </si>
  <si>
    <t>Dropdown</t>
  </si>
  <si>
    <t>Time zone of branch</t>
  </si>
  <si>
    <t>Dropdown (GMT+06:30 Yangon Myanmar)</t>
  </si>
  <si>
    <t>Main language</t>
  </si>
  <si>
    <t>Dropdown (English)</t>
  </si>
  <si>
    <t>Decimal separate character</t>
  </si>
  <si>
    <t>Dropdown (",")</t>
  </si>
  <si>
    <t>Thousand separate character</t>
  </si>
  <si>
    <t>Date format for short</t>
  </si>
  <si>
    <t>Dropdown (dd/MM/yyyy)</t>
  </si>
  <si>
    <t>Long date format</t>
  </si>
  <si>
    <t>Time format</t>
  </si>
  <si>
    <t>Text (hh:mm:ss)</t>
  </si>
  <si>
    <t>Online</t>
  </si>
  <si>
    <t>Dropdown (Yes)</t>
  </si>
  <si>
    <t>field_type</t>
  </si>
  <si>
    <t>T</t>
  </si>
  <si>
    <t>in_tab</t>
  </si>
  <si>
    <t>Y</t>
  </si>
  <si>
    <t>in_group</t>
  </si>
  <si>
    <t>N</t>
  </si>
  <si>
    <t>in_multi</t>
  </si>
  <si>
    <t>collap_name</t>
  </si>
  <si>
    <t>self.write_text_input_in_tab,</t>
  </si>
  <si>
    <t>self.write_text_input_non_tab,</t>
  </si>
  <si>
    <t>self.write_text_input_in_tab_group,</t>
  </si>
  <si>
    <t>self.write_text_input_non_tab_group,</t>
  </si>
  <si>
    <t>lambda title, value: self.write_text_input_multi_in_tab(collap_name, title, value),</t>
  </si>
  <si>
    <t>lambda title, value: self.write_text_input_multi_non_tab(collap_name, title, value),</t>
  </si>
  <si>
    <t>A</t>
  </si>
  <si>
    <t>self.write_text_textarea_in_tab,</t>
  </si>
  <si>
    <t>self.write_text_textarea_non_tab,</t>
  </si>
  <si>
    <t>self.write_text_textarea_in_tab_group,</t>
  </si>
  <si>
    <t>self.write_text_textarea_non_tab_group,</t>
  </si>
  <si>
    <t>lambda title, value: self.write_text_textarea_multi_in_tab(collap_name, title, value),</t>
  </si>
  <si>
    <t>lambda title, value: self.write_text_textarea_multi_non_tab(collap_name, title, value),</t>
  </si>
  <si>
    <t>D</t>
  </si>
  <si>
    <t>self.write_date_input_in_tab,</t>
  </si>
  <si>
    <t>self.write_date_input_non_tab,</t>
  </si>
  <si>
    <t>self.write_decimal_input_in_tab,</t>
  </si>
  <si>
    <t>self.write_decimal_input_non_tab,</t>
  </si>
  <si>
    <t>S</t>
  </si>
  <si>
    <t>self.select_in_tab,</t>
  </si>
  <si>
    <t>self.select_non_tab,</t>
  </si>
  <si>
    <t>bo_write</t>
  </si>
  <si>
    <t>bo_write_text</t>
  </si>
  <si>
    <t>bo_write_date</t>
  </si>
  <si>
    <t>bo_write_number</t>
  </si>
  <si>
    <t>bo_select</t>
  </si>
  <si>
    <t>bo_write_group</t>
  </si>
  <si>
    <t>bo_write_multi</t>
  </si>
  <si>
    <t>bo_write_single</t>
  </si>
  <si>
    <t>bo_write_group_single</t>
  </si>
  <si>
    <t>bo_write_multi_single</t>
  </si>
  <si>
    <t>bo_write_text_single</t>
  </si>
  <si>
    <t>bo_write_text_group</t>
  </si>
  <si>
    <t>bo_write_text_multi</t>
  </si>
  <si>
    <t>bo_write_text_group_single</t>
  </si>
  <si>
    <t>bo_write_text_multi_single</t>
  </si>
  <si>
    <t>bo_write_date_single</t>
  </si>
  <si>
    <t>bo_write_number_single</t>
  </si>
  <si>
    <t>bo_select_single</t>
  </si>
  <si>
    <t>`: tag name "input": Viết account number, customer code,… trong màn hình BO có tab</t>
  </si>
  <si>
    <t>- `</t>
  </si>
  <si>
    <t>`: tag name "input": Viết account number, customer code,… trong màn hình BO đơn (không có tab)</t>
  </si>
  <si>
    <t>`: tag name "input": Viết account number, customer code,… loại field được gom nhóm trong cùng 1 dòng trong màn hình BO có tab</t>
  </si>
  <si>
    <t>`: tag name "input": Viết account number, customer code,… loại field được gom nhóm trong cùng 1 dòng trong màn hình BO đơn (không có tab)</t>
  </si>
  <si>
    <t>`: tag name "input": Viết account number, customer code,… loại field có multi field con trong màn hình BO có tab</t>
  </si>
  <si>
    <t>`: tag name "input": Viết account number, customer code,… loại field có multi field con trong màn hình BO đơn (không có tab)</t>
  </si>
  <si>
    <t>`: tag name "textarea": Viết account name, customer name,… trong màn hình BO có tab</t>
  </si>
  <si>
    <t>`: tag name "textarea": Viết account name, customer name,… trong màn hình BO đơn (không có tab)</t>
  </si>
  <si>
    <t>`: tag name "textarea": Viết account name, customer name,… loại field được gom nhóm trong cùng 1 dòng trong màn hình BO có tab</t>
  </si>
  <si>
    <t>`: tag name "textarea": Viết account name, customer name,… loại field được gom nhóm trong cùng 1 dòng trong màn hình BO đơn (không có tab)</t>
  </si>
  <si>
    <t>`: tag name "textarea": Viết account name, customer name,… loại field có multi field con trong màn hình BO có tab</t>
  </si>
  <si>
    <t>`: tag name "textarea": Viết account name, customer name,… loại field có multi field con trong màn hình BO đơn (không có tab)</t>
  </si>
  <si>
    <t>`: Viết date trong màn hình BO có tab</t>
  </si>
  <si>
    <t>`: Viết date trong màn hình BO đơn (không có tab)</t>
  </si>
  <si>
    <t>`: Viết number trong màn hình BO có tab</t>
  </si>
  <si>
    <t>`: Viết number trong màn hình BO đơn (không có tab)</t>
  </si>
  <si>
    <t>`: Chọn giá trị trong màn hình BO có tab</t>
  </si>
  <si>
    <t>`: Chọn giá trị trong màn hình BO đơn (không có tab)</t>
  </si>
  <si>
    <t>fo_write</t>
  </si>
  <si>
    <t>fo_write_group</t>
  </si>
  <si>
    <t>fo_write_multi</t>
  </si>
  <si>
    <t>fo_write_text</t>
  </si>
  <si>
    <t>fo_write_text_group</t>
  </si>
  <si>
    <t>fo_write_text_multi</t>
  </si>
  <si>
    <t>fo_write_date</t>
  </si>
  <si>
    <t>fo_write_number</t>
  </si>
  <si>
    <t>fo_select</t>
  </si>
  <si>
    <t>`: tag name "input": Viết account number, customer code,… trong màn hình FO</t>
  </si>
  <si>
    <t>`: tag name "input": Viết account number, customer code,… loại field được gom nhóm trong cùng 1 dòng trong màn hình FO</t>
  </si>
  <si>
    <t>`: tag name "input": Viết account number, customer code,… loại field có multi field con trong màn hình FO</t>
  </si>
  <si>
    <t>`: tag name "textarea": Viết account name, customer name,… trong màn hình FO</t>
  </si>
  <si>
    <t>`: tag name "textarea": Viết account name, customer name,… loại field được gom nhóm trong cùng 1 dòng trong màn hình FO</t>
  </si>
  <si>
    <t>`: tag name "textarea": Viết account name, customer name,… loại field có multi field con trong màn hình FO đơn</t>
  </si>
  <si>
    <t>`: Viết date trong màn hình FO</t>
  </si>
  <si>
    <t>`: Viết number trong màn hình FO</t>
  </si>
  <si>
    <t>`: Chọn giá trị trong màn hình FO</t>
  </si>
  <si>
    <t xml:space="preserve">def </t>
  </si>
  <si>
    <t>(self, title, value):</t>
  </si>
  <si>
    <t>return self.write_text(title, value, field_type="</t>
  </si>
  <si>
    <t>", in_tab="</t>
  </si>
  <si>
    <t>", in_group="</t>
  </si>
  <si>
    <t>", in_multi="</t>
  </si>
  <si>
    <t>")</t>
  </si>
  <si>
    <t>", collap_name=collap_name)</t>
  </si>
  <si>
    <t>title_front_select</t>
  </si>
  <si>
    <t>I</t>
  </si>
  <si>
    <t>self.get_text_input_in_tab</t>
  </si>
  <si>
    <t>self.get_text_input_non_tab</t>
  </si>
  <si>
    <t>self.get_text_input_in_tab_group</t>
  </si>
  <si>
    <t>self.get_text_input_non_tab_group</t>
  </si>
  <si>
    <t>self.get_text_select_in_tab</t>
  </si>
  <si>
    <t>self.get_text_select_non_tab</t>
  </si>
  <si>
    <t>lambda title: self.get_text_select_in_tab_group(title_front_select</t>
  </si>
  <si>
    <t xml:space="preserve"> title)</t>
  </si>
  <si>
    <t>lambda title: self.get_text_select_non_tab_group(title_front_select</t>
  </si>
  <si>
    <t>self.get_text_textarea_in_tab</t>
  </si>
  <si>
    <t>self.get_text_textarea_non_tab</t>
  </si>
  <si>
    <t>self.get_text_textarea_in_tab_group</t>
  </si>
  <si>
    <t>self.get_text_textarea_non_tab_group</t>
  </si>
  <si>
    <t>bo_get_value</t>
  </si>
  <si>
    <t>bo_get_value_single</t>
  </si>
  <si>
    <t>bo_get_value_group</t>
  </si>
  <si>
    <t>bo_get_value_group_single</t>
  </si>
  <si>
    <t>bo_get_select</t>
  </si>
  <si>
    <t>bo_get_select_single</t>
  </si>
  <si>
    <t>bo_get_select_group</t>
  </si>
  <si>
    <t>bo_get_select_group_single</t>
  </si>
  <si>
    <t>bo_get_text</t>
  </si>
  <si>
    <t>bo_get_text_single</t>
  </si>
  <si>
    <t>bo_get_text_group</t>
  </si>
  <si>
    <t>bo_get_text_group_single</t>
  </si>
  <si>
    <t>(self, title):</t>
  </si>
  <si>
    <t>return self.get_text(title, field_type="</t>
  </si>
  <si>
    <t>`: tag name "input": Lấy ra giá trị account number, customer code,… trong màn hình BO có tab</t>
  </si>
  <si>
    <t>`: tag name "input": Lấy ra giá trị account number, customer code,… trong màn hình BO đơn (không có tab)</t>
  </si>
  <si>
    <t>`: tag name "input": Lấy ra giá trị account number, customer code,… loại field được gom nhóm trong cùng 1 dòng trong màn hình BO có tab</t>
  </si>
  <si>
    <t>`: tag name "input": Lấy ra giá trị account number, customer code,… loại field được gom nhóm trong cùng 1 dòng trong màn hình BO đơn (không có tab)</t>
  </si>
  <si>
    <t>`: Lấy ra giá trị của select-box, trong màn hình BO có tab</t>
  </si>
  <si>
    <t>`: Lấy ra giá trị của select-box, trong màn hình BO đơn (không có tab)</t>
  </si>
  <si>
    <t>`: Lấy ra giá trị của select-box, loại field được gom nhóm trong cùng 1 dòng trong màn hình BO có tab</t>
  </si>
  <si>
    <t>`: Lấy ra giá trị của select-box, loại field được gom nhóm trong cùng 1 dòng trong màn hình BO đơn (không có tab)</t>
  </si>
  <si>
    <t>`: tag name "textarea": Lấy ra giá trị account name, customer name,… trong màn hình BO có tab</t>
  </si>
  <si>
    <t>`: tag name "textarea": Lấy ra giá trị account name, customer name,… trong màn hình BO đơn (không có tab)</t>
  </si>
  <si>
    <t>`: tag name "textarea": Lấy ra giá trị account name, customer name,… loại field được gom nhóm trong cùng 1 dòng trong màn hình BO có tab</t>
  </si>
  <si>
    <t>`: tag name "textarea": Lấy ra giá trị account name, customer name,… loại field được gom nhóm trong cùng 1 dòng trong màn hình BO đơn (không có tab)</t>
  </si>
  <si>
    <t>fo_get_value</t>
  </si>
  <si>
    <t>fo_get_value_group</t>
  </si>
  <si>
    <t>fo_get_select</t>
  </si>
  <si>
    <t>fo_get_select_group</t>
  </si>
  <si>
    <t>fo_get_text</t>
  </si>
  <si>
    <t>fo_get_text_group</t>
  </si>
  <si>
    <t>`: tag name "input": Lấy ra giá trị account number, customer code,… trong màn hình FO</t>
  </si>
  <si>
    <t>`: tag name "input": Lấy ra giá trị account number, customer code,… loại field được gom nhóm trong cùng 1 dòng trong màn hình FO</t>
  </si>
  <si>
    <t>`: Lấy ra giá trị của select-box, trong màn hình FO</t>
  </si>
  <si>
    <t>`: Lấy ra giá trị của select-box, loại field được gom nhóm trong cùng 1 dòng trong màn hình FO</t>
  </si>
  <si>
    <t>`: tag name "textarea": Lấy ra giá trị account name, customer name,… trong màn hình FO</t>
  </si>
  <si>
    <t>`: tag name "textarea": Lấy ra giá trị account name, customer name,… loại field được gom nhóm trong cùng 1 dòng trong màn hình FO</t>
  </si>
  <si>
    <t>DepositAccount</t>
  </si>
  <si>
    <t>AmountDeposit</t>
  </si>
  <si>
    <t>FromSerial</t>
  </si>
  <si>
    <t>ToSerial</t>
  </si>
  <si>
    <t>AmountDepositMask</t>
  </si>
  <si>
    <t>WithdrawAmountMask</t>
  </si>
  <si>
    <t>WithdrawAmount</t>
  </si>
  <si>
    <t>FromSerialMask</t>
  </si>
  <si>
    <t>ToSerialMask</t>
  </si>
  <si>
    <t>NumberOfLeaves</t>
  </si>
  <si>
    <t>CustomerCode</t>
  </si>
  <si>
    <t>1-1-001572</t>
  </si>
  <si>
    <t>Single customer</t>
  </si>
  <si>
    <t>CustomerType</t>
  </si>
  <si>
    <t>CatalogueCode</t>
  </si>
  <si>
    <t>CAMMK0000</t>
  </si>
  <si>
    <t>RelationshipManager</t>
  </si>
  <si>
    <t>01009 - Thandar Kyaw</t>
  </si>
  <si>
    <t>11-002-993110-5</t>
  </si>
  <si>
    <t>5000000.49</t>
  </si>
  <si>
    <t>5,000,000.49</t>
  </si>
  <si>
    <t>AT000001</t>
  </si>
  <si>
    <t>AT-000001</t>
  </si>
  <si>
    <t>AT-000100</t>
  </si>
  <si>
    <t>AT000100</t>
  </si>
  <si>
    <t>NumberOfBook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</si>
</sst>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1" fillId="0" borderId="1" xfId="0" applyFont="1" applyFill="1" applyBorder="1"/>
    <xf numFmtId="0" fontId="0" fillId="2" borderId="1" xfId="0" applyFill="1" applyBorder="1"/>
    <xf numFmtId="0" fontId="1" fillId="0" borderId="0" xfId="0" applyFont="1"/>
    <xf numFmtId="0" fontId="4" fillId="0" borderId="0" xfId="0" applyFont="1"/>
    <xf numFmtId="0" fontId="0" fillId="0" borderId="1" xfId="0" applyFill="1" applyBorder="1"/>
    <xf numFmtId="0" fontId="0" fillId="0" borderId="1" xfId="0" applyBorder="1" applyAlignment="1">
      <alignment wrapText="1"/>
    </xf>
    <xf numFmtId="3" fontId="0" fillId="0" borderId="0" xfId="0" applyNumberFormat="1"/>
    <xf numFmtId="0" fontId="0" fillId="0" borderId="0" xfId="0" quotePrefix="1"/>
    <xf numFmtId="0" fontId="0" fillId="2" borderId="0" xfId="0" applyFill="1"/>
    <xf numFmtId="0" fontId="2" fillId="0" borderId="1" xfId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27.3.1.198:5017/login/" TargetMode="External"/><Relationship Id="rId2" Type="http://schemas.openxmlformats.org/officeDocument/2006/relationships/hyperlink" Target="https://test-cbs.shwesit.jits.digital/login/" TargetMode="External"/><Relationship Id="rId1" Type="http://schemas.openxmlformats.org/officeDocument/2006/relationships/hyperlink" Target="https://demo-cbs.finasit.jits.digital/login/" TargetMode="External"/><Relationship Id="rId4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B335-E986-4E7F-8101-6760C35B4931}">
  <dimension ref="A1:B4"/>
  <sheetViews>
    <sheetView workbookViewId="0">
      <selection activeCell="D12" sqref="D12"/>
    </sheetView>
  </sheetViews>
  <sheetFormatPr defaultRowHeight="15" x14ac:dyDescent="0.25"/>
  <cols>
    <col min="1" max="1" width="3.5703125" bestFit="1" customWidth="1"/>
    <col min="2" max="2" width="40.5703125" bestFit="1" customWidth="1"/>
  </cols>
  <sheetData>
    <row r="1" spans="1:2" x14ac:dyDescent="0.25">
      <c r="A1" s="1" t="s">
        <v>0</v>
      </c>
      <c r="B1" s="1" t="s">
        <v>15</v>
      </c>
    </row>
    <row r="2" spans="1:2" x14ac:dyDescent="0.25">
      <c r="A2" s="2">
        <v>1</v>
      </c>
      <c r="B2" s="3" t="s">
        <v>26</v>
      </c>
    </row>
    <row r="3" spans="1:2" x14ac:dyDescent="0.25">
      <c r="A3" s="2">
        <v>2</v>
      </c>
      <c r="B3" s="3" t="s">
        <v>36</v>
      </c>
    </row>
    <row r="4" spans="1:2" x14ac:dyDescent="0.25">
      <c r="A4" s="2">
        <v>3</v>
      </c>
      <c r="B4" s="3" t="s">
        <v>37</v>
      </c>
    </row>
  </sheetData>
  <hyperlinks>
    <hyperlink ref="B2" r:id="rId1" xr:uid="{8C40CC63-E5F8-4B4D-BD8C-5321506997A6}"/>
    <hyperlink ref="B3" r:id="rId2" xr:uid="{442777CB-DBD7-45A1-8451-08A2EF654271}"/>
    <hyperlink ref="B4" r:id="rId3" xr:uid="{B3090E0A-8E06-41D4-B260-7FE390D1E564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7D17-4F41-4432-8A64-4A68876EE8A2}">
  <dimension ref="A1:E45"/>
  <sheetViews>
    <sheetView workbookViewId="0">
      <selection activeCell="I23" sqref="I23"/>
    </sheetView>
  </sheetViews>
  <sheetFormatPr defaultRowHeight="15" x14ac:dyDescent="0.25"/>
  <cols>
    <col min="1" max="1" width="3.5703125" bestFit="1" customWidth="1"/>
    <col min="2" max="2" width="10.28515625" bestFit="1" customWidth="1"/>
    <col min="3" max="3" width="11" bestFit="1" customWidth="1"/>
    <col min="4" max="4" width="9" bestFit="1" customWidth="1"/>
    <col min="5" max="5" width="9.85546875" bestFit="1" customWidth="1"/>
  </cols>
  <sheetData>
    <row r="1" spans="1:5" x14ac:dyDescent="0.25">
      <c r="A1" s="1" t="s">
        <v>0</v>
      </c>
      <c r="B1" s="1" t="s">
        <v>14</v>
      </c>
      <c r="C1" s="1" t="s">
        <v>12</v>
      </c>
      <c r="D1" s="4" t="s">
        <v>24</v>
      </c>
      <c r="E1" s="4" t="s">
        <v>31</v>
      </c>
    </row>
    <row r="2" spans="1:5" x14ac:dyDescent="0.25">
      <c r="A2" s="2">
        <v>1</v>
      </c>
      <c r="B2" s="5" t="s">
        <v>1</v>
      </c>
      <c r="C2" s="3" t="s">
        <v>13</v>
      </c>
      <c r="D2" s="2">
        <v>1</v>
      </c>
      <c r="E2" s="2">
        <v>20</v>
      </c>
    </row>
    <row r="3" spans="1:5" x14ac:dyDescent="0.25">
      <c r="A3" s="2">
        <v>2</v>
      </c>
      <c r="B3" s="5" t="s">
        <v>1</v>
      </c>
      <c r="C3" s="3" t="s">
        <v>13</v>
      </c>
      <c r="D3" s="2">
        <v>21</v>
      </c>
      <c r="E3" s="2">
        <v>20</v>
      </c>
    </row>
    <row r="4" spans="1:5" x14ac:dyDescent="0.25">
      <c r="A4" s="2">
        <v>3</v>
      </c>
      <c r="B4" s="5" t="s">
        <v>1</v>
      </c>
      <c r="C4" s="3" t="s">
        <v>13</v>
      </c>
      <c r="D4" s="2">
        <v>41</v>
      </c>
      <c r="E4" s="2">
        <v>20</v>
      </c>
    </row>
    <row r="5" spans="1:5" x14ac:dyDescent="0.25">
      <c r="A5" s="2">
        <v>4</v>
      </c>
      <c r="B5" s="5" t="s">
        <v>1</v>
      </c>
      <c r="C5" s="3" t="s">
        <v>13</v>
      </c>
      <c r="D5" s="2">
        <v>61</v>
      </c>
      <c r="E5" s="2">
        <v>20</v>
      </c>
    </row>
    <row r="6" spans="1:5" x14ac:dyDescent="0.25">
      <c r="A6" s="2">
        <v>5</v>
      </c>
      <c r="B6" s="2" t="s">
        <v>2</v>
      </c>
      <c r="C6" s="3" t="s">
        <v>13</v>
      </c>
      <c r="D6" s="2">
        <v>81</v>
      </c>
      <c r="E6" s="2">
        <v>20</v>
      </c>
    </row>
    <row r="7" spans="1:5" x14ac:dyDescent="0.25">
      <c r="A7" s="2">
        <v>6</v>
      </c>
      <c r="B7" s="2" t="s">
        <v>2</v>
      </c>
      <c r="C7" s="3" t="s">
        <v>13</v>
      </c>
      <c r="D7" s="2">
        <v>101</v>
      </c>
      <c r="E7" s="2">
        <v>20</v>
      </c>
    </row>
    <row r="8" spans="1:5" x14ac:dyDescent="0.25">
      <c r="A8" s="2">
        <v>7</v>
      </c>
      <c r="B8" s="2" t="s">
        <v>2</v>
      </c>
      <c r="C8" s="3" t="s">
        <v>13</v>
      </c>
      <c r="D8" s="2">
        <v>121</v>
      </c>
      <c r="E8" s="2">
        <v>20</v>
      </c>
    </row>
    <row r="9" spans="1:5" x14ac:dyDescent="0.25">
      <c r="A9" s="2">
        <v>8</v>
      </c>
      <c r="B9" s="2" t="s">
        <v>2</v>
      </c>
      <c r="C9" s="3" t="s">
        <v>13</v>
      </c>
      <c r="D9" s="2">
        <v>141</v>
      </c>
      <c r="E9" s="2">
        <v>20</v>
      </c>
    </row>
    <row r="10" spans="1:5" x14ac:dyDescent="0.25">
      <c r="A10" s="2">
        <v>9</v>
      </c>
      <c r="B10" s="5" t="s">
        <v>3</v>
      </c>
      <c r="C10" s="3" t="s">
        <v>13</v>
      </c>
      <c r="D10" s="2">
        <v>161</v>
      </c>
      <c r="E10" s="2">
        <v>20</v>
      </c>
    </row>
    <row r="11" spans="1:5" x14ac:dyDescent="0.25">
      <c r="A11" s="2">
        <v>10</v>
      </c>
      <c r="B11" s="5" t="s">
        <v>3</v>
      </c>
      <c r="C11" s="3" t="s">
        <v>13</v>
      </c>
      <c r="D11" s="2">
        <v>181</v>
      </c>
      <c r="E11" s="2">
        <v>3</v>
      </c>
    </row>
    <row r="12" spans="1:5" x14ac:dyDescent="0.25">
      <c r="A12" s="2">
        <v>11</v>
      </c>
      <c r="B12" s="5" t="s">
        <v>3</v>
      </c>
      <c r="C12" s="3" t="s">
        <v>13</v>
      </c>
      <c r="D12" s="2">
        <v>201</v>
      </c>
      <c r="E12" s="2">
        <v>20</v>
      </c>
    </row>
    <row r="13" spans="1:5" x14ac:dyDescent="0.25">
      <c r="A13" s="2">
        <v>12</v>
      </c>
      <c r="B13" s="5" t="s">
        <v>3</v>
      </c>
      <c r="C13" s="3" t="s">
        <v>13</v>
      </c>
      <c r="D13" s="2">
        <v>221</v>
      </c>
      <c r="E13" s="2">
        <v>20</v>
      </c>
    </row>
    <row r="14" spans="1:5" x14ac:dyDescent="0.25">
      <c r="A14" s="2">
        <v>13</v>
      </c>
      <c r="B14" s="2" t="s">
        <v>4</v>
      </c>
      <c r="C14" s="3" t="s">
        <v>13</v>
      </c>
      <c r="D14" s="2">
        <v>241</v>
      </c>
      <c r="E14" s="2">
        <v>20</v>
      </c>
    </row>
    <row r="15" spans="1:5" x14ac:dyDescent="0.25">
      <c r="A15" s="2">
        <v>14</v>
      </c>
      <c r="B15" s="2" t="s">
        <v>4</v>
      </c>
      <c r="C15" s="3" t="s">
        <v>13</v>
      </c>
      <c r="D15" s="2">
        <v>261</v>
      </c>
      <c r="E15" s="2">
        <v>20</v>
      </c>
    </row>
    <row r="16" spans="1:5" x14ac:dyDescent="0.25">
      <c r="A16" s="2">
        <v>15</v>
      </c>
      <c r="B16" s="2" t="s">
        <v>4</v>
      </c>
      <c r="C16" s="3" t="s">
        <v>13</v>
      </c>
      <c r="D16" s="2">
        <v>281</v>
      </c>
      <c r="E16" s="2">
        <v>20</v>
      </c>
    </row>
    <row r="17" spans="1:5" x14ac:dyDescent="0.25">
      <c r="A17" s="2">
        <v>16</v>
      </c>
      <c r="B17" s="2" t="s">
        <v>4</v>
      </c>
      <c r="C17" s="3" t="s">
        <v>13</v>
      </c>
      <c r="D17" s="2">
        <v>301</v>
      </c>
      <c r="E17" s="2">
        <v>20</v>
      </c>
    </row>
    <row r="18" spans="1:5" x14ac:dyDescent="0.25">
      <c r="A18" s="2">
        <v>17</v>
      </c>
      <c r="B18" s="5" t="s">
        <v>5</v>
      </c>
      <c r="C18" s="3" t="s">
        <v>13</v>
      </c>
      <c r="D18" s="2">
        <v>321</v>
      </c>
      <c r="E18" s="2">
        <v>20</v>
      </c>
    </row>
    <row r="19" spans="1:5" x14ac:dyDescent="0.25">
      <c r="A19" s="2">
        <v>18</v>
      </c>
      <c r="B19" s="5" t="s">
        <v>5</v>
      </c>
      <c r="C19" s="3" t="s">
        <v>13</v>
      </c>
      <c r="D19" s="2">
        <v>341</v>
      </c>
      <c r="E19" s="2">
        <v>20</v>
      </c>
    </row>
    <row r="20" spans="1:5" x14ac:dyDescent="0.25">
      <c r="A20" s="2">
        <v>19</v>
      </c>
      <c r="B20" s="5" t="s">
        <v>5</v>
      </c>
      <c r="C20" s="3" t="s">
        <v>13</v>
      </c>
      <c r="D20" s="2">
        <v>361</v>
      </c>
      <c r="E20" s="2">
        <v>20</v>
      </c>
    </row>
    <row r="21" spans="1:5" x14ac:dyDescent="0.25">
      <c r="A21" s="2">
        <v>20</v>
      </c>
      <c r="B21" s="5" t="s">
        <v>5</v>
      </c>
      <c r="C21" s="3" t="s">
        <v>13</v>
      </c>
      <c r="D21" s="2">
        <v>381</v>
      </c>
      <c r="E21" s="2">
        <v>20</v>
      </c>
    </row>
    <row r="22" spans="1:5" x14ac:dyDescent="0.25">
      <c r="A22" s="2">
        <v>21</v>
      </c>
      <c r="B22" s="2" t="s">
        <v>6</v>
      </c>
      <c r="C22" s="3" t="s">
        <v>13</v>
      </c>
      <c r="D22" s="2">
        <v>401</v>
      </c>
      <c r="E22" s="2">
        <v>20</v>
      </c>
    </row>
    <row r="23" spans="1:5" x14ac:dyDescent="0.25">
      <c r="A23" s="2">
        <v>22</v>
      </c>
      <c r="B23" s="2" t="s">
        <v>6</v>
      </c>
      <c r="C23" s="3" t="s">
        <v>13</v>
      </c>
      <c r="D23" s="2">
        <v>421</v>
      </c>
      <c r="E23" s="2">
        <v>20</v>
      </c>
    </row>
    <row r="24" spans="1:5" x14ac:dyDescent="0.25">
      <c r="A24" s="2">
        <v>23</v>
      </c>
      <c r="B24" s="2" t="s">
        <v>6</v>
      </c>
      <c r="C24" s="3" t="s">
        <v>13</v>
      </c>
      <c r="D24" s="2">
        <v>441</v>
      </c>
      <c r="E24" s="2">
        <v>20</v>
      </c>
    </row>
    <row r="25" spans="1:5" x14ac:dyDescent="0.25">
      <c r="A25" s="2">
        <v>24</v>
      </c>
      <c r="B25" s="2" t="s">
        <v>6</v>
      </c>
      <c r="C25" s="3" t="s">
        <v>13</v>
      </c>
      <c r="D25" s="2">
        <v>461</v>
      </c>
      <c r="E25" s="2">
        <v>20</v>
      </c>
    </row>
    <row r="26" spans="1:5" x14ac:dyDescent="0.25">
      <c r="A26" s="2">
        <v>25</v>
      </c>
      <c r="B26" s="5" t="s">
        <v>7</v>
      </c>
      <c r="C26" s="3" t="s">
        <v>13</v>
      </c>
      <c r="D26" s="2">
        <v>481</v>
      </c>
      <c r="E26" s="2">
        <v>20</v>
      </c>
    </row>
    <row r="27" spans="1:5" x14ac:dyDescent="0.25">
      <c r="A27" s="2">
        <v>26</v>
      </c>
      <c r="B27" s="5" t="s">
        <v>7</v>
      </c>
      <c r="C27" s="3" t="s">
        <v>13</v>
      </c>
      <c r="D27" s="2">
        <v>501</v>
      </c>
      <c r="E27" s="2">
        <v>20</v>
      </c>
    </row>
    <row r="28" spans="1:5" x14ac:dyDescent="0.25">
      <c r="A28" s="2">
        <v>27</v>
      </c>
      <c r="B28" s="5" t="s">
        <v>7</v>
      </c>
      <c r="C28" s="3" t="s">
        <v>13</v>
      </c>
      <c r="D28" s="2">
        <v>521</v>
      </c>
      <c r="E28" s="2">
        <v>20</v>
      </c>
    </row>
    <row r="29" spans="1:5" x14ac:dyDescent="0.25">
      <c r="A29" s="2">
        <v>28</v>
      </c>
      <c r="B29" s="5" t="s">
        <v>7</v>
      </c>
      <c r="C29" s="3" t="s">
        <v>13</v>
      </c>
      <c r="D29" s="2">
        <v>541</v>
      </c>
      <c r="E29" s="2">
        <v>20</v>
      </c>
    </row>
    <row r="30" spans="1:5" x14ac:dyDescent="0.25">
      <c r="A30" s="2">
        <v>29</v>
      </c>
      <c r="B30" s="2" t="s">
        <v>8</v>
      </c>
      <c r="C30" s="3" t="s">
        <v>13</v>
      </c>
      <c r="D30" s="2">
        <v>561</v>
      </c>
      <c r="E30" s="2">
        <v>20</v>
      </c>
    </row>
    <row r="31" spans="1:5" x14ac:dyDescent="0.25">
      <c r="A31" s="2">
        <v>30</v>
      </c>
      <c r="B31" s="2" t="s">
        <v>8</v>
      </c>
      <c r="C31" s="3" t="s">
        <v>13</v>
      </c>
      <c r="D31" s="2">
        <v>581</v>
      </c>
      <c r="E31" s="2">
        <v>20</v>
      </c>
    </row>
    <row r="32" spans="1:5" x14ac:dyDescent="0.25">
      <c r="A32" s="2">
        <v>31</v>
      </c>
      <c r="B32" s="2" t="s">
        <v>8</v>
      </c>
      <c r="C32" s="3" t="s">
        <v>13</v>
      </c>
      <c r="D32" s="2">
        <v>601</v>
      </c>
      <c r="E32" s="2">
        <v>20</v>
      </c>
    </row>
    <row r="33" spans="1:5" x14ac:dyDescent="0.25">
      <c r="A33" s="2">
        <v>32</v>
      </c>
      <c r="B33" s="2" t="s">
        <v>8</v>
      </c>
      <c r="C33" s="3" t="s">
        <v>13</v>
      </c>
      <c r="D33" s="2">
        <v>621</v>
      </c>
      <c r="E33" s="2">
        <v>20</v>
      </c>
    </row>
    <row r="34" spans="1:5" x14ac:dyDescent="0.25">
      <c r="A34" s="2">
        <v>33</v>
      </c>
      <c r="B34" s="5" t="s">
        <v>9</v>
      </c>
      <c r="C34" s="3" t="s">
        <v>13</v>
      </c>
      <c r="D34" s="2">
        <v>641</v>
      </c>
      <c r="E34" s="2">
        <v>20</v>
      </c>
    </row>
    <row r="35" spans="1:5" x14ac:dyDescent="0.25">
      <c r="A35" s="2">
        <v>34</v>
      </c>
      <c r="B35" s="5" t="s">
        <v>9</v>
      </c>
      <c r="C35" s="3" t="s">
        <v>13</v>
      </c>
      <c r="D35" s="2">
        <v>661</v>
      </c>
      <c r="E35" s="2">
        <v>20</v>
      </c>
    </row>
    <row r="36" spans="1:5" x14ac:dyDescent="0.25">
      <c r="A36" s="2">
        <v>35</v>
      </c>
      <c r="B36" s="5" t="s">
        <v>9</v>
      </c>
      <c r="C36" s="3" t="s">
        <v>13</v>
      </c>
      <c r="D36" s="2">
        <v>681</v>
      </c>
      <c r="E36" s="2">
        <v>20</v>
      </c>
    </row>
    <row r="37" spans="1:5" x14ac:dyDescent="0.25">
      <c r="A37" s="2">
        <v>36</v>
      </c>
      <c r="B37" s="5" t="s">
        <v>9</v>
      </c>
      <c r="C37" s="3" t="s">
        <v>13</v>
      </c>
      <c r="D37" s="2">
        <v>701</v>
      </c>
      <c r="E37" s="2">
        <v>20</v>
      </c>
    </row>
    <row r="38" spans="1:5" x14ac:dyDescent="0.25">
      <c r="A38" s="2">
        <v>37</v>
      </c>
      <c r="B38" s="2" t="s">
        <v>10</v>
      </c>
      <c r="C38" s="3" t="s">
        <v>13</v>
      </c>
      <c r="D38" s="2">
        <v>721</v>
      </c>
      <c r="E38" s="2">
        <v>20</v>
      </c>
    </row>
    <row r="39" spans="1:5" x14ac:dyDescent="0.25">
      <c r="A39" s="2">
        <v>38</v>
      </c>
      <c r="B39" s="2" t="s">
        <v>10</v>
      </c>
      <c r="C39" s="3" t="s">
        <v>13</v>
      </c>
      <c r="D39" s="2">
        <v>741</v>
      </c>
      <c r="E39" s="2">
        <v>20</v>
      </c>
    </row>
    <row r="40" spans="1:5" x14ac:dyDescent="0.25">
      <c r="A40" s="2">
        <v>39</v>
      </c>
      <c r="B40" s="2" t="s">
        <v>10</v>
      </c>
      <c r="C40" s="3" t="s">
        <v>13</v>
      </c>
      <c r="D40" s="2">
        <v>761</v>
      </c>
      <c r="E40" s="2">
        <v>20</v>
      </c>
    </row>
    <row r="41" spans="1:5" x14ac:dyDescent="0.25">
      <c r="A41" s="2">
        <v>40</v>
      </c>
      <c r="B41" s="2" t="s">
        <v>10</v>
      </c>
      <c r="C41" s="3" t="s">
        <v>13</v>
      </c>
      <c r="D41" s="2">
        <v>781</v>
      </c>
      <c r="E41" s="2">
        <v>20</v>
      </c>
    </row>
    <row r="42" spans="1:5" x14ac:dyDescent="0.25">
      <c r="A42" s="2">
        <v>41</v>
      </c>
      <c r="B42" s="5" t="s">
        <v>11</v>
      </c>
      <c r="C42" s="3" t="s">
        <v>13</v>
      </c>
      <c r="D42" s="2">
        <v>801</v>
      </c>
      <c r="E42" s="2">
        <v>20</v>
      </c>
    </row>
    <row r="43" spans="1:5" x14ac:dyDescent="0.25">
      <c r="A43" s="2">
        <v>42</v>
      </c>
      <c r="B43" s="5" t="s">
        <v>11</v>
      </c>
      <c r="C43" s="3" t="s">
        <v>13</v>
      </c>
      <c r="D43" s="2">
        <v>821</v>
      </c>
      <c r="E43" s="2">
        <v>20</v>
      </c>
    </row>
    <row r="44" spans="1:5" x14ac:dyDescent="0.25">
      <c r="A44" s="2">
        <v>43</v>
      </c>
      <c r="B44" s="5" t="s">
        <v>11</v>
      </c>
      <c r="C44" s="3" t="s">
        <v>13</v>
      </c>
      <c r="D44" s="2">
        <v>841</v>
      </c>
      <c r="E44" s="2">
        <v>20</v>
      </c>
    </row>
    <row r="45" spans="1:5" x14ac:dyDescent="0.25">
      <c r="A45" s="2">
        <v>44</v>
      </c>
      <c r="B45" s="5" t="s">
        <v>11</v>
      </c>
      <c r="C45" s="3" t="s">
        <v>13</v>
      </c>
      <c r="D45" s="2">
        <v>861</v>
      </c>
      <c r="E45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D089-EC9A-472F-9A8A-E6DDC4B16A23}">
  <dimension ref="A1:Q3"/>
  <sheetViews>
    <sheetView tabSelected="1" workbookViewId="0">
      <selection activeCell="B3" sqref="B3"/>
    </sheetView>
  </sheetViews>
  <sheetFormatPr defaultRowHeight="15" x14ac:dyDescent="0.25"/>
  <cols>
    <col min="1" max="1" width="3.5703125" bestFit="1" customWidth="1"/>
    <col min="2" max="2" width="5.42578125" bestFit="1" customWidth="1"/>
    <col min="3" max="3" width="14.28515625" bestFit="1" customWidth="1"/>
    <col min="4" max="4" width="15.28515625" bestFit="1" customWidth="1"/>
    <col min="5" max="5" width="14.5703125" bestFit="1" customWidth="1"/>
    <col min="6" max="6" width="20.28515625" bestFit="1" customWidth="1"/>
    <col min="7" max="7" width="15.28515625" bestFit="1" customWidth="1"/>
    <col min="8" max="8" width="15.140625" bestFit="1" customWidth="1"/>
    <col min="9" max="9" width="20" bestFit="1" customWidth="1"/>
    <col min="10" max="10" width="17.28515625" bestFit="1" customWidth="1"/>
    <col min="11" max="11" width="22.140625" bestFit="1" customWidth="1"/>
    <col min="12" max="12" width="10.5703125" bestFit="1" customWidth="1"/>
    <col min="13" max="13" width="15.42578125" bestFit="1" customWidth="1"/>
    <col min="14" max="14" width="9.28515625" bestFit="1" customWidth="1"/>
    <col min="15" max="15" width="12.85546875" bestFit="1" customWidth="1"/>
    <col min="16" max="16" width="16.5703125" bestFit="1" customWidth="1"/>
    <col min="17" max="17" width="15" bestFit="1" customWidth="1"/>
  </cols>
  <sheetData>
    <row r="1" spans="1:17" x14ac:dyDescent="0.25">
      <c r="A1" s="1" t="s">
        <v>0</v>
      </c>
      <c r="B1" s="1" t="s">
        <v>42</v>
      </c>
      <c r="C1" s="1" t="s">
        <v>825</v>
      </c>
      <c r="D1" s="1" t="s">
        <v>828</v>
      </c>
      <c r="E1" s="1" t="s">
        <v>829</v>
      </c>
      <c r="F1" s="1" t="s">
        <v>831</v>
      </c>
      <c r="G1" s="1" t="s">
        <v>815</v>
      </c>
      <c r="H1" s="1" t="s">
        <v>816</v>
      </c>
      <c r="I1" s="1" t="s">
        <v>819</v>
      </c>
      <c r="J1" s="4" t="s">
        <v>821</v>
      </c>
      <c r="K1" s="4" t="s">
        <v>820</v>
      </c>
      <c r="L1" s="4" t="s">
        <v>817</v>
      </c>
      <c r="M1" s="4" t="s">
        <v>822</v>
      </c>
      <c r="N1" s="4" t="s">
        <v>818</v>
      </c>
      <c r="O1" s="4" t="s">
        <v>823</v>
      </c>
      <c r="P1" s="4" t="s">
        <v>824</v>
      </c>
      <c r="Q1" s="4" t="s">
        <v>840</v>
      </c>
    </row>
    <row r="2" spans="1:17" x14ac:dyDescent="0.25">
      <c r="A2" s="2">
        <v>1</v>
      </c>
      <c r="B2" s="2"/>
      <c r="C2" s="5" t="s">
        <v>826</v>
      </c>
      <c r="D2" s="2" t="s">
        <v>827</v>
      </c>
      <c r="E2" s="2" t="s">
        <v>830</v>
      </c>
      <c r="F2" s="2" t="s">
        <v>832</v>
      </c>
      <c r="G2" s="5" t="s">
        <v>833</v>
      </c>
      <c r="H2" s="2" t="s">
        <v>834</v>
      </c>
      <c r="I2" s="14" t="s">
        <v>835</v>
      </c>
      <c r="J2" s="2" t="s">
        <v>834</v>
      </c>
      <c r="K2" s="14" t="s">
        <v>835</v>
      </c>
      <c r="L2" s="2" t="s">
        <v>836</v>
      </c>
      <c r="M2" s="2" t="s">
        <v>837</v>
      </c>
      <c r="N2" s="2" t="s">
        <v>839</v>
      </c>
      <c r="O2" s="2" t="s">
        <v>838</v>
      </c>
      <c r="P2" s="2">
        <v>25</v>
      </c>
      <c r="Q2" s="2">
        <v>4</v>
      </c>
    </row>
    <row r="3" spans="1:17" x14ac:dyDescent="0.25">
      <c r="A3" s="2">
        <v>2</v>
      </c>
      <c r="B3" s="2"/>
      <c r="C3" s="2"/>
      <c r="D3" s="2"/>
      <c r="E3" s="2"/>
      <c r="F3" s="2"/>
      <c r="G3" s="8"/>
      <c r="H3" s="13"/>
      <c r="I3" s="13"/>
      <c r="J3" s="8"/>
      <c r="K3" s="8"/>
      <c r="L3" s="8"/>
      <c r="M3" s="8"/>
      <c r="N3" s="8"/>
      <c r="O3" s="2"/>
      <c r="P3" s="2"/>
      <c r="Q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013F-5D64-43B8-97C0-BE359CA741A9}">
  <dimension ref="A1:H200"/>
  <sheetViews>
    <sheetView topLeftCell="A49" workbookViewId="0">
      <selection activeCell="C206" sqref="C206"/>
    </sheetView>
  </sheetViews>
  <sheetFormatPr defaultRowHeight="15" x14ac:dyDescent="0.25"/>
  <cols>
    <col min="1" max="1" width="5.85546875" bestFit="1" customWidth="1"/>
    <col min="2" max="2" width="26.5703125" bestFit="1" customWidth="1"/>
    <col min="3" max="3" width="51.28515625" bestFit="1" customWidth="1"/>
    <col min="4" max="4" width="32.140625" bestFit="1" customWidth="1"/>
    <col min="5" max="5" width="10.28515625" bestFit="1" customWidth="1"/>
    <col min="6" max="6" width="17.5703125" bestFit="1" customWidth="1"/>
    <col min="7" max="7" width="11.42578125" bestFit="1" customWidth="1"/>
    <col min="8" max="8" width="7.7109375" bestFit="1" customWidth="1"/>
  </cols>
  <sheetData>
    <row r="1" spans="1:8" x14ac:dyDescent="0.25">
      <c r="A1" s="1" t="s">
        <v>0</v>
      </c>
      <c r="B1" s="1" t="s">
        <v>38</v>
      </c>
      <c r="C1" s="1" t="s">
        <v>39</v>
      </c>
      <c r="D1" s="4" t="s">
        <v>40</v>
      </c>
      <c r="E1" s="4" t="s">
        <v>41</v>
      </c>
      <c r="F1" s="4" t="s">
        <v>629</v>
      </c>
      <c r="G1" s="4" t="s">
        <v>43</v>
      </c>
      <c r="H1" s="4" t="s">
        <v>42</v>
      </c>
    </row>
    <row r="2" spans="1:8" x14ac:dyDescent="0.25">
      <c r="A2" s="8">
        <v>1</v>
      </c>
      <c r="B2" s="8" t="s">
        <v>60</v>
      </c>
      <c r="C2" s="8" t="s">
        <v>577</v>
      </c>
      <c r="D2" s="8" t="s">
        <v>286</v>
      </c>
      <c r="E2" s="8" t="s">
        <v>287</v>
      </c>
      <c r="F2" s="8"/>
      <c r="G2" s="8"/>
      <c r="H2" s="8"/>
    </row>
    <row r="3" spans="1:8" x14ac:dyDescent="0.25">
      <c r="A3" s="8">
        <v>2</v>
      </c>
      <c r="B3" s="8" t="s">
        <v>60</v>
      </c>
      <c r="C3" s="8" t="s">
        <v>577</v>
      </c>
      <c r="D3" s="8" t="s">
        <v>288</v>
      </c>
      <c r="E3" s="8" t="s">
        <v>289</v>
      </c>
      <c r="F3" s="8"/>
      <c r="G3" s="8"/>
      <c r="H3" s="8"/>
    </row>
    <row r="4" spans="1:8" x14ac:dyDescent="0.25">
      <c r="A4" s="8">
        <v>3</v>
      </c>
      <c r="B4" s="8" t="s">
        <v>60</v>
      </c>
      <c r="C4" s="8" t="s">
        <v>577</v>
      </c>
      <c r="D4" s="8" t="s">
        <v>290</v>
      </c>
      <c r="E4" s="8" t="s">
        <v>291</v>
      </c>
      <c r="F4" s="8"/>
      <c r="G4" s="8"/>
      <c r="H4" s="8"/>
    </row>
    <row r="5" spans="1:8" x14ac:dyDescent="0.25">
      <c r="A5" s="8">
        <v>4</v>
      </c>
      <c r="B5" s="8" t="s">
        <v>62</v>
      </c>
      <c r="C5" s="8" t="s">
        <v>578</v>
      </c>
      <c r="D5" s="8" t="s">
        <v>292</v>
      </c>
      <c r="E5" s="8" t="s">
        <v>293</v>
      </c>
      <c r="F5" s="8"/>
      <c r="G5" s="8"/>
      <c r="H5" s="8"/>
    </row>
    <row r="6" spans="1:8" x14ac:dyDescent="0.25">
      <c r="A6" s="8">
        <v>5</v>
      </c>
      <c r="B6" s="8" t="s">
        <v>62</v>
      </c>
      <c r="C6" s="8" t="s">
        <v>578</v>
      </c>
      <c r="D6" s="8" t="s">
        <v>286</v>
      </c>
      <c r="E6" s="8" t="s">
        <v>287</v>
      </c>
      <c r="F6" s="8"/>
      <c r="G6" s="8"/>
      <c r="H6" s="8"/>
    </row>
    <row r="7" spans="1:8" x14ac:dyDescent="0.25">
      <c r="A7" s="8">
        <v>6</v>
      </c>
      <c r="B7" s="8" t="s">
        <v>62</v>
      </c>
      <c r="C7" s="8" t="s">
        <v>578</v>
      </c>
      <c r="D7" s="8" t="s">
        <v>290</v>
      </c>
      <c r="E7" s="8" t="s">
        <v>291</v>
      </c>
      <c r="F7" s="8"/>
      <c r="G7" s="8"/>
      <c r="H7" s="8"/>
    </row>
    <row r="8" spans="1:8" x14ac:dyDescent="0.25">
      <c r="A8" s="8">
        <v>7</v>
      </c>
      <c r="B8" s="8" t="s">
        <v>64</v>
      </c>
      <c r="C8" s="8" t="s">
        <v>579</v>
      </c>
      <c r="D8" s="8" t="s">
        <v>292</v>
      </c>
      <c r="E8" s="8" t="s">
        <v>294</v>
      </c>
      <c r="F8" s="8"/>
      <c r="G8" s="8"/>
      <c r="H8" s="8"/>
    </row>
    <row r="9" spans="1:8" x14ac:dyDescent="0.25">
      <c r="A9" s="8">
        <v>8</v>
      </c>
      <c r="B9" s="8" t="s">
        <v>64</v>
      </c>
      <c r="C9" s="8" t="s">
        <v>579</v>
      </c>
      <c r="D9" s="8" t="s">
        <v>286</v>
      </c>
      <c r="E9" s="8" t="s">
        <v>287</v>
      </c>
      <c r="F9" s="8"/>
      <c r="G9" s="8"/>
      <c r="H9" s="8"/>
    </row>
    <row r="10" spans="1:8" x14ac:dyDescent="0.25">
      <c r="A10" s="8">
        <v>9</v>
      </c>
      <c r="B10" s="8" t="s">
        <v>64</v>
      </c>
      <c r="C10" s="8" t="s">
        <v>579</v>
      </c>
      <c r="D10" s="8" t="s">
        <v>290</v>
      </c>
      <c r="E10" s="8" t="s">
        <v>291</v>
      </c>
      <c r="F10" s="8"/>
      <c r="G10" s="8"/>
      <c r="H10" s="8"/>
    </row>
    <row r="11" spans="1:8" x14ac:dyDescent="0.25">
      <c r="A11" s="8">
        <v>10</v>
      </c>
      <c r="B11" s="8" t="s">
        <v>66</v>
      </c>
      <c r="C11" s="8" t="s">
        <v>580</v>
      </c>
      <c r="D11" s="8" t="s">
        <v>292</v>
      </c>
      <c r="E11" s="8" t="s">
        <v>295</v>
      </c>
      <c r="F11" s="8"/>
      <c r="G11" s="8"/>
      <c r="H11" s="8"/>
    </row>
    <row r="12" spans="1:8" x14ac:dyDescent="0.25">
      <c r="A12" s="8">
        <v>11</v>
      </c>
      <c r="B12" s="8" t="s">
        <v>66</v>
      </c>
      <c r="C12" s="8" t="s">
        <v>580</v>
      </c>
      <c r="D12" s="8" t="s">
        <v>286</v>
      </c>
      <c r="E12" s="8" t="s">
        <v>287</v>
      </c>
      <c r="F12" s="8"/>
      <c r="G12" s="8"/>
      <c r="H12" s="8"/>
    </row>
    <row r="13" spans="1:8" x14ac:dyDescent="0.25">
      <c r="A13" s="8">
        <v>12</v>
      </c>
      <c r="B13" s="8" t="s">
        <v>66</v>
      </c>
      <c r="C13" s="8" t="s">
        <v>580</v>
      </c>
      <c r="D13" s="8" t="s">
        <v>290</v>
      </c>
      <c r="E13" s="8" t="s">
        <v>291</v>
      </c>
      <c r="F13" s="8"/>
      <c r="G13" s="8"/>
      <c r="H13" s="8"/>
    </row>
    <row r="14" spans="1:8" x14ac:dyDescent="0.25">
      <c r="A14" s="8">
        <v>13</v>
      </c>
      <c r="B14" s="8" t="s">
        <v>68</v>
      </c>
      <c r="C14" s="8" t="s">
        <v>581</v>
      </c>
      <c r="D14" s="8" t="s">
        <v>292</v>
      </c>
      <c r="E14" s="8" t="s">
        <v>296</v>
      </c>
      <c r="F14" s="8"/>
      <c r="G14" s="8"/>
      <c r="H14" s="8"/>
    </row>
    <row r="15" spans="1:8" x14ac:dyDescent="0.25">
      <c r="A15" s="8">
        <v>14</v>
      </c>
      <c r="B15" s="8" t="s">
        <v>68</v>
      </c>
      <c r="C15" s="8" t="s">
        <v>581</v>
      </c>
      <c r="D15" s="8" t="s">
        <v>286</v>
      </c>
      <c r="E15" s="8" t="s">
        <v>287</v>
      </c>
      <c r="F15" s="8"/>
      <c r="G15" s="8"/>
      <c r="H15" s="8"/>
    </row>
    <row r="16" spans="1:8" x14ac:dyDescent="0.25">
      <c r="A16" s="8">
        <v>15</v>
      </c>
      <c r="B16" s="8" t="s">
        <v>68</v>
      </c>
      <c r="C16" s="8" t="s">
        <v>581</v>
      </c>
      <c r="D16" s="8" t="s">
        <v>290</v>
      </c>
      <c r="E16" s="8" t="s">
        <v>291</v>
      </c>
      <c r="F16" s="8"/>
      <c r="G16" s="8"/>
      <c r="H16" s="8"/>
    </row>
    <row r="17" spans="1:8" x14ac:dyDescent="0.25">
      <c r="A17" s="8">
        <v>16</v>
      </c>
      <c r="B17" s="8" t="s">
        <v>70</v>
      </c>
      <c r="C17" s="8" t="s">
        <v>582</v>
      </c>
      <c r="D17" s="8" t="s">
        <v>286</v>
      </c>
      <c r="E17" s="8" t="s">
        <v>287</v>
      </c>
      <c r="F17" s="8"/>
      <c r="G17" s="8"/>
      <c r="H17" s="8"/>
    </row>
    <row r="18" spans="1:8" x14ac:dyDescent="0.25">
      <c r="A18" s="8">
        <v>17</v>
      </c>
      <c r="B18" s="8" t="s">
        <v>70</v>
      </c>
      <c r="C18" s="8" t="s">
        <v>582</v>
      </c>
      <c r="D18" s="8" t="s">
        <v>290</v>
      </c>
      <c r="E18" s="8" t="s">
        <v>291</v>
      </c>
      <c r="F18" s="8"/>
      <c r="G18" s="8"/>
      <c r="H18" s="8"/>
    </row>
    <row r="19" spans="1:8" x14ac:dyDescent="0.25">
      <c r="A19" s="8">
        <v>18</v>
      </c>
      <c r="B19" s="8" t="s">
        <v>72</v>
      </c>
      <c r="C19" s="8" t="s">
        <v>583</v>
      </c>
      <c r="D19" s="8" t="s">
        <v>286</v>
      </c>
      <c r="E19" s="8" t="s">
        <v>287</v>
      </c>
      <c r="F19" s="8"/>
      <c r="G19" s="8"/>
      <c r="H19" s="8"/>
    </row>
    <row r="20" spans="1:8" x14ac:dyDescent="0.25">
      <c r="A20" s="8">
        <v>19</v>
      </c>
      <c r="B20" s="8" t="s">
        <v>72</v>
      </c>
      <c r="C20" s="8" t="s">
        <v>583</v>
      </c>
      <c r="D20" s="8" t="s">
        <v>290</v>
      </c>
      <c r="E20" s="8" t="s">
        <v>291</v>
      </c>
      <c r="F20" s="8"/>
      <c r="G20" s="8"/>
      <c r="H20" s="8"/>
    </row>
    <row r="21" spans="1:8" x14ac:dyDescent="0.25">
      <c r="A21" s="8">
        <v>20</v>
      </c>
      <c r="B21" s="8" t="s">
        <v>74</v>
      </c>
      <c r="C21" s="8" t="s">
        <v>584</v>
      </c>
      <c r="D21" s="8" t="s">
        <v>57</v>
      </c>
      <c r="E21" s="8" t="s">
        <v>58</v>
      </c>
      <c r="F21" s="8"/>
      <c r="G21" s="8"/>
      <c r="H21" s="8"/>
    </row>
    <row r="22" spans="1:8" x14ac:dyDescent="0.25">
      <c r="A22" s="8">
        <v>21</v>
      </c>
      <c r="B22" s="8" t="s">
        <v>74</v>
      </c>
      <c r="C22" s="8" t="s">
        <v>584</v>
      </c>
      <c r="D22" s="8" t="s">
        <v>299</v>
      </c>
      <c r="E22" s="8" t="s">
        <v>300</v>
      </c>
      <c r="F22" s="8"/>
      <c r="G22" s="8"/>
      <c r="H22" s="8"/>
    </row>
    <row r="23" spans="1:8" x14ac:dyDescent="0.25">
      <c r="A23" s="8">
        <v>22</v>
      </c>
      <c r="B23" s="8" t="s">
        <v>74</v>
      </c>
      <c r="C23" s="8" t="s">
        <v>584</v>
      </c>
      <c r="D23" s="8" t="s">
        <v>290</v>
      </c>
      <c r="E23" s="8" t="s">
        <v>301</v>
      </c>
      <c r="F23" s="8"/>
      <c r="G23" s="8"/>
      <c r="H23" s="8"/>
    </row>
    <row r="24" spans="1:8" x14ac:dyDescent="0.25">
      <c r="A24" s="8">
        <v>23</v>
      </c>
      <c r="B24" s="8" t="s">
        <v>76</v>
      </c>
      <c r="C24" s="8" t="s">
        <v>585</v>
      </c>
      <c r="D24" s="8" t="s">
        <v>290</v>
      </c>
      <c r="E24" s="8" t="s">
        <v>306</v>
      </c>
      <c r="F24" s="8"/>
      <c r="G24" s="8"/>
      <c r="H24" s="8"/>
    </row>
    <row r="25" spans="1:8" x14ac:dyDescent="0.25">
      <c r="A25" s="8">
        <v>24</v>
      </c>
      <c r="B25" s="8" t="s">
        <v>78</v>
      </c>
      <c r="C25" s="8" t="s">
        <v>586</v>
      </c>
      <c r="D25" s="8" t="s">
        <v>299</v>
      </c>
      <c r="E25" s="8" t="s">
        <v>300</v>
      </c>
      <c r="F25" s="8"/>
      <c r="G25" s="8"/>
      <c r="H25" s="8"/>
    </row>
    <row r="26" spans="1:8" x14ac:dyDescent="0.25">
      <c r="A26" s="8">
        <v>25</v>
      </c>
      <c r="B26" s="8" t="s">
        <v>80</v>
      </c>
      <c r="C26" s="8" t="s">
        <v>587</v>
      </c>
      <c r="D26" s="8" t="s">
        <v>307</v>
      </c>
      <c r="E26" s="8" t="s">
        <v>308</v>
      </c>
      <c r="F26" s="8"/>
      <c r="G26" s="8"/>
      <c r="H26" s="8"/>
    </row>
    <row r="27" spans="1:8" x14ac:dyDescent="0.25">
      <c r="A27" s="8">
        <v>26</v>
      </c>
      <c r="B27" s="8" t="s">
        <v>80</v>
      </c>
      <c r="C27" s="8" t="s">
        <v>587</v>
      </c>
      <c r="D27" s="8" t="s">
        <v>299</v>
      </c>
      <c r="E27" s="8" t="s">
        <v>309</v>
      </c>
      <c r="F27" s="8"/>
      <c r="G27" s="8"/>
      <c r="H27" s="8"/>
    </row>
    <row r="28" spans="1:8" x14ac:dyDescent="0.25">
      <c r="A28" s="8">
        <v>27</v>
      </c>
      <c r="B28" s="8" t="s">
        <v>82</v>
      </c>
      <c r="C28" s="8" t="s">
        <v>588</v>
      </c>
      <c r="D28" s="8" t="s">
        <v>307</v>
      </c>
      <c r="E28" s="8" t="s">
        <v>310</v>
      </c>
      <c r="F28" s="8"/>
      <c r="G28" s="8"/>
      <c r="H28" s="8"/>
    </row>
    <row r="29" spans="1:8" x14ac:dyDescent="0.25">
      <c r="A29" s="8">
        <v>28</v>
      </c>
      <c r="B29" s="8" t="s">
        <v>82</v>
      </c>
      <c r="C29" s="8" t="s">
        <v>588</v>
      </c>
      <c r="D29" s="8" t="s">
        <v>299</v>
      </c>
      <c r="E29" s="8" t="s">
        <v>311</v>
      </c>
      <c r="F29" s="8"/>
      <c r="G29" s="8"/>
      <c r="H29" s="8"/>
    </row>
    <row r="30" spans="1:8" x14ac:dyDescent="0.25">
      <c r="A30" s="8">
        <v>29</v>
      </c>
      <c r="B30" s="8" t="s">
        <v>84</v>
      </c>
      <c r="C30" s="8" t="s">
        <v>589</v>
      </c>
      <c r="D30" s="8" t="s">
        <v>288</v>
      </c>
      <c r="E30" s="8" t="s">
        <v>312</v>
      </c>
      <c r="F30" s="8"/>
      <c r="G30" s="8"/>
      <c r="H30" s="8"/>
    </row>
    <row r="31" spans="1:8" x14ac:dyDescent="0.25">
      <c r="A31" s="8">
        <v>30</v>
      </c>
      <c r="B31" s="8" t="s">
        <v>84</v>
      </c>
      <c r="C31" s="8" t="s">
        <v>589</v>
      </c>
      <c r="D31" s="8" t="s">
        <v>313</v>
      </c>
      <c r="E31" s="8" t="s">
        <v>314</v>
      </c>
      <c r="F31" s="8"/>
      <c r="G31" s="8"/>
      <c r="H31" s="8"/>
    </row>
    <row r="32" spans="1:8" x14ac:dyDescent="0.25">
      <c r="A32" s="8">
        <v>31</v>
      </c>
      <c r="B32" s="8" t="s">
        <v>84</v>
      </c>
      <c r="C32" s="8" t="s">
        <v>589</v>
      </c>
      <c r="D32" s="8" t="s">
        <v>315</v>
      </c>
      <c r="E32" s="8" t="s">
        <v>316</v>
      </c>
      <c r="F32" s="8"/>
      <c r="G32" s="8"/>
      <c r="H32" s="8"/>
    </row>
    <row r="33" spans="1:8" x14ac:dyDescent="0.25">
      <c r="A33" s="8">
        <v>32</v>
      </c>
      <c r="B33" s="8" t="s">
        <v>84</v>
      </c>
      <c r="C33" s="8" t="s">
        <v>589</v>
      </c>
      <c r="D33" s="8" t="s">
        <v>299</v>
      </c>
      <c r="E33" s="8" t="s">
        <v>300</v>
      </c>
      <c r="F33" s="8"/>
      <c r="G33" s="8"/>
      <c r="H33" s="8"/>
    </row>
    <row r="34" spans="1:8" x14ac:dyDescent="0.25">
      <c r="A34" s="8">
        <v>33</v>
      </c>
      <c r="B34" s="8" t="s">
        <v>86</v>
      </c>
      <c r="C34" s="8" t="s">
        <v>590</v>
      </c>
      <c r="D34" s="8" t="s">
        <v>313</v>
      </c>
      <c r="E34" s="8" t="s">
        <v>317</v>
      </c>
      <c r="F34" s="8"/>
      <c r="G34" s="8"/>
      <c r="H34" s="8"/>
    </row>
    <row r="35" spans="1:8" x14ac:dyDescent="0.25">
      <c r="A35" s="8">
        <v>34</v>
      </c>
      <c r="B35" s="8" t="s">
        <v>86</v>
      </c>
      <c r="C35" s="8" t="s">
        <v>590</v>
      </c>
      <c r="D35" s="8" t="s">
        <v>288</v>
      </c>
      <c r="E35" s="8" t="s">
        <v>318</v>
      </c>
      <c r="F35" s="8"/>
      <c r="G35" s="8"/>
      <c r="H35" s="8"/>
    </row>
    <row r="36" spans="1:8" x14ac:dyDescent="0.25">
      <c r="A36" s="8">
        <v>35</v>
      </c>
      <c r="B36" s="8" t="s">
        <v>86</v>
      </c>
      <c r="C36" s="8" t="s">
        <v>590</v>
      </c>
      <c r="D36" s="8" t="s">
        <v>288</v>
      </c>
      <c r="E36" s="8" t="s">
        <v>319</v>
      </c>
      <c r="F36" s="8"/>
      <c r="G36" s="8"/>
      <c r="H36" s="8"/>
    </row>
    <row r="37" spans="1:8" x14ac:dyDescent="0.25">
      <c r="A37" s="8">
        <v>36</v>
      </c>
      <c r="B37" s="8" t="s">
        <v>86</v>
      </c>
      <c r="C37" s="8" t="s">
        <v>590</v>
      </c>
      <c r="D37" s="8" t="s">
        <v>313</v>
      </c>
      <c r="E37" s="8" t="s">
        <v>320</v>
      </c>
      <c r="F37" s="8"/>
      <c r="G37" s="8"/>
      <c r="H37" s="8"/>
    </row>
    <row r="38" spans="1:8" x14ac:dyDescent="0.25">
      <c r="A38" s="8">
        <v>37</v>
      </c>
      <c r="B38" s="8" t="s">
        <v>86</v>
      </c>
      <c r="C38" s="8" t="s">
        <v>590</v>
      </c>
      <c r="D38" s="8" t="s">
        <v>299</v>
      </c>
      <c r="E38" s="8" t="s">
        <v>321</v>
      </c>
      <c r="F38" s="8"/>
      <c r="G38" s="8"/>
      <c r="H38" s="8"/>
    </row>
    <row r="39" spans="1:8" x14ac:dyDescent="0.25">
      <c r="A39" s="8">
        <v>38</v>
      </c>
      <c r="B39" s="8" t="s">
        <v>86</v>
      </c>
      <c r="C39" s="8" t="s">
        <v>590</v>
      </c>
      <c r="D39" s="8" t="s">
        <v>299</v>
      </c>
      <c r="E39" s="8" t="s">
        <v>322</v>
      </c>
      <c r="F39" s="8"/>
      <c r="G39" s="8"/>
      <c r="H39" s="8"/>
    </row>
    <row r="40" spans="1:8" x14ac:dyDescent="0.25">
      <c r="A40" s="8">
        <v>39</v>
      </c>
      <c r="B40" s="8" t="s">
        <v>86</v>
      </c>
      <c r="C40" s="8" t="s">
        <v>590</v>
      </c>
      <c r="D40" s="8" t="s">
        <v>299</v>
      </c>
      <c r="E40" s="8" t="s">
        <v>323</v>
      </c>
      <c r="F40" s="8"/>
      <c r="G40" s="8"/>
      <c r="H40" s="8"/>
    </row>
    <row r="41" spans="1:8" x14ac:dyDescent="0.25">
      <c r="A41" s="8">
        <v>40</v>
      </c>
      <c r="B41" s="8" t="s">
        <v>88</v>
      </c>
      <c r="C41" s="8" t="s">
        <v>591</v>
      </c>
      <c r="D41" s="8" t="s">
        <v>290</v>
      </c>
      <c r="E41" s="8" t="s">
        <v>324</v>
      </c>
      <c r="F41" s="8"/>
      <c r="G41" s="8"/>
      <c r="H41" s="8"/>
    </row>
    <row r="42" spans="1:8" x14ac:dyDescent="0.25">
      <c r="A42" s="8">
        <v>41</v>
      </c>
      <c r="B42" s="8" t="s">
        <v>90</v>
      </c>
      <c r="C42" s="8" t="s">
        <v>592</v>
      </c>
      <c r="D42" s="8" t="s">
        <v>325</v>
      </c>
      <c r="E42" s="8" t="s">
        <v>326</v>
      </c>
      <c r="F42" s="8"/>
      <c r="G42" s="8"/>
      <c r="H42" s="8"/>
    </row>
    <row r="43" spans="1:8" x14ac:dyDescent="0.25">
      <c r="A43" s="8">
        <v>42</v>
      </c>
      <c r="B43" s="8" t="s">
        <v>90</v>
      </c>
      <c r="C43" s="8" t="s">
        <v>592</v>
      </c>
      <c r="D43" s="8" t="s">
        <v>327</v>
      </c>
      <c r="E43" s="8" t="s">
        <v>328</v>
      </c>
      <c r="F43" s="8"/>
      <c r="G43" s="8"/>
      <c r="H43" s="8"/>
    </row>
    <row r="44" spans="1:8" x14ac:dyDescent="0.25">
      <c r="A44" s="8">
        <v>43</v>
      </c>
      <c r="B44" s="8" t="s">
        <v>90</v>
      </c>
      <c r="C44" s="8" t="s">
        <v>592</v>
      </c>
      <c r="D44" s="8" t="s">
        <v>299</v>
      </c>
      <c r="E44" s="8" t="s">
        <v>329</v>
      </c>
      <c r="F44" s="8"/>
      <c r="G44" s="8"/>
      <c r="H44" s="8"/>
    </row>
    <row r="45" spans="1:8" x14ac:dyDescent="0.25">
      <c r="A45" s="8">
        <v>44</v>
      </c>
      <c r="B45" s="8" t="s">
        <v>90</v>
      </c>
      <c r="C45" s="8" t="s">
        <v>592</v>
      </c>
      <c r="D45" s="8" t="s">
        <v>290</v>
      </c>
      <c r="E45" s="8" t="s">
        <v>330</v>
      </c>
      <c r="F45" s="8"/>
      <c r="G45" s="8"/>
      <c r="H45" s="8"/>
    </row>
    <row r="46" spans="1:8" x14ac:dyDescent="0.25">
      <c r="A46" s="8">
        <v>45</v>
      </c>
      <c r="B46" s="2" t="s">
        <v>92</v>
      </c>
      <c r="C46" s="2" t="s">
        <v>593</v>
      </c>
      <c r="D46" s="8" t="s">
        <v>313</v>
      </c>
      <c r="E46" s="2" t="s">
        <v>331</v>
      </c>
      <c r="F46" s="2"/>
      <c r="G46" s="2"/>
      <c r="H46" s="2"/>
    </row>
    <row r="47" spans="1:8" x14ac:dyDescent="0.25">
      <c r="A47" s="8">
        <v>46</v>
      </c>
      <c r="B47" s="2" t="s">
        <v>92</v>
      </c>
      <c r="C47" s="2" t="s">
        <v>593</v>
      </c>
      <c r="D47" s="8" t="s">
        <v>288</v>
      </c>
      <c r="E47" s="2" t="s">
        <v>332</v>
      </c>
      <c r="F47" s="2"/>
      <c r="G47" s="2"/>
      <c r="H47" s="2"/>
    </row>
    <row r="48" spans="1:8" x14ac:dyDescent="0.25">
      <c r="A48" s="8">
        <v>47</v>
      </c>
      <c r="B48" s="2" t="s">
        <v>92</v>
      </c>
      <c r="C48" s="2" t="s">
        <v>593</v>
      </c>
      <c r="D48" s="8" t="s">
        <v>290</v>
      </c>
      <c r="E48" s="2" t="s">
        <v>333</v>
      </c>
      <c r="F48" s="2"/>
      <c r="G48" s="2"/>
      <c r="H48" s="2"/>
    </row>
    <row r="49" spans="1:8" x14ac:dyDescent="0.25">
      <c r="A49" s="8">
        <v>48</v>
      </c>
      <c r="B49" s="2" t="s">
        <v>94</v>
      </c>
      <c r="C49" s="2" t="s">
        <v>594</v>
      </c>
      <c r="D49" s="8" t="s">
        <v>307</v>
      </c>
      <c r="E49" s="2" t="s">
        <v>334</v>
      </c>
      <c r="F49" s="2"/>
      <c r="G49" s="2"/>
      <c r="H49" s="2"/>
    </row>
    <row r="50" spans="1:8" x14ac:dyDescent="0.25">
      <c r="A50" s="8">
        <v>49</v>
      </c>
      <c r="B50" s="2" t="s">
        <v>94</v>
      </c>
      <c r="C50" s="2" t="s">
        <v>594</v>
      </c>
      <c r="D50" s="8" t="s">
        <v>327</v>
      </c>
      <c r="E50" s="2" t="s">
        <v>335</v>
      </c>
      <c r="F50" s="2"/>
      <c r="G50" s="2"/>
      <c r="H50" s="2"/>
    </row>
    <row r="51" spans="1:8" x14ac:dyDescent="0.25">
      <c r="A51" s="8">
        <v>50</v>
      </c>
      <c r="B51" s="2" t="s">
        <v>94</v>
      </c>
      <c r="C51" s="2" t="s">
        <v>594</v>
      </c>
      <c r="D51" s="8" t="s">
        <v>290</v>
      </c>
      <c r="E51" s="2" t="s">
        <v>336</v>
      </c>
      <c r="F51" s="2"/>
      <c r="G51" s="2"/>
      <c r="H51" s="2"/>
    </row>
    <row r="52" spans="1:8" x14ac:dyDescent="0.25">
      <c r="A52" s="8">
        <v>51</v>
      </c>
      <c r="B52" s="2" t="s">
        <v>94</v>
      </c>
      <c r="C52" s="2" t="s">
        <v>594</v>
      </c>
      <c r="D52" s="8" t="s">
        <v>290</v>
      </c>
      <c r="E52" s="2" t="s">
        <v>337</v>
      </c>
      <c r="F52" s="2"/>
      <c r="G52" s="2"/>
      <c r="H52" s="2"/>
    </row>
    <row r="53" spans="1:8" x14ac:dyDescent="0.25">
      <c r="A53" s="8">
        <v>52</v>
      </c>
      <c r="B53" s="2" t="s">
        <v>94</v>
      </c>
      <c r="C53" s="2" t="s">
        <v>594</v>
      </c>
      <c r="D53" s="8" t="s">
        <v>315</v>
      </c>
      <c r="E53" s="2" t="s">
        <v>338</v>
      </c>
      <c r="F53" s="2"/>
      <c r="G53" s="2"/>
      <c r="H53" s="2"/>
    </row>
    <row r="54" spans="1:8" x14ac:dyDescent="0.25">
      <c r="A54" s="8">
        <v>53</v>
      </c>
      <c r="B54" s="2" t="s">
        <v>96</v>
      </c>
      <c r="C54" s="2" t="s">
        <v>595</v>
      </c>
      <c r="D54" s="8" t="s">
        <v>288</v>
      </c>
      <c r="E54" s="2" t="s">
        <v>332</v>
      </c>
      <c r="F54" s="2"/>
      <c r="G54" s="2"/>
      <c r="H54" s="2"/>
    </row>
    <row r="55" spans="1:8" x14ac:dyDescent="0.25">
      <c r="A55" s="8">
        <v>54</v>
      </c>
      <c r="B55" s="2" t="s">
        <v>96</v>
      </c>
      <c r="C55" s="2" t="s">
        <v>595</v>
      </c>
      <c r="D55" s="8" t="s">
        <v>313</v>
      </c>
      <c r="E55" s="2" t="s">
        <v>331</v>
      </c>
      <c r="F55" s="2"/>
      <c r="G55" s="2"/>
      <c r="H55" s="2"/>
    </row>
    <row r="56" spans="1:8" x14ac:dyDescent="0.25">
      <c r="A56" s="8">
        <v>55</v>
      </c>
      <c r="B56" s="2" t="s">
        <v>96</v>
      </c>
      <c r="C56" s="2" t="s">
        <v>595</v>
      </c>
      <c r="D56" s="8" t="s">
        <v>299</v>
      </c>
      <c r="E56" s="2" t="s">
        <v>339</v>
      </c>
      <c r="F56" s="2"/>
      <c r="G56" s="2"/>
      <c r="H56" s="2"/>
    </row>
    <row r="57" spans="1:8" x14ac:dyDescent="0.25">
      <c r="A57" s="8">
        <v>56</v>
      </c>
      <c r="B57" s="2" t="s">
        <v>96</v>
      </c>
      <c r="C57" s="2" t="s">
        <v>595</v>
      </c>
      <c r="D57" s="8" t="s">
        <v>57</v>
      </c>
      <c r="E57" s="2" t="s">
        <v>58</v>
      </c>
      <c r="F57" s="2"/>
      <c r="G57" s="2"/>
      <c r="H57" s="2"/>
    </row>
    <row r="58" spans="1:8" x14ac:dyDescent="0.25">
      <c r="A58" s="8">
        <v>57</v>
      </c>
      <c r="B58" s="2" t="s">
        <v>96</v>
      </c>
      <c r="C58" s="2" t="s">
        <v>595</v>
      </c>
      <c r="D58" s="8" t="s">
        <v>340</v>
      </c>
      <c r="E58" s="2" t="s">
        <v>341</v>
      </c>
      <c r="F58" s="2"/>
      <c r="G58" s="2"/>
      <c r="H58" s="2"/>
    </row>
    <row r="59" spans="1:8" x14ac:dyDescent="0.25">
      <c r="A59" s="8">
        <v>58</v>
      </c>
      <c r="B59" s="2" t="s">
        <v>96</v>
      </c>
      <c r="C59" s="2" t="s">
        <v>595</v>
      </c>
      <c r="D59" s="8" t="s">
        <v>342</v>
      </c>
      <c r="E59" s="2" t="s">
        <v>343</v>
      </c>
      <c r="F59" s="2"/>
      <c r="G59" s="2"/>
      <c r="H59" s="2"/>
    </row>
    <row r="60" spans="1:8" x14ac:dyDescent="0.25">
      <c r="A60" s="8">
        <v>59</v>
      </c>
      <c r="B60" s="2" t="s">
        <v>56</v>
      </c>
      <c r="C60" s="2" t="e">
        <v>#N/A</v>
      </c>
      <c r="D60" s="8" t="s">
        <v>57</v>
      </c>
      <c r="E60" s="2" t="s">
        <v>58</v>
      </c>
      <c r="F60" s="2"/>
      <c r="G60" s="2"/>
      <c r="H60" s="2"/>
    </row>
    <row r="61" spans="1:8" x14ac:dyDescent="0.25">
      <c r="A61" s="8">
        <v>60</v>
      </c>
      <c r="B61" s="2" t="s">
        <v>173</v>
      </c>
      <c r="C61" s="2" t="s">
        <v>596</v>
      </c>
      <c r="D61" s="8" t="s">
        <v>299</v>
      </c>
      <c r="E61" s="2" t="s">
        <v>300</v>
      </c>
      <c r="F61" s="2"/>
      <c r="G61" s="2"/>
      <c r="H61" s="2"/>
    </row>
    <row r="62" spans="1:8" x14ac:dyDescent="0.25">
      <c r="A62" s="8">
        <v>61</v>
      </c>
      <c r="B62" s="2" t="s">
        <v>175</v>
      </c>
      <c r="C62" s="2" t="s">
        <v>597</v>
      </c>
      <c r="D62" s="8" t="s">
        <v>299</v>
      </c>
      <c r="E62" s="2" t="s">
        <v>300</v>
      </c>
      <c r="F62" s="2"/>
      <c r="G62" s="2"/>
      <c r="H62" s="2"/>
    </row>
    <row r="63" spans="1:8" x14ac:dyDescent="0.25">
      <c r="A63" s="8">
        <v>62</v>
      </c>
      <c r="B63" s="2" t="s">
        <v>98</v>
      </c>
      <c r="C63" s="2" t="s">
        <v>598</v>
      </c>
      <c r="D63" s="8" t="s">
        <v>286</v>
      </c>
      <c r="E63" s="2" t="s">
        <v>287</v>
      </c>
      <c r="F63" s="2"/>
      <c r="G63" s="2"/>
      <c r="H63" s="2"/>
    </row>
    <row r="64" spans="1:8" x14ac:dyDescent="0.25">
      <c r="A64" s="8">
        <v>63</v>
      </c>
      <c r="B64" s="2" t="s">
        <v>98</v>
      </c>
      <c r="C64" s="2" t="s">
        <v>598</v>
      </c>
      <c r="D64" s="8" t="s">
        <v>290</v>
      </c>
      <c r="E64" s="2" t="s">
        <v>291</v>
      </c>
      <c r="F64" s="2"/>
      <c r="G64" s="2"/>
      <c r="H64" s="2"/>
    </row>
    <row r="65" spans="1:8" x14ac:dyDescent="0.25">
      <c r="A65" s="8">
        <v>64</v>
      </c>
      <c r="B65" s="2" t="s">
        <v>100</v>
      </c>
      <c r="C65" s="2" t="s">
        <v>599</v>
      </c>
      <c r="D65" s="8" t="s">
        <v>299</v>
      </c>
      <c r="E65" s="2" t="s">
        <v>344</v>
      </c>
      <c r="F65" s="2"/>
      <c r="G65" s="2"/>
      <c r="H65" s="2"/>
    </row>
    <row r="66" spans="1:8" x14ac:dyDescent="0.25">
      <c r="A66" s="8">
        <v>65</v>
      </c>
      <c r="B66" s="2" t="s">
        <v>102</v>
      </c>
      <c r="C66" s="2" t="s">
        <v>600</v>
      </c>
      <c r="D66" s="8" t="s">
        <v>313</v>
      </c>
      <c r="E66" s="2" t="s">
        <v>331</v>
      </c>
      <c r="F66" s="2"/>
      <c r="G66" s="2"/>
      <c r="H66" s="2"/>
    </row>
    <row r="67" spans="1:8" x14ac:dyDescent="0.25">
      <c r="A67" s="8">
        <v>66</v>
      </c>
      <c r="B67" s="2" t="s">
        <v>102</v>
      </c>
      <c r="C67" s="2" t="s">
        <v>600</v>
      </c>
      <c r="D67" s="8" t="s">
        <v>288</v>
      </c>
      <c r="E67" s="2" t="s">
        <v>332</v>
      </c>
      <c r="F67" s="2"/>
      <c r="G67" s="2"/>
      <c r="H67" s="2"/>
    </row>
    <row r="68" spans="1:8" x14ac:dyDescent="0.25">
      <c r="A68" s="8">
        <v>67</v>
      </c>
      <c r="B68" s="2" t="s">
        <v>102</v>
      </c>
      <c r="C68" s="2" t="s">
        <v>600</v>
      </c>
      <c r="D68" s="8" t="s">
        <v>299</v>
      </c>
      <c r="E68" s="2" t="s">
        <v>345</v>
      </c>
      <c r="F68" s="2"/>
      <c r="G68" s="2"/>
      <c r="H68" s="2"/>
    </row>
    <row r="69" spans="1:8" x14ac:dyDescent="0.25">
      <c r="A69" s="8">
        <v>68</v>
      </c>
      <c r="B69" s="2" t="s">
        <v>102</v>
      </c>
      <c r="C69" s="2" t="s">
        <v>600</v>
      </c>
      <c r="D69" s="8" t="s">
        <v>299</v>
      </c>
      <c r="E69" s="2" t="s">
        <v>346</v>
      </c>
      <c r="F69" s="2"/>
      <c r="G69" s="2"/>
      <c r="H69" s="2"/>
    </row>
    <row r="70" spans="1:8" x14ac:dyDescent="0.25">
      <c r="A70" s="8">
        <v>69</v>
      </c>
      <c r="B70" s="2" t="s">
        <v>104</v>
      </c>
      <c r="C70" s="2" t="s">
        <v>601</v>
      </c>
      <c r="D70" s="8" t="s">
        <v>288</v>
      </c>
      <c r="E70" s="2" t="s">
        <v>347</v>
      </c>
      <c r="F70" s="2"/>
      <c r="G70" s="2"/>
      <c r="H70" s="2"/>
    </row>
    <row r="71" spans="1:8" x14ac:dyDescent="0.25">
      <c r="A71" s="8">
        <v>70</v>
      </c>
      <c r="B71" s="2" t="s">
        <v>104</v>
      </c>
      <c r="C71" s="2" t="s">
        <v>601</v>
      </c>
      <c r="D71" s="8" t="s">
        <v>313</v>
      </c>
      <c r="E71" s="2" t="s">
        <v>348</v>
      </c>
      <c r="F71" s="2"/>
      <c r="G71" s="2"/>
      <c r="H71" s="2"/>
    </row>
    <row r="72" spans="1:8" x14ac:dyDescent="0.25">
      <c r="A72" s="8">
        <v>71</v>
      </c>
      <c r="B72" s="2" t="s">
        <v>104</v>
      </c>
      <c r="C72" s="2" t="s">
        <v>601</v>
      </c>
      <c r="D72" s="8" t="s">
        <v>307</v>
      </c>
      <c r="E72" s="2" t="s">
        <v>349</v>
      </c>
      <c r="F72" s="2"/>
      <c r="G72" s="2"/>
      <c r="H72" s="2"/>
    </row>
    <row r="73" spans="1:8" x14ac:dyDescent="0.25">
      <c r="A73" s="8">
        <v>72</v>
      </c>
      <c r="B73" s="2" t="s">
        <v>104</v>
      </c>
      <c r="C73" s="2" t="s">
        <v>601</v>
      </c>
      <c r="D73" s="8" t="s">
        <v>290</v>
      </c>
      <c r="E73" s="2" t="s">
        <v>350</v>
      </c>
      <c r="F73" s="2"/>
      <c r="G73" s="2"/>
      <c r="H73" s="2"/>
    </row>
    <row r="74" spans="1:8" x14ac:dyDescent="0.25">
      <c r="A74" s="8">
        <v>73</v>
      </c>
      <c r="B74" s="2" t="s">
        <v>106</v>
      </c>
      <c r="C74" s="2" t="s">
        <v>602</v>
      </c>
      <c r="D74" s="8" t="s">
        <v>307</v>
      </c>
      <c r="E74" s="2" t="s">
        <v>351</v>
      </c>
      <c r="F74" s="2"/>
      <c r="G74" s="2"/>
      <c r="H74" s="2"/>
    </row>
    <row r="75" spans="1:8" x14ac:dyDescent="0.25">
      <c r="A75" s="8">
        <v>74</v>
      </c>
      <c r="B75" s="2" t="s">
        <v>106</v>
      </c>
      <c r="C75" s="2" t="s">
        <v>602</v>
      </c>
      <c r="D75" s="8" t="s">
        <v>288</v>
      </c>
      <c r="E75" s="2" t="s">
        <v>332</v>
      </c>
      <c r="F75" s="2"/>
      <c r="G75" s="2"/>
      <c r="H75" s="2"/>
    </row>
    <row r="76" spans="1:8" x14ac:dyDescent="0.25">
      <c r="A76" s="8">
        <v>75</v>
      </c>
      <c r="B76" s="2" t="s">
        <v>106</v>
      </c>
      <c r="C76" s="2" t="s">
        <v>602</v>
      </c>
      <c r="D76" s="8" t="s">
        <v>313</v>
      </c>
      <c r="E76" s="2" t="s">
        <v>331</v>
      </c>
      <c r="F76" s="2"/>
      <c r="G76" s="2"/>
      <c r="H76" s="2"/>
    </row>
    <row r="77" spans="1:8" x14ac:dyDescent="0.25">
      <c r="A77" s="8">
        <v>76</v>
      </c>
      <c r="B77" s="2" t="s">
        <v>106</v>
      </c>
      <c r="C77" s="2" t="s">
        <v>602</v>
      </c>
      <c r="D77" s="8" t="s">
        <v>299</v>
      </c>
      <c r="E77" s="2" t="s">
        <v>352</v>
      </c>
      <c r="F77" s="2"/>
      <c r="G77" s="2"/>
      <c r="H77" s="2"/>
    </row>
    <row r="78" spans="1:8" x14ac:dyDescent="0.25">
      <c r="A78" s="8">
        <v>77</v>
      </c>
      <c r="B78" s="2" t="s">
        <v>108</v>
      </c>
      <c r="C78" s="2" t="s">
        <v>603</v>
      </c>
      <c r="D78" s="8" t="s">
        <v>288</v>
      </c>
      <c r="E78" s="2" t="s">
        <v>353</v>
      </c>
      <c r="F78" s="2"/>
      <c r="G78" s="2"/>
      <c r="H78" s="2"/>
    </row>
    <row r="79" spans="1:8" x14ac:dyDescent="0.25">
      <c r="A79" s="8">
        <v>78</v>
      </c>
      <c r="B79" s="2" t="s">
        <v>108</v>
      </c>
      <c r="C79" s="2" t="s">
        <v>603</v>
      </c>
      <c r="D79" s="8" t="s">
        <v>313</v>
      </c>
      <c r="E79" s="2" t="s">
        <v>354</v>
      </c>
      <c r="F79" s="2"/>
      <c r="G79" s="2"/>
      <c r="H79" s="2"/>
    </row>
    <row r="80" spans="1:8" x14ac:dyDescent="0.25">
      <c r="A80" s="8">
        <v>79</v>
      </c>
      <c r="B80" s="2" t="s">
        <v>108</v>
      </c>
      <c r="C80" s="2" t="s">
        <v>603</v>
      </c>
      <c r="D80" s="8" t="s">
        <v>313</v>
      </c>
      <c r="E80" s="2" t="s">
        <v>355</v>
      </c>
      <c r="F80" s="2"/>
      <c r="G80" s="2"/>
      <c r="H80" s="2"/>
    </row>
    <row r="81" spans="1:8" x14ac:dyDescent="0.25">
      <c r="A81" s="8">
        <v>80</v>
      </c>
      <c r="B81" s="2" t="s">
        <v>108</v>
      </c>
      <c r="C81" s="2" t="s">
        <v>603</v>
      </c>
      <c r="D81" s="8" t="s">
        <v>325</v>
      </c>
      <c r="E81" s="2" t="s">
        <v>356</v>
      </c>
      <c r="F81" s="2"/>
      <c r="G81" s="2"/>
      <c r="H81" s="2"/>
    </row>
    <row r="82" spans="1:8" x14ac:dyDescent="0.25">
      <c r="A82" s="8">
        <v>81</v>
      </c>
      <c r="B82" s="2" t="s">
        <v>108</v>
      </c>
      <c r="C82" s="2" t="s">
        <v>603</v>
      </c>
      <c r="D82" s="8" t="s">
        <v>290</v>
      </c>
      <c r="E82" s="2" t="s">
        <v>357</v>
      </c>
      <c r="F82" s="2"/>
      <c r="G82" s="2"/>
      <c r="H82" s="2"/>
    </row>
    <row r="83" spans="1:8" x14ac:dyDescent="0.25">
      <c r="A83" s="8">
        <v>82</v>
      </c>
      <c r="B83" s="2" t="s">
        <v>108</v>
      </c>
      <c r="C83" s="2" t="s">
        <v>603</v>
      </c>
      <c r="D83" s="8" t="s">
        <v>290</v>
      </c>
      <c r="E83" s="2" t="s">
        <v>358</v>
      </c>
      <c r="F83" s="2"/>
      <c r="G83" s="2"/>
      <c r="H83" s="2"/>
    </row>
    <row r="84" spans="1:8" x14ac:dyDescent="0.25">
      <c r="A84" s="8">
        <v>83</v>
      </c>
      <c r="B84" s="2" t="s">
        <v>110</v>
      </c>
      <c r="C84" s="2" t="s">
        <v>604</v>
      </c>
      <c r="D84" s="8" t="s">
        <v>288</v>
      </c>
      <c r="E84" s="2" t="s">
        <v>359</v>
      </c>
      <c r="F84" s="2"/>
      <c r="G84" s="2"/>
      <c r="H84" s="2"/>
    </row>
    <row r="85" spans="1:8" x14ac:dyDescent="0.25">
      <c r="A85" s="8">
        <v>84</v>
      </c>
      <c r="B85" s="2" t="s">
        <v>110</v>
      </c>
      <c r="C85" s="2" t="s">
        <v>604</v>
      </c>
      <c r="D85" s="8" t="s">
        <v>313</v>
      </c>
      <c r="E85" s="2" t="s">
        <v>360</v>
      </c>
      <c r="F85" s="2"/>
      <c r="G85" s="2"/>
      <c r="H85" s="2"/>
    </row>
    <row r="86" spans="1:8" x14ac:dyDescent="0.25">
      <c r="A86" s="8">
        <v>85</v>
      </c>
      <c r="B86" s="2" t="s">
        <v>110</v>
      </c>
      <c r="C86" s="2" t="s">
        <v>604</v>
      </c>
      <c r="D86" s="8" t="s">
        <v>299</v>
      </c>
      <c r="E86" s="2" t="s">
        <v>339</v>
      </c>
      <c r="F86" s="2"/>
      <c r="G86" s="2"/>
      <c r="H86" s="2"/>
    </row>
    <row r="87" spans="1:8" x14ac:dyDescent="0.25">
      <c r="A87" s="8">
        <v>86</v>
      </c>
      <c r="B87" s="2" t="s">
        <v>110</v>
      </c>
      <c r="C87" s="2" t="s">
        <v>604</v>
      </c>
      <c r="D87" s="8" t="s">
        <v>57</v>
      </c>
      <c r="E87" s="2" t="s">
        <v>58</v>
      </c>
      <c r="F87" s="2"/>
      <c r="G87" s="2"/>
      <c r="H87" s="2"/>
    </row>
    <row r="88" spans="1:8" x14ac:dyDescent="0.25">
      <c r="A88" s="8">
        <v>87</v>
      </c>
      <c r="B88" s="2" t="s">
        <v>110</v>
      </c>
      <c r="C88" s="2" t="s">
        <v>604</v>
      </c>
      <c r="D88" s="8" t="s">
        <v>340</v>
      </c>
      <c r="E88" s="2" t="s">
        <v>341</v>
      </c>
      <c r="F88" s="2"/>
      <c r="G88" s="2"/>
      <c r="H88" s="2"/>
    </row>
    <row r="89" spans="1:8" x14ac:dyDescent="0.25">
      <c r="A89" s="8">
        <v>88</v>
      </c>
      <c r="B89" s="2" t="s">
        <v>110</v>
      </c>
      <c r="C89" s="2" t="s">
        <v>604</v>
      </c>
      <c r="D89" s="8" t="s">
        <v>299</v>
      </c>
      <c r="E89" s="2" t="s">
        <v>361</v>
      </c>
      <c r="F89" s="2"/>
      <c r="G89" s="2"/>
      <c r="H89" s="2"/>
    </row>
    <row r="90" spans="1:8" x14ac:dyDescent="0.25">
      <c r="A90" s="8">
        <v>89</v>
      </c>
      <c r="B90" s="2" t="s">
        <v>110</v>
      </c>
      <c r="C90" s="2" t="s">
        <v>604</v>
      </c>
      <c r="D90" s="8" t="s">
        <v>342</v>
      </c>
      <c r="E90" s="2" t="s">
        <v>343</v>
      </c>
      <c r="F90" s="2"/>
      <c r="G90" s="2"/>
      <c r="H90" s="2"/>
    </row>
    <row r="91" spans="1:8" x14ac:dyDescent="0.25">
      <c r="A91" s="8">
        <v>90</v>
      </c>
      <c r="B91" s="2" t="s">
        <v>112</v>
      </c>
      <c r="C91" s="2" t="s">
        <v>605</v>
      </c>
      <c r="D91" s="8" t="s">
        <v>288</v>
      </c>
      <c r="E91" s="2" t="s">
        <v>362</v>
      </c>
      <c r="F91" s="2"/>
      <c r="G91" s="2"/>
      <c r="H91" s="2"/>
    </row>
    <row r="92" spans="1:8" x14ac:dyDescent="0.25">
      <c r="A92" s="8">
        <v>91</v>
      </c>
      <c r="B92" s="2" t="s">
        <v>112</v>
      </c>
      <c r="C92" s="2" t="s">
        <v>605</v>
      </c>
      <c r="D92" s="8" t="s">
        <v>286</v>
      </c>
      <c r="E92" s="2" t="s">
        <v>363</v>
      </c>
      <c r="F92" s="2"/>
      <c r="G92" s="2"/>
      <c r="H92" s="2"/>
    </row>
    <row r="93" spans="1:8" x14ac:dyDescent="0.25">
      <c r="A93" s="8">
        <v>92</v>
      </c>
      <c r="B93" s="2" t="s">
        <v>112</v>
      </c>
      <c r="C93" s="2" t="s">
        <v>605</v>
      </c>
      <c r="D93" s="8" t="s">
        <v>290</v>
      </c>
      <c r="E93" s="2" t="s">
        <v>364</v>
      </c>
      <c r="F93" s="2"/>
      <c r="G93" s="2"/>
      <c r="H93" s="2"/>
    </row>
    <row r="94" spans="1:8" x14ac:dyDescent="0.25">
      <c r="A94" s="8">
        <v>93</v>
      </c>
      <c r="B94" s="2" t="s">
        <v>112</v>
      </c>
      <c r="C94" s="2" t="s">
        <v>605</v>
      </c>
      <c r="D94" s="8" t="s">
        <v>288</v>
      </c>
      <c r="E94" s="2" t="s">
        <v>365</v>
      </c>
      <c r="F94" s="2"/>
      <c r="G94" s="2"/>
      <c r="H94" s="2"/>
    </row>
    <row r="95" spans="1:8" x14ac:dyDescent="0.25">
      <c r="A95" s="8">
        <v>94</v>
      </c>
      <c r="B95" s="2" t="s">
        <v>112</v>
      </c>
      <c r="C95" s="2" t="s">
        <v>605</v>
      </c>
      <c r="D95" s="8" t="s">
        <v>286</v>
      </c>
      <c r="E95" s="2" t="s">
        <v>366</v>
      </c>
      <c r="F95" s="2"/>
      <c r="G95" s="2"/>
      <c r="H95" s="2"/>
    </row>
    <row r="96" spans="1:8" x14ac:dyDescent="0.25">
      <c r="A96" s="8">
        <v>95</v>
      </c>
      <c r="B96" s="2" t="s">
        <v>112</v>
      </c>
      <c r="C96" s="2" t="s">
        <v>605</v>
      </c>
      <c r="D96" s="8" t="s">
        <v>290</v>
      </c>
      <c r="E96" s="2" t="s">
        <v>367</v>
      </c>
      <c r="F96" s="2"/>
      <c r="G96" s="2"/>
      <c r="H96" s="2"/>
    </row>
    <row r="97" spans="1:8" x14ac:dyDescent="0.25">
      <c r="A97" s="8">
        <v>96</v>
      </c>
      <c r="B97" s="2" t="s">
        <v>114</v>
      </c>
      <c r="C97" s="2" t="s">
        <v>606</v>
      </c>
      <c r="D97" s="8" t="s">
        <v>299</v>
      </c>
      <c r="E97" s="2" t="s">
        <v>352</v>
      </c>
      <c r="F97" s="2"/>
      <c r="G97" s="2"/>
      <c r="H97" s="2"/>
    </row>
    <row r="98" spans="1:8" x14ac:dyDescent="0.25">
      <c r="A98" s="8">
        <v>97</v>
      </c>
      <c r="B98" s="2" t="s">
        <v>116</v>
      </c>
      <c r="C98" s="2" t="s">
        <v>607</v>
      </c>
      <c r="D98" s="8" t="s">
        <v>290</v>
      </c>
      <c r="E98" s="2" t="s">
        <v>368</v>
      </c>
      <c r="F98" s="2"/>
      <c r="G98" s="2"/>
      <c r="H98" s="2"/>
    </row>
    <row r="99" spans="1:8" x14ac:dyDescent="0.25">
      <c r="A99" s="8">
        <v>98</v>
      </c>
      <c r="B99" s="2" t="s">
        <v>158</v>
      </c>
      <c r="C99" s="2" t="s">
        <v>608</v>
      </c>
      <c r="D99" s="8" t="s">
        <v>325</v>
      </c>
      <c r="E99" s="2" t="s">
        <v>369</v>
      </c>
      <c r="F99" s="2"/>
      <c r="G99" s="2"/>
      <c r="H99" s="2"/>
    </row>
    <row r="100" spans="1:8" x14ac:dyDescent="0.25">
      <c r="A100" s="8">
        <v>99</v>
      </c>
      <c r="B100" s="2" t="s">
        <v>158</v>
      </c>
      <c r="C100" s="2" t="s">
        <v>608</v>
      </c>
      <c r="D100" s="8" t="s">
        <v>327</v>
      </c>
      <c r="E100" s="2" t="s">
        <v>370</v>
      </c>
      <c r="F100" s="2"/>
      <c r="G100" s="2"/>
      <c r="H100" s="2"/>
    </row>
    <row r="101" spans="1:8" x14ac:dyDescent="0.25">
      <c r="A101" s="8">
        <v>100</v>
      </c>
      <c r="B101" s="2" t="s">
        <v>158</v>
      </c>
      <c r="C101" s="2" t="s">
        <v>608</v>
      </c>
      <c r="D101" s="8" t="s">
        <v>299</v>
      </c>
      <c r="E101" s="2" t="s">
        <v>329</v>
      </c>
      <c r="F101" s="2"/>
      <c r="G101" s="2"/>
      <c r="H101" s="2"/>
    </row>
    <row r="102" spans="1:8" x14ac:dyDescent="0.25">
      <c r="A102" s="8">
        <v>101</v>
      </c>
      <c r="B102" s="2" t="s">
        <v>158</v>
      </c>
      <c r="C102" s="2" t="s">
        <v>608</v>
      </c>
      <c r="D102" s="8" t="s">
        <v>290</v>
      </c>
      <c r="E102" s="2" t="s">
        <v>330</v>
      </c>
      <c r="F102" s="2"/>
      <c r="G102" s="2"/>
      <c r="H102" s="2"/>
    </row>
    <row r="103" spans="1:8" x14ac:dyDescent="0.25">
      <c r="A103" s="8">
        <v>102</v>
      </c>
      <c r="B103" s="2" t="s">
        <v>118</v>
      </c>
      <c r="C103" s="2" t="s">
        <v>609</v>
      </c>
      <c r="D103" s="8" t="s">
        <v>290</v>
      </c>
      <c r="E103" s="2" t="s">
        <v>291</v>
      </c>
      <c r="F103" s="2"/>
      <c r="G103" s="2"/>
      <c r="H103" s="2"/>
    </row>
    <row r="104" spans="1:8" x14ac:dyDescent="0.25">
      <c r="A104" s="8">
        <v>103</v>
      </c>
      <c r="B104" s="2" t="s">
        <v>120</v>
      </c>
      <c r="C104" s="2" t="s">
        <v>610</v>
      </c>
      <c r="D104" s="8" t="s">
        <v>290</v>
      </c>
      <c r="E104" s="2" t="s">
        <v>291</v>
      </c>
      <c r="F104" s="2"/>
      <c r="G104" s="2"/>
      <c r="H104" s="2"/>
    </row>
    <row r="105" spans="1:8" x14ac:dyDescent="0.25">
      <c r="A105" s="8">
        <v>104</v>
      </c>
      <c r="B105" s="2" t="s">
        <v>122</v>
      </c>
      <c r="C105" s="2" t="s">
        <v>611</v>
      </c>
      <c r="D105" s="8" t="s">
        <v>377</v>
      </c>
      <c r="E105" s="2" t="s">
        <v>378</v>
      </c>
      <c r="F105" s="2"/>
      <c r="G105" s="2"/>
      <c r="H105" s="2"/>
    </row>
    <row r="106" spans="1:8" x14ac:dyDescent="0.25">
      <c r="A106" s="8">
        <v>105</v>
      </c>
      <c r="B106" s="2" t="s">
        <v>122</v>
      </c>
      <c r="C106" s="2" t="s">
        <v>611</v>
      </c>
      <c r="D106" s="8" t="s">
        <v>299</v>
      </c>
      <c r="E106" s="2" t="s">
        <v>379</v>
      </c>
      <c r="F106" s="2"/>
      <c r="G106" s="2"/>
      <c r="H106" s="2"/>
    </row>
    <row r="107" spans="1:8" x14ac:dyDescent="0.25">
      <c r="A107" s="8">
        <v>106</v>
      </c>
      <c r="B107" s="2" t="s">
        <v>122</v>
      </c>
      <c r="C107" s="2" t="s">
        <v>611</v>
      </c>
      <c r="D107" s="8" t="s">
        <v>380</v>
      </c>
      <c r="E107" s="2" t="s">
        <v>381</v>
      </c>
      <c r="F107" s="2"/>
      <c r="G107" s="2"/>
      <c r="H107" s="2"/>
    </row>
    <row r="108" spans="1:8" x14ac:dyDescent="0.25">
      <c r="A108" s="8">
        <v>107</v>
      </c>
      <c r="B108" s="2" t="s">
        <v>122</v>
      </c>
      <c r="C108" s="2" t="s">
        <v>611</v>
      </c>
      <c r="D108" s="8" t="s">
        <v>299</v>
      </c>
      <c r="E108" s="2" t="s">
        <v>382</v>
      </c>
      <c r="F108" s="2"/>
      <c r="G108" s="2"/>
      <c r="H108" s="2"/>
    </row>
    <row r="109" spans="1:8" x14ac:dyDescent="0.25">
      <c r="A109" s="8">
        <v>108</v>
      </c>
      <c r="B109" s="2" t="s">
        <v>122</v>
      </c>
      <c r="C109" s="2" t="s">
        <v>611</v>
      </c>
      <c r="D109" s="8" t="s">
        <v>299</v>
      </c>
      <c r="E109" s="2" t="s">
        <v>300</v>
      </c>
      <c r="F109" s="2"/>
      <c r="G109" s="2"/>
      <c r="H109" s="2"/>
    </row>
    <row r="110" spans="1:8" x14ac:dyDescent="0.25">
      <c r="A110" s="8">
        <v>109</v>
      </c>
      <c r="B110" s="2" t="s">
        <v>283</v>
      </c>
      <c r="C110" s="2" t="s">
        <v>612</v>
      </c>
      <c r="D110" s="8" t="s">
        <v>385</v>
      </c>
      <c r="E110" s="2" t="s">
        <v>386</v>
      </c>
      <c r="F110" s="2"/>
      <c r="G110" s="2"/>
      <c r="H110" s="2"/>
    </row>
    <row r="111" spans="1:8" x14ac:dyDescent="0.25">
      <c r="A111" s="8">
        <v>110</v>
      </c>
      <c r="B111" s="2" t="s">
        <v>283</v>
      </c>
      <c r="C111" s="2" t="s">
        <v>612</v>
      </c>
      <c r="D111" s="8" t="s">
        <v>385</v>
      </c>
      <c r="E111" s="2" t="s">
        <v>387</v>
      </c>
      <c r="F111" s="2"/>
      <c r="G111" s="2"/>
      <c r="H111" s="2"/>
    </row>
    <row r="112" spans="1:8" x14ac:dyDescent="0.25">
      <c r="A112" s="8">
        <v>111</v>
      </c>
      <c r="B112" s="2" t="s">
        <v>283</v>
      </c>
      <c r="C112" s="2" t="s">
        <v>612</v>
      </c>
      <c r="D112" s="8" t="s">
        <v>388</v>
      </c>
      <c r="E112" s="2" t="s">
        <v>389</v>
      </c>
      <c r="F112" s="2"/>
      <c r="G112" s="2"/>
      <c r="H112" s="2"/>
    </row>
    <row r="113" spans="1:8" x14ac:dyDescent="0.25">
      <c r="A113" s="8">
        <v>112</v>
      </c>
      <c r="B113" s="2" t="s">
        <v>283</v>
      </c>
      <c r="C113" s="2" t="s">
        <v>612</v>
      </c>
      <c r="D113" s="8" t="s">
        <v>390</v>
      </c>
      <c r="E113" s="2" t="s">
        <v>391</v>
      </c>
      <c r="F113" s="2"/>
      <c r="G113" s="2"/>
      <c r="H113" s="2"/>
    </row>
    <row r="114" spans="1:8" x14ac:dyDescent="0.25">
      <c r="A114" s="8">
        <v>113</v>
      </c>
      <c r="B114" s="2" t="s">
        <v>283</v>
      </c>
      <c r="C114" s="2" t="s">
        <v>612</v>
      </c>
      <c r="D114" s="8" t="s">
        <v>392</v>
      </c>
      <c r="E114" s="2" t="s">
        <v>393</v>
      </c>
      <c r="F114" s="2"/>
      <c r="G114" s="2"/>
      <c r="H114" s="2"/>
    </row>
    <row r="115" spans="1:8" x14ac:dyDescent="0.25">
      <c r="A115" s="8">
        <v>114</v>
      </c>
      <c r="B115" s="2" t="s">
        <v>124</v>
      </c>
      <c r="C115" s="2" t="s">
        <v>613</v>
      </c>
      <c r="D115" s="8" t="s">
        <v>313</v>
      </c>
      <c r="E115" s="2" t="s">
        <v>394</v>
      </c>
      <c r="F115" s="2"/>
      <c r="G115" s="2"/>
      <c r="H115" s="2"/>
    </row>
    <row r="116" spans="1:8" x14ac:dyDescent="0.25">
      <c r="A116" s="8">
        <v>115</v>
      </c>
      <c r="B116" s="2" t="s">
        <v>124</v>
      </c>
      <c r="C116" s="2" t="s">
        <v>613</v>
      </c>
      <c r="D116" s="8" t="s">
        <v>288</v>
      </c>
      <c r="E116" s="2" t="s">
        <v>395</v>
      </c>
      <c r="F116" s="2"/>
      <c r="G116" s="2"/>
      <c r="H116" s="2"/>
    </row>
    <row r="117" spans="1:8" x14ac:dyDescent="0.25">
      <c r="A117" s="8">
        <v>116</v>
      </c>
      <c r="B117" s="2" t="s">
        <v>124</v>
      </c>
      <c r="C117" s="2" t="s">
        <v>613</v>
      </c>
      <c r="D117" s="8" t="s">
        <v>307</v>
      </c>
      <c r="E117" s="2" t="s">
        <v>396</v>
      </c>
      <c r="F117" s="2"/>
      <c r="G117" s="2"/>
      <c r="H117" s="2"/>
    </row>
    <row r="118" spans="1:8" x14ac:dyDescent="0.25">
      <c r="A118" s="8">
        <v>117</v>
      </c>
      <c r="B118" s="2" t="s">
        <v>124</v>
      </c>
      <c r="C118" s="2" t="s">
        <v>613</v>
      </c>
      <c r="D118" s="8" t="s">
        <v>377</v>
      </c>
      <c r="E118" s="2" t="s">
        <v>397</v>
      </c>
      <c r="F118" s="2"/>
      <c r="G118" s="2"/>
      <c r="H118" s="2"/>
    </row>
    <row r="119" spans="1:8" x14ac:dyDescent="0.25">
      <c r="A119" s="8">
        <v>118</v>
      </c>
      <c r="B119" s="2" t="s">
        <v>124</v>
      </c>
      <c r="C119" s="2" t="s">
        <v>613</v>
      </c>
      <c r="D119" s="8" t="s">
        <v>290</v>
      </c>
      <c r="E119" s="2" t="s">
        <v>398</v>
      </c>
      <c r="F119" s="2"/>
      <c r="G119" s="2"/>
      <c r="H119" s="2"/>
    </row>
    <row r="120" spans="1:8" x14ac:dyDescent="0.25">
      <c r="A120" s="8">
        <v>119</v>
      </c>
      <c r="B120" s="2" t="s">
        <v>124</v>
      </c>
      <c r="C120" s="2" t="s">
        <v>613</v>
      </c>
      <c r="D120" s="8" t="s">
        <v>315</v>
      </c>
      <c r="E120" s="2" t="s">
        <v>316</v>
      </c>
      <c r="F120" s="2"/>
      <c r="G120" s="2"/>
      <c r="H120" s="2"/>
    </row>
    <row r="121" spans="1:8" x14ac:dyDescent="0.25">
      <c r="A121" s="8">
        <v>120</v>
      </c>
      <c r="B121" s="2" t="s">
        <v>126</v>
      </c>
      <c r="C121" s="2" t="s">
        <v>526</v>
      </c>
      <c r="D121" s="8" t="s">
        <v>307</v>
      </c>
      <c r="E121" s="2" t="s">
        <v>414</v>
      </c>
      <c r="F121" s="2"/>
      <c r="G121" s="2"/>
      <c r="H121" s="2"/>
    </row>
    <row r="122" spans="1:8" x14ac:dyDescent="0.25">
      <c r="A122" s="8">
        <v>121</v>
      </c>
      <c r="B122" s="2" t="s">
        <v>126</v>
      </c>
      <c r="C122" s="2" t="s">
        <v>526</v>
      </c>
      <c r="D122" s="8" t="s">
        <v>313</v>
      </c>
      <c r="E122" s="2" t="s">
        <v>348</v>
      </c>
      <c r="F122" s="2"/>
      <c r="G122" s="2"/>
      <c r="H122" s="2"/>
    </row>
    <row r="123" spans="1:8" x14ac:dyDescent="0.25">
      <c r="A123" s="8">
        <v>122</v>
      </c>
      <c r="B123" s="2" t="s">
        <v>126</v>
      </c>
      <c r="C123" s="2" t="s">
        <v>526</v>
      </c>
      <c r="D123" s="8" t="s">
        <v>290</v>
      </c>
      <c r="E123" s="2" t="s">
        <v>415</v>
      </c>
      <c r="F123" s="2"/>
      <c r="G123" s="2"/>
      <c r="H123" s="2"/>
    </row>
    <row r="124" spans="1:8" x14ac:dyDescent="0.25">
      <c r="A124" s="8">
        <v>123</v>
      </c>
      <c r="B124" s="2" t="s">
        <v>128</v>
      </c>
      <c r="C124" s="2" t="s">
        <v>527</v>
      </c>
      <c r="D124" s="8" t="s">
        <v>288</v>
      </c>
      <c r="E124" s="2" t="s">
        <v>359</v>
      </c>
      <c r="F124" s="2"/>
      <c r="G124" s="2"/>
      <c r="H124" s="2"/>
    </row>
    <row r="125" spans="1:8" x14ac:dyDescent="0.25">
      <c r="A125" s="8">
        <v>124</v>
      </c>
      <c r="B125" s="2" t="s">
        <v>128</v>
      </c>
      <c r="C125" s="2" t="s">
        <v>527</v>
      </c>
      <c r="D125" s="8" t="s">
        <v>313</v>
      </c>
      <c r="E125" s="2" t="s">
        <v>360</v>
      </c>
      <c r="F125" s="2"/>
      <c r="G125" s="2"/>
      <c r="H125" s="2"/>
    </row>
    <row r="126" spans="1:8" x14ac:dyDescent="0.25">
      <c r="A126" s="8">
        <v>125</v>
      </c>
      <c r="B126" s="2" t="s">
        <v>128</v>
      </c>
      <c r="C126" s="2" t="s">
        <v>527</v>
      </c>
      <c r="D126" s="8" t="s">
        <v>299</v>
      </c>
      <c r="E126" s="2" t="s">
        <v>339</v>
      </c>
      <c r="F126" s="2"/>
      <c r="G126" s="2"/>
      <c r="H126" s="2"/>
    </row>
    <row r="127" spans="1:8" x14ac:dyDescent="0.25">
      <c r="A127" s="8">
        <v>126</v>
      </c>
      <c r="B127" s="2" t="s">
        <v>128</v>
      </c>
      <c r="C127" s="2" t="s">
        <v>527</v>
      </c>
      <c r="D127" s="8" t="s">
        <v>57</v>
      </c>
      <c r="E127" s="2" t="s">
        <v>58</v>
      </c>
      <c r="F127" s="2"/>
      <c r="G127" s="2"/>
      <c r="H127" s="2"/>
    </row>
    <row r="128" spans="1:8" x14ac:dyDescent="0.25">
      <c r="A128" s="8">
        <v>127</v>
      </c>
      <c r="B128" s="2" t="s">
        <v>128</v>
      </c>
      <c r="C128" s="2" t="s">
        <v>527</v>
      </c>
      <c r="D128" s="8" t="s">
        <v>340</v>
      </c>
      <c r="E128" s="2" t="s">
        <v>341</v>
      </c>
      <c r="F128" s="2"/>
      <c r="G128" s="2"/>
      <c r="H128" s="2"/>
    </row>
    <row r="129" spans="1:8" x14ac:dyDescent="0.25">
      <c r="A129" s="8">
        <v>128</v>
      </c>
      <c r="B129" s="2" t="s">
        <v>128</v>
      </c>
      <c r="C129" s="2" t="s">
        <v>527</v>
      </c>
      <c r="D129" s="8" t="s">
        <v>342</v>
      </c>
      <c r="E129" s="2" t="s">
        <v>343</v>
      </c>
      <c r="F129" s="2"/>
      <c r="G129" s="2"/>
      <c r="H129" s="2"/>
    </row>
    <row r="130" spans="1:8" x14ac:dyDescent="0.25">
      <c r="A130" s="8">
        <v>129</v>
      </c>
      <c r="B130" s="2" t="s">
        <v>272</v>
      </c>
      <c r="C130" s="2" t="s">
        <v>528</v>
      </c>
      <c r="D130" s="8" t="s">
        <v>416</v>
      </c>
      <c r="E130" s="2" t="s">
        <v>417</v>
      </c>
      <c r="F130" s="2"/>
      <c r="G130" s="2"/>
      <c r="H130" s="2"/>
    </row>
    <row r="131" spans="1:8" x14ac:dyDescent="0.25">
      <c r="A131" s="8">
        <v>130</v>
      </c>
      <c r="B131" s="2" t="s">
        <v>272</v>
      </c>
      <c r="C131" s="2" t="s">
        <v>528</v>
      </c>
      <c r="D131" s="2" t="s">
        <v>418</v>
      </c>
      <c r="E131" s="2" t="s">
        <v>419</v>
      </c>
      <c r="F131" s="2"/>
      <c r="G131" s="2"/>
      <c r="H131" s="2"/>
    </row>
    <row r="132" spans="1:8" x14ac:dyDescent="0.25">
      <c r="A132" s="8">
        <v>131</v>
      </c>
      <c r="B132" s="2" t="s">
        <v>272</v>
      </c>
      <c r="C132" s="2" t="s">
        <v>528</v>
      </c>
      <c r="D132" s="2" t="s">
        <v>392</v>
      </c>
      <c r="E132" s="2" t="s">
        <v>420</v>
      </c>
      <c r="F132" s="2"/>
      <c r="G132" s="2"/>
      <c r="H132" s="2"/>
    </row>
    <row r="133" spans="1:8" x14ac:dyDescent="0.25">
      <c r="A133" s="8">
        <v>132</v>
      </c>
      <c r="B133" s="2" t="s">
        <v>272</v>
      </c>
      <c r="C133" s="2" t="s">
        <v>528</v>
      </c>
      <c r="D133" s="2" t="s">
        <v>392</v>
      </c>
      <c r="E133" s="2" t="s">
        <v>421</v>
      </c>
      <c r="F133" s="2"/>
      <c r="G133" s="2"/>
      <c r="H133" s="2"/>
    </row>
    <row r="134" spans="1:8" x14ac:dyDescent="0.25">
      <c r="A134" s="8">
        <v>133</v>
      </c>
      <c r="B134" s="2" t="s">
        <v>130</v>
      </c>
      <c r="C134" s="2" t="s">
        <v>529</v>
      </c>
      <c r="D134" s="2" t="s">
        <v>313</v>
      </c>
      <c r="E134" s="2" t="s">
        <v>348</v>
      </c>
      <c r="F134" s="2"/>
      <c r="G134" s="2"/>
      <c r="H134" s="2"/>
    </row>
    <row r="135" spans="1:8" x14ac:dyDescent="0.25">
      <c r="A135" s="8">
        <v>134</v>
      </c>
      <c r="B135" s="2" t="s">
        <v>130</v>
      </c>
      <c r="C135" s="2" t="s">
        <v>529</v>
      </c>
      <c r="D135" s="2" t="s">
        <v>288</v>
      </c>
      <c r="E135" s="2" t="s">
        <v>347</v>
      </c>
      <c r="F135" s="2"/>
      <c r="G135" s="2"/>
      <c r="H135" s="2"/>
    </row>
    <row r="136" spans="1:8" x14ac:dyDescent="0.25">
      <c r="A136" s="8">
        <v>135</v>
      </c>
      <c r="B136" s="2" t="s">
        <v>130</v>
      </c>
      <c r="C136" s="2" t="s">
        <v>529</v>
      </c>
      <c r="D136" s="2" t="s">
        <v>307</v>
      </c>
      <c r="E136" s="2" t="s">
        <v>422</v>
      </c>
      <c r="F136" s="2"/>
      <c r="G136" s="2"/>
      <c r="H136" s="2"/>
    </row>
    <row r="137" spans="1:8" x14ac:dyDescent="0.25">
      <c r="A137" s="8">
        <v>136</v>
      </c>
      <c r="B137" s="2" t="s">
        <v>130</v>
      </c>
      <c r="C137" s="2" t="s">
        <v>529</v>
      </c>
      <c r="D137" s="2" t="s">
        <v>299</v>
      </c>
      <c r="E137" s="2" t="s">
        <v>300</v>
      </c>
      <c r="F137" s="2"/>
      <c r="G137" s="2"/>
      <c r="H137" s="2"/>
    </row>
    <row r="138" spans="1:8" x14ac:dyDescent="0.25">
      <c r="A138" s="8">
        <v>137</v>
      </c>
      <c r="B138" s="2" t="s">
        <v>169</v>
      </c>
      <c r="C138" s="2" t="s">
        <v>546</v>
      </c>
      <c r="D138" s="2" t="s">
        <v>290</v>
      </c>
      <c r="E138" s="2" t="s">
        <v>443</v>
      </c>
      <c r="F138" s="2"/>
      <c r="G138" s="2"/>
      <c r="H138" s="2"/>
    </row>
    <row r="139" spans="1:8" x14ac:dyDescent="0.25">
      <c r="A139" s="8">
        <v>138</v>
      </c>
      <c r="B139" s="2" t="s">
        <v>168</v>
      </c>
      <c r="C139" s="2" t="s">
        <v>547</v>
      </c>
      <c r="D139" s="2" t="s">
        <v>444</v>
      </c>
      <c r="E139" s="2" t="s">
        <v>445</v>
      </c>
      <c r="F139" s="2"/>
      <c r="G139" s="2"/>
      <c r="H139" s="2"/>
    </row>
    <row r="140" spans="1:8" x14ac:dyDescent="0.25">
      <c r="A140" s="8">
        <v>139</v>
      </c>
      <c r="B140" s="2" t="s">
        <v>168</v>
      </c>
      <c r="C140" s="2" t="s">
        <v>547</v>
      </c>
      <c r="D140" s="2" t="s">
        <v>444</v>
      </c>
      <c r="E140" s="2" t="s">
        <v>446</v>
      </c>
      <c r="F140" s="2"/>
      <c r="G140" s="2"/>
      <c r="H140" s="2"/>
    </row>
    <row r="141" spans="1:8" x14ac:dyDescent="0.25">
      <c r="A141" s="8">
        <v>140</v>
      </c>
      <c r="B141" s="2" t="s">
        <v>168</v>
      </c>
      <c r="C141" s="2" t="s">
        <v>547</v>
      </c>
      <c r="D141" s="2" t="s">
        <v>444</v>
      </c>
      <c r="E141" s="2" t="s">
        <v>447</v>
      </c>
      <c r="F141" s="2"/>
      <c r="G141" s="2"/>
      <c r="H141" s="2"/>
    </row>
    <row r="142" spans="1:8" x14ac:dyDescent="0.25">
      <c r="A142" s="8">
        <v>141</v>
      </c>
      <c r="B142" s="2" t="s">
        <v>132</v>
      </c>
      <c r="C142" s="2" t="s">
        <v>548</v>
      </c>
      <c r="D142" s="2" t="s">
        <v>377</v>
      </c>
      <c r="E142" s="2" t="s">
        <v>448</v>
      </c>
      <c r="F142" s="2"/>
      <c r="G142" s="2"/>
      <c r="H142" s="2"/>
    </row>
    <row r="143" spans="1:8" x14ac:dyDescent="0.25">
      <c r="A143" s="8">
        <v>142</v>
      </c>
      <c r="B143" s="2" t="s">
        <v>132</v>
      </c>
      <c r="C143" s="2" t="s">
        <v>548</v>
      </c>
      <c r="D143" s="2" t="s">
        <v>315</v>
      </c>
      <c r="E143" s="2" t="s">
        <v>449</v>
      </c>
      <c r="F143" s="2"/>
      <c r="G143" s="2"/>
      <c r="H143" s="2"/>
    </row>
    <row r="144" spans="1:8" x14ac:dyDescent="0.25">
      <c r="A144" s="8">
        <v>143</v>
      </c>
      <c r="B144" s="2" t="s">
        <v>274</v>
      </c>
      <c r="C144" s="2" t="s">
        <v>549</v>
      </c>
      <c r="D144" s="2" t="s">
        <v>418</v>
      </c>
      <c r="E144" s="2" t="s">
        <v>419</v>
      </c>
      <c r="F144" s="2"/>
      <c r="G144" s="2"/>
      <c r="H144" s="2"/>
    </row>
    <row r="145" spans="1:8" x14ac:dyDescent="0.25">
      <c r="A145" s="8">
        <v>144</v>
      </c>
      <c r="B145" s="2" t="s">
        <v>274</v>
      </c>
      <c r="C145" s="2" t="s">
        <v>549</v>
      </c>
      <c r="D145" s="2" t="s">
        <v>385</v>
      </c>
      <c r="E145" s="2" t="s">
        <v>450</v>
      </c>
      <c r="F145" s="2"/>
      <c r="G145" s="2"/>
      <c r="H145" s="2"/>
    </row>
    <row r="146" spans="1:8" x14ac:dyDescent="0.25">
      <c r="A146" s="8">
        <v>145</v>
      </c>
      <c r="B146" s="2" t="s">
        <v>274</v>
      </c>
      <c r="C146" s="2" t="s">
        <v>549</v>
      </c>
      <c r="D146" s="2" t="s">
        <v>392</v>
      </c>
      <c r="E146" s="2" t="s">
        <v>420</v>
      </c>
      <c r="F146" s="2"/>
      <c r="G146" s="2"/>
      <c r="H146" s="2"/>
    </row>
    <row r="147" spans="1:8" x14ac:dyDescent="0.25">
      <c r="A147" s="8">
        <v>146</v>
      </c>
      <c r="B147" s="2" t="s">
        <v>274</v>
      </c>
      <c r="C147" s="2" t="s">
        <v>549</v>
      </c>
      <c r="D147" s="2" t="s">
        <v>410</v>
      </c>
      <c r="E147" s="2" t="s">
        <v>451</v>
      </c>
      <c r="F147" s="2"/>
      <c r="G147" s="2"/>
      <c r="H147" s="2"/>
    </row>
    <row r="148" spans="1:8" x14ac:dyDescent="0.25">
      <c r="A148" s="8">
        <v>147</v>
      </c>
      <c r="B148" s="2" t="s">
        <v>156</v>
      </c>
      <c r="C148" s="2" t="s">
        <v>553</v>
      </c>
      <c r="D148" s="2" t="s">
        <v>307</v>
      </c>
      <c r="E148" s="2" t="s">
        <v>308</v>
      </c>
      <c r="F148" s="2"/>
      <c r="G148" s="2"/>
      <c r="H148" s="2"/>
    </row>
    <row r="149" spans="1:8" x14ac:dyDescent="0.25">
      <c r="A149" s="8">
        <v>148</v>
      </c>
      <c r="B149" s="2" t="s">
        <v>156</v>
      </c>
      <c r="C149" s="2" t="s">
        <v>553</v>
      </c>
      <c r="D149" s="2" t="s">
        <v>299</v>
      </c>
      <c r="E149" s="2" t="s">
        <v>309</v>
      </c>
      <c r="F149" s="2"/>
      <c r="G149" s="2"/>
      <c r="H149" s="2"/>
    </row>
    <row r="150" spans="1:8" x14ac:dyDescent="0.25">
      <c r="A150" s="8">
        <v>149</v>
      </c>
      <c r="B150" s="2" t="s">
        <v>160</v>
      </c>
      <c r="C150" s="2" t="s">
        <v>554</v>
      </c>
      <c r="D150" s="2" t="s">
        <v>307</v>
      </c>
      <c r="E150" s="2" t="s">
        <v>310</v>
      </c>
      <c r="F150" s="2"/>
      <c r="G150" s="2"/>
      <c r="H150" s="2"/>
    </row>
    <row r="151" spans="1:8" x14ac:dyDescent="0.25">
      <c r="A151" s="8">
        <v>150</v>
      </c>
      <c r="B151" s="2" t="s">
        <v>160</v>
      </c>
      <c r="C151" s="2" t="s">
        <v>554</v>
      </c>
      <c r="D151" s="2" t="s">
        <v>299</v>
      </c>
      <c r="E151" s="2" t="s">
        <v>311</v>
      </c>
      <c r="F151" s="2"/>
      <c r="G151" s="2"/>
      <c r="H151" s="2"/>
    </row>
    <row r="152" spans="1:8" x14ac:dyDescent="0.25">
      <c r="A152" s="8">
        <v>151</v>
      </c>
      <c r="B152" s="2" t="s">
        <v>154</v>
      </c>
      <c r="C152" s="2" t="s">
        <v>555</v>
      </c>
      <c r="D152" s="2" t="s">
        <v>307</v>
      </c>
      <c r="E152" s="2" t="s">
        <v>453</v>
      </c>
      <c r="F152" s="2"/>
      <c r="G152" s="2"/>
      <c r="H152" s="2"/>
    </row>
    <row r="153" spans="1:8" x14ac:dyDescent="0.25">
      <c r="A153" s="8">
        <v>152</v>
      </c>
      <c r="B153" s="2" t="s">
        <v>154</v>
      </c>
      <c r="C153" s="2" t="s">
        <v>555</v>
      </c>
      <c r="D153" s="2" t="s">
        <v>299</v>
      </c>
      <c r="E153" s="2" t="s">
        <v>454</v>
      </c>
      <c r="F153" s="2"/>
      <c r="G153" s="2"/>
      <c r="H153" s="2"/>
    </row>
    <row r="154" spans="1:8" x14ac:dyDescent="0.25">
      <c r="A154" s="8">
        <v>153</v>
      </c>
      <c r="B154" s="2" t="s">
        <v>44</v>
      </c>
      <c r="C154" s="2" t="s">
        <v>55</v>
      </c>
      <c r="D154" s="2" t="s">
        <v>53</v>
      </c>
      <c r="E154" s="2" t="s">
        <v>54</v>
      </c>
      <c r="F154" s="2"/>
      <c r="G154" s="2"/>
      <c r="H154" s="2"/>
    </row>
    <row r="155" spans="1:8" x14ac:dyDescent="0.25">
      <c r="A155" s="8">
        <v>154</v>
      </c>
      <c r="B155" s="2" t="s">
        <v>134</v>
      </c>
      <c r="C155" s="2" t="s">
        <v>556</v>
      </c>
      <c r="D155" s="2" t="s">
        <v>290</v>
      </c>
      <c r="E155" s="2" t="s">
        <v>455</v>
      </c>
      <c r="F155" s="2"/>
      <c r="G155" s="2"/>
      <c r="H155" s="2"/>
    </row>
    <row r="156" spans="1:8" x14ac:dyDescent="0.25">
      <c r="A156" s="8">
        <v>155</v>
      </c>
      <c r="B156" s="2" t="s">
        <v>171</v>
      </c>
      <c r="C156" s="2" t="s">
        <v>557</v>
      </c>
      <c r="D156" s="2" t="s">
        <v>299</v>
      </c>
      <c r="E156" s="2" t="s">
        <v>300</v>
      </c>
      <c r="F156" s="2"/>
      <c r="G156" s="2"/>
      <c r="H156" s="2"/>
    </row>
    <row r="157" spans="1:8" x14ac:dyDescent="0.25">
      <c r="A157" s="8">
        <v>156</v>
      </c>
      <c r="B157" s="2" t="s">
        <v>136</v>
      </c>
      <c r="C157" s="2" t="s">
        <v>558</v>
      </c>
      <c r="D157" s="2" t="s">
        <v>290</v>
      </c>
      <c r="E157" s="2" t="s">
        <v>456</v>
      </c>
      <c r="F157" s="2"/>
      <c r="G157" s="2"/>
      <c r="H157" s="2"/>
    </row>
    <row r="158" spans="1:8" x14ac:dyDescent="0.25">
      <c r="A158" s="8">
        <v>157</v>
      </c>
      <c r="B158" s="2" t="s">
        <v>162</v>
      </c>
      <c r="C158" s="2" t="s">
        <v>559</v>
      </c>
      <c r="D158" s="2" t="s">
        <v>307</v>
      </c>
      <c r="E158" s="2" t="s">
        <v>457</v>
      </c>
      <c r="F158" s="2"/>
      <c r="G158" s="2"/>
      <c r="H158" s="2"/>
    </row>
    <row r="159" spans="1:8" x14ac:dyDescent="0.25">
      <c r="A159" s="8">
        <v>158</v>
      </c>
      <c r="B159" s="2" t="s">
        <v>162</v>
      </c>
      <c r="C159" s="2" t="s">
        <v>559</v>
      </c>
      <c r="D159" s="2" t="s">
        <v>299</v>
      </c>
      <c r="E159" s="2" t="s">
        <v>458</v>
      </c>
      <c r="F159" s="2"/>
      <c r="G159" s="2"/>
      <c r="H159" s="2"/>
    </row>
    <row r="160" spans="1:8" x14ac:dyDescent="0.25">
      <c r="A160" s="8">
        <v>159</v>
      </c>
      <c r="B160" s="2" t="s">
        <v>138</v>
      </c>
      <c r="C160" s="2" t="s">
        <v>560</v>
      </c>
      <c r="D160" s="2" t="s">
        <v>327</v>
      </c>
      <c r="E160" s="2" t="s">
        <v>370</v>
      </c>
      <c r="F160" s="2"/>
      <c r="G160" s="2"/>
      <c r="H160" s="2"/>
    </row>
    <row r="161" spans="1:8" x14ac:dyDescent="0.25">
      <c r="A161" s="8">
        <v>160</v>
      </c>
      <c r="B161" s="2" t="s">
        <v>138</v>
      </c>
      <c r="C161" s="2" t="s">
        <v>560</v>
      </c>
      <c r="D161" s="2" t="s">
        <v>299</v>
      </c>
      <c r="E161" s="2" t="s">
        <v>300</v>
      </c>
      <c r="F161" s="2"/>
      <c r="G161" s="2"/>
      <c r="H161" s="2"/>
    </row>
    <row r="162" spans="1:8" x14ac:dyDescent="0.25">
      <c r="A162" s="8">
        <v>161</v>
      </c>
      <c r="B162" s="2" t="s">
        <v>138</v>
      </c>
      <c r="C162" s="2" t="s">
        <v>560</v>
      </c>
      <c r="D162" s="2" t="s">
        <v>299</v>
      </c>
      <c r="E162" s="2" t="s">
        <v>329</v>
      </c>
      <c r="F162" s="2"/>
      <c r="G162" s="2"/>
      <c r="H162" s="2"/>
    </row>
    <row r="163" spans="1:8" x14ac:dyDescent="0.25">
      <c r="A163" s="8">
        <v>162</v>
      </c>
      <c r="B163" s="2" t="s">
        <v>138</v>
      </c>
      <c r="C163" s="2" t="s">
        <v>560</v>
      </c>
      <c r="D163" s="2" t="s">
        <v>290</v>
      </c>
      <c r="E163" s="2" t="s">
        <v>336</v>
      </c>
      <c r="F163" s="2"/>
      <c r="G163" s="2"/>
      <c r="H163" s="2"/>
    </row>
    <row r="164" spans="1:8" x14ac:dyDescent="0.25">
      <c r="A164" s="8">
        <v>163</v>
      </c>
      <c r="B164" s="2" t="s">
        <v>276</v>
      </c>
      <c r="C164" s="2" t="s">
        <v>561</v>
      </c>
      <c r="D164" s="2" t="s">
        <v>418</v>
      </c>
      <c r="E164" s="2" t="s">
        <v>459</v>
      </c>
      <c r="F164" s="2"/>
      <c r="G164" s="2"/>
      <c r="H164" s="2"/>
    </row>
    <row r="165" spans="1:8" x14ac:dyDescent="0.25">
      <c r="A165" s="8">
        <v>164</v>
      </c>
      <c r="B165" s="2" t="s">
        <v>276</v>
      </c>
      <c r="C165" s="2" t="s">
        <v>561</v>
      </c>
      <c r="D165" s="2" t="s">
        <v>404</v>
      </c>
      <c r="E165" s="2" t="s">
        <v>460</v>
      </c>
      <c r="F165" s="2"/>
      <c r="G165" s="2"/>
      <c r="H165" s="2"/>
    </row>
    <row r="166" spans="1:8" x14ac:dyDescent="0.25">
      <c r="A166" s="8">
        <v>165</v>
      </c>
      <c r="B166" s="2" t="s">
        <v>276</v>
      </c>
      <c r="C166" s="2" t="s">
        <v>561</v>
      </c>
      <c r="D166" s="2" t="s">
        <v>404</v>
      </c>
      <c r="E166" s="2" t="s">
        <v>461</v>
      </c>
      <c r="F166" s="2"/>
      <c r="G166" s="2"/>
      <c r="H166" s="2"/>
    </row>
    <row r="167" spans="1:8" x14ac:dyDescent="0.25">
      <c r="A167" s="8">
        <v>166</v>
      </c>
      <c r="B167" s="2" t="s">
        <v>276</v>
      </c>
      <c r="C167" s="2" t="s">
        <v>561</v>
      </c>
      <c r="D167" s="2" t="s">
        <v>404</v>
      </c>
      <c r="E167" s="2" t="s">
        <v>462</v>
      </c>
      <c r="F167" s="2"/>
      <c r="G167" s="2"/>
      <c r="H167" s="2"/>
    </row>
    <row r="168" spans="1:8" x14ac:dyDescent="0.25">
      <c r="A168" s="8">
        <v>167</v>
      </c>
      <c r="B168" s="2" t="s">
        <v>140</v>
      </c>
      <c r="C168" s="2" t="s">
        <v>562</v>
      </c>
      <c r="D168" s="2" t="s">
        <v>313</v>
      </c>
      <c r="E168" s="2" t="s">
        <v>317</v>
      </c>
      <c r="F168" s="2"/>
      <c r="G168" s="2"/>
      <c r="H168" s="2"/>
    </row>
    <row r="169" spans="1:8" x14ac:dyDescent="0.25">
      <c r="A169" s="8">
        <v>168</v>
      </c>
      <c r="B169" s="2" t="s">
        <v>140</v>
      </c>
      <c r="C169" s="2" t="s">
        <v>562</v>
      </c>
      <c r="D169" s="2" t="s">
        <v>307</v>
      </c>
      <c r="E169" s="2" t="s">
        <v>463</v>
      </c>
      <c r="F169" s="2"/>
      <c r="G169" s="2"/>
      <c r="H169" s="2"/>
    </row>
    <row r="170" spans="1:8" x14ac:dyDescent="0.25">
      <c r="A170" s="8">
        <v>169</v>
      </c>
      <c r="B170" s="2" t="s">
        <v>140</v>
      </c>
      <c r="C170" s="2" t="s">
        <v>562</v>
      </c>
      <c r="D170" s="2" t="s">
        <v>288</v>
      </c>
      <c r="E170" s="2" t="s">
        <v>318</v>
      </c>
      <c r="F170" s="2"/>
      <c r="G170" s="2"/>
      <c r="H170" s="2"/>
    </row>
    <row r="171" spans="1:8" x14ac:dyDescent="0.25">
      <c r="A171" s="8">
        <v>170</v>
      </c>
      <c r="B171" s="2" t="s">
        <v>140</v>
      </c>
      <c r="C171" s="2" t="s">
        <v>562</v>
      </c>
      <c r="D171" s="2" t="s">
        <v>288</v>
      </c>
      <c r="E171" s="2" t="s">
        <v>319</v>
      </c>
      <c r="F171" s="2"/>
      <c r="G171" s="2"/>
      <c r="H171" s="2"/>
    </row>
    <row r="172" spans="1:8" x14ac:dyDescent="0.25">
      <c r="A172" s="8">
        <v>171</v>
      </c>
      <c r="B172" s="2" t="s">
        <v>140</v>
      </c>
      <c r="C172" s="2" t="s">
        <v>562</v>
      </c>
      <c r="D172" s="2" t="s">
        <v>313</v>
      </c>
      <c r="E172" s="2" t="s">
        <v>320</v>
      </c>
      <c r="F172" s="2"/>
      <c r="G172" s="2"/>
      <c r="H172" s="2"/>
    </row>
    <row r="173" spans="1:8" x14ac:dyDescent="0.25">
      <c r="A173" s="8">
        <v>172</v>
      </c>
      <c r="B173" s="2" t="s">
        <v>140</v>
      </c>
      <c r="C173" s="2" t="s">
        <v>562</v>
      </c>
      <c r="D173" s="2" t="s">
        <v>290</v>
      </c>
      <c r="E173" s="2" t="s">
        <v>464</v>
      </c>
      <c r="F173" s="2"/>
      <c r="G173" s="2"/>
      <c r="H173" s="2"/>
    </row>
    <row r="174" spans="1:8" x14ac:dyDescent="0.25">
      <c r="A174" s="8">
        <v>173</v>
      </c>
      <c r="B174" s="2" t="s">
        <v>140</v>
      </c>
      <c r="C174" s="2" t="s">
        <v>562</v>
      </c>
      <c r="D174" s="2" t="s">
        <v>290</v>
      </c>
      <c r="E174" s="2" t="s">
        <v>465</v>
      </c>
      <c r="F174" s="2"/>
      <c r="G174" s="2"/>
      <c r="H174" s="2"/>
    </row>
    <row r="175" spans="1:8" x14ac:dyDescent="0.25">
      <c r="A175" s="8">
        <v>174</v>
      </c>
      <c r="B175" s="2" t="s">
        <v>140</v>
      </c>
      <c r="C175" s="2" t="s">
        <v>562</v>
      </c>
      <c r="D175" s="2" t="s">
        <v>290</v>
      </c>
      <c r="E175" s="2" t="s">
        <v>466</v>
      </c>
      <c r="F175" s="2"/>
      <c r="G175" s="2"/>
      <c r="H175" s="2"/>
    </row>
    <row r="176" spans="1:8" x14ac:dyDescent="0.25">
      <c r="A176" s="8">
        <v>175</v>
      </c>
      <c r="B176" s="2" t="s">
        <v>140</v>
      </c>
      <c r="C176" s="2" t="s">
        <v>562</v>
      </c>
      <c r="D176" s="2" t="s">
        <v>315</v>
      </c>
      <c r="E176" s="2" t="s">
        <v>467</v>
      </c>
      <c r="F176" s="2"/>
      <c r="G176" s="2"/>
      <c r="H176" s="2"/>
    </row>
    <row r="177" spans="1:8" x14ac:dyDescent="0.25">
      <c r="A177" s="8">
        <v>176</v>
      </c>
      <c r="B177" s="2" t="s">
        <v>140</v>
      </c>
      <c r="C177" s="2" t="s">
        <v>562</v>
      </c>
      <c r="D177" s="2" t="s">
        <v>468</v>
      </c>
      <c r="E177" s="2" t="s">
        <v>469</v>
      </c>
      <c r="F177" s="2"/>
      <c r="G177" s="2"/>
      <c r="H177" s="2"/>
    </row>
    <row r="178" spans="1:8" x14ac:dyDescent="0.25">
      <c r="A178" s="8">
        <v>177</v>
      </c>
      <c r="B178" s="2" t="s">
        <v>281</v>
      </c>
      <c r="C178" s="2" t="s">
        <v>569</v>
      </c>
      <c r="D178" s="2" t="s">
        <v>385</v>
      </c>
      <c r="E178" s="2" t="s">
        <v>450</v>
      </c>
      <c r="F178" s="2"/>
      <c r="G178" s="2"/>
      <c r="H178" s="2"/>
    </row>
    <row r="179" spans="1:8" x14ac:dyDescent="0.25">
      <c r="A179" s="8">
        <v>178</v>
      </c>
      <c r="B179" s="2" t="s">
        <v>281</v>
      </c>
      <c r="C179" s="2" t="s">
        <v>569</v>
      </c>
      <c r="D179" s="2" t="s">
        <v>410</v>
      </c>
      <c r="E179" s="2" t="s">
        <v>451</v>
      </c>
      <c r="F179" s="2"/>
      <c r="G179" s="2"/>
      <c r="H179" s="2"/>
    </row>
    <row r="180" spans="1:8" x14ac:dyDescent="0.25">
      <c r="A180" s="8">
        <v>179</v>
      </c>
      <c r="B180" s="2" t="s">
        <v>281</v>
      </c>
      <c r="C180" s="2" t="s">
        <v>569</v>
      </c>
      <c r="D180" s="2" t="s">
        <v>490</v>
      </c>
      <c r="E180" s="2" t="s">
        <v>491</v>
      </c>
      <c r="F180" s="2"/>
      <c r="G180" s="2"/>
      <c r="H180" s="2"/>
    </row>
    <row r="181" spans="1:8" x14ac:dyDescent="0.25">
      <c r="A181" s="8">
        <v>180</v>
      </c>
      <c r="B181" s="2" t="s">
        <v>270</v>
      </c>
      <c r="C181" s="2" t="s">
        <v>570</v>
      </c>
      <c r="D181" s="2" t="s">
        <v>286</v>
      </c>
      <c r="E181" s="2" t="s">
        <v>509</v>
      </c>
      <c r="F181" s="2"/>
      <c r="G181" s="2"/>
      <c r="H181" s="2"/>
    </row>
    <row r="182" spans="1:8" x14ac:dyDescent="0.25">
      <c r="A182" s="8">
        <v>181</v>
      </c>
      <c r="B182" s="2" t="s">
        <v>142</v>
      </c>
      <c r="C182" s="2" t="s">
        <v>571</v>
      </c>
      <c r="D182" s="2" t="s">
        <v>286</v>
      </c>
      <c r="E182" s="2" t="s">
        <v>492</v>
      </c>
      <c r="F182" s="2"/>
      <c r="G182" s="2"/>
      <c r="H182" s="2"/>
    </row>
    <row r="183" spans="1:8" x14ac:dyDescent="0.25">
      <c r="A183" s="8">
        <v>182</v>
      </c>
      <c r="B183" s="2" t="s">
        <v>142</v>
      </c>
      <c r="C183" s="2" t="s">
        <v>571</v>
      </c>
      <c r="D183" s="2" t="s">
        <v>292</v>
      </c>
      <c r="E183" s="2" t="s">
        <v>493</v>
      </c>
      <c r="F183" s="2"/>
      <c r="G183" s="2"/>
      <c r="H183" s="2"/>
    </row>
    <row r="184" spans="1:8" x14ac:dyDescent="0.25">
      <c r="A184" s="8">
        <v>183</v>
      </c>
      <c r="B184" s="2" t="s">
        <v>142</v>
      </c>
      <c r="C184" s="2" t="s">
        <v>571</v>
      </c>
      <c r="D184" s="2" t="s">
        <v>292</v>
      </c>
      <c r="E184" s="2" t="s">
        <v>494</v>
      </c>
      <c r="F184" s="2"/>
      <c r="G184" s="2"/>
      <c r="H184" s="2"/>
    </row>
    <row r="185" spans="1:8" x14ac:dyDescent="0.25">
      <c r="A185" s="8">
        <v>184</v>
      </c>
      <c r="B185" s="2" t="s">
        <v>144</v>
      </c>
      <c r="C185" s="2" t="s">
        <v>572</v>
      </c>
      <c r="D185" s="2" t="s">
        <v>286</v>
      </c>
      <c r="E185" s="2" t="s">
        <v>495</v>
      </c>
      <c r="F185" s="2"/>
      <c r="G185" s="2"/>
      <c r="H185" s="2"/>
    </row>
    <row r="186" spans="1:8" x14ac:dyDescent="0.25">
      <c r="A186" s="8">
        <v>185</v>
      </c>
      <c r="B186" s="2" t="s">
        <v>144</v>
      </c>
      <c r="C186" s="2" t="s">
        <v>572</v>
      </c>
      <c r="D186" s="2" t="s">
        <v>292</v>
      </c>
      <c r="E186" s="2" t="s">
        <v>496</v>
      </c>
      <c r="F186" s="2"/>
      <c r="G186" s="2"/>
      <c r="H186" s="2"/>
    </row>
    <row r="187" spans="1:8" x14ac:dyDescent="0.25">
      <c r="A187" s="8">
        <v>186</v>
      </c>
      <c r="B187" s="2" t="s">
        <v>144</v>
      </c>
      <c r="C187" s="2" t="s">
        <v>572</v>
      </c>
      <c r="D187" s="2" t="s">
        <v>292</v>
      </c>
      <c r="E187" s="2" t="s">
        <v>497</v>
      </c>
      <c r="F187" s="2"/>
      <c r="G187" s="2"/>
      <c r="H187" s="2"/>
    </row>
    <row r="188" spans="1:8" x14ac:dyDescent="0.25">
      <c r="A188" s="8">
        <v>187</v>
      </c>
      <c r="B188" s="2" t="s">
        <v>146</v>
      </c>
      <c r="C188" s="2" t="s">
        <v>573</v>
      </c>
      <c r="D188" s="2" t="s">
        <v>286</v>
      </c>
      <c r="E188" s="2" t="s">
        <v>498</v>
      </c>
      <c r="F188" s="2"/>
      <c r="G188" s="2"/>
      <c r="H188" s="2"/>
    </row>
    <row r="189" spans="1:8" x14ac:dyDescent="0.25">
      <c r="A189" s="8">
        <v>188</v>
      </c>
      <c r="B189" s="2" t="s">
        <v>146</v>
      </c>
      <c r="C189" s="2" t="s">
        <v>573</v>
      </c>
      <c r="D189" s="2" t="s">
        <v>290</v>
      </c>
      <c r="E189" s="2" t="s">
        <v>499</v>
      </c>
      <c r="F189" s="2"/>
      <c r="G189" s="2"/>
      <c r="H189" s="2"/>
    </row>
    <row r="190" spans="1:8" x14ac:dyDescent="0.25">
      <c r="A190" s="8">
        <v>189</v>
      </c>
      <c r="B190" s="2" t="s">
        <v>148</v>
      </c>
      <c r="C190" s="2" t="s">
        <v>574</v>
      </c>
      <c r="D190" s="2" t="s">
        <v>286</v>
      </c>
      <c r="E190" s="2" t="s">
        <v>500</v>
      </c>
      <c r="F190" s="2"/>
      <c r="G190" s="2"/>
      <c r="H190" s="2"/>
    </row>
    <row r="191" spans="1:8" x14ac:dyDescent="0.25">
      <c r="A191" s="8">
        <v>190</v>
      </c>
      <c r="B191" s="2" t="s">
        <v>148</v>
      </c>
      <c r="C191" s="2" t="s">
        <v>574</v>
      </c>
      <c r="D191" s="2" t="s">
        <v>290</v>
      </c>
      <c r="E191" s="2" t="s">
        <v>501</v>
      </c>
      <c r="F191" s="2"/>
      <c r="G191" s="2"/>
      <c r="H191" s="2"/>
    </row>
    <row r="192" spans="1:8" x14ac:dyDescent="0.25">
      <c r="A192" s="8">
        <v>191</v>
      </c>
      <c r="B192" s="2" t="s">
        <v>150</v>
      </c>
      <c r="C192" s="2" t="s">
        <v>575</v>
      </c>
      <c r="D192" s="2" t="s">
        <v>286</v>
      </c>
      <c r="E192" s="2" t="s">
        <v>502</v>
      </c>
      <c r="F192" s="2"/>
      <c r="G192" s="2"/>
      <c r="H192" s="2"/>
    </row>
    <row r="193" spans="1:8" x14ac:dyDescent="0.25">
      <c r="A193" s="8">
        <v>192</v>
      </c>
      <c r="B193" s="2" t="s">
        <v>150</v>
      </c>
      <c r="C193" s="2" t="s">
        <v>575</v>
      </c>
      <c r="D193" s="2" t="s">
        <v>290</v>
      </c>
      <c r="E193" s="2" t="s">
        <v>503</v>
      </c>
      <c r="F193" s="2"/>
      <c r="G193" s="2"/>
      <c r="H193" s="2"/>
    </row>
    <row r="194" spans="1:8" x14ac:dyDescent="0.25">
      <c r="A194" s="8">
        <v>193</v>
      </c>
      <c r="B194" s="2" t="s">
        <v>152</v>
      </c>
      <c r="C194" s="2" t="s">
        <v>576</v>
      </c>
      <c r="D194" s="2" t="s">
        <v>286</v>
      </c>
      <c r="E194" s="2" t="s">
        <v>504</v>
      </c>
      <c r="F194" s="2"/>
      <c r="G194" s="2"/>
      <c r="H194" s="2"/>
    </row>
    <row r="195" spans="1:8" x14ac:dyDescent="0.25">
      <c r="A195" s="8">
        <v>194</v>
      </c>
      <c r="B195" s="2" t="s">
        <v>152</v>
      </c>
      <c r="C195" s="2" t="s">
        <v>576</v>
      </c>
      <c r="D195" s="2" t="s">
        <v>290</v>
      </c>
      <c r="E195" s="2" t="s">
        <v>505</v>
      </c>
      <c r="F195" s="2"/>
      <c r="G195" s="2"/>
      <c r="H195" s="2"/>
    </row>
    <row r="196" spans="1:8" x14ac:dyDescent="0.25">
      <c r="A196" s="8">
        <v>195</v>
      </c>
      <c r="B196" s="2" t="s">
        <v>46</v>
      </c>
      <c r="C196" s="2" t="s">
        <v>48</v>
      </c>
      <c r="D196" s="2" t="s">
        <v>49</v>
      </c>
      <c r="E196" s="2" t="s">
        <v>50</v>
      </c>
      <c r="F196" s="2"/>
      <c r="G196" s="2"/>
      <c r="H196" s="2"/>
    </row>
    <row r="197" spans="1:8" x14ac:dyDescent="0.25">
      <c r="A197" s="8">
        <v>196</v>
      </c>
      <c r="B197" s="2" t="s">
        <v>46</v>
      </c>
      <c r="C197" s="2" t="s">
        <v>48</v>
      </c>
      <c r="D197" s="2" t="s">
        <v>49</v>
      </c>
      <c r="E197" s="2" t="s">
        <v>52</v>
      </c>
      <c r="F197" s="2"/>
      <c r="G197" s="2"/>
      <c r="H197" s="2"/>
    </row>
    <row r="198" spans="1:8" x14ac:dyDescent="0.25">
      <c r="A198" s="8">
        <v>197</v>
      </c>
      <c r="B198" s="2" t="s">
        <v>45</v>
      </c>
      <c r="C198" s="2" t="s">
        <v>47</v>
      </c>
      <c r="D198" s="2" t="s">
        <v>49</v>
      </c>
      <c r="E198" s="2" t="s">
        <v>50</v>
      </c>
      <c r="F198" s="2"/>
      <c r="G198" s="2"/>
      <c r="H198" s="2"/>
    </row>
    <row r="199" spans="1:8" x14ac:dyDescent="0.25">
      <c r="A199" s="8">
        <v>198</v>
      </c>
      <c r="B199" s="2" t="s">
        <v>45</v>
      </c>
      <c r="C199" s="2" t="s">
        <v>47</v>
      </c>
      <c r="D199" s="2" t="s">
        <v>49</v>
      </c>
      <c r="E199" s="2" t="s">
        <v>51</v>
      </c>
      <c r="F199" s="2"/>
      <c r="G199" s="2"/>
      <c r="H199" s="2"/>
    </row>
    <row r="200" spans="1:8" x14ac:dyDescent="0.25">
      <c r="A200" s="8">
        <v>199</v>
      </c>
      <c r="B200" s="2" t="s">
        <v>506</v>
      </c>
      <c r="C200" s="2" t="s">
        <v>523</v>
      </c>
      <c r="D200" s="2" t="s">
        <v>507</v>
      </c>
      <c r="E200" s="2" t="s">
        <v>508</v>
      </c>
      <c r="F200" s="2"/>
      <c r="G200" s="2"/>
      <c r="H200" s="2"/>
    </row>
  </sheetData>
  <autoFilter ref="A1:H130" xr:uid="{033F299A-72E5-4CEF-B229-97D7A1DDD8D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768-A3A0-4934-88F4-B3062C6A8A00}">
  <dimension ref="A1:H7"/>
  <sheetViews>
    <sheetView workbookViewId="0">
      <selection activeCell="C21" sqref="C21"/>
    </sheetView>
  </sheetViews>
  <sheetFormatPr defaultRowHeight="15" x14ac:dyDescent="0.25"/>
  <cols>
    <col min="1" max="1" width="3.5703125" bestFit="1" customWidth="1"/>
    <col min="2" max="2" width="10.42578125" bestFit="1" customWidth="1"/>
    <col min="3" max="3" width="22.28515625" bestFit="1" customWidth="1"/>
    <col min="4" max="5" width="10.28515625" bestFit="1" customWidth="1"/>
    <col min="6" max="6" width="15.28515625" bestFit="1" customWidth="1"/>
    <col min="7" max="7" width="9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38</v>
      </c>
      <c r="C1" s="1" t="s">
        <v>39</v>
      </c>
      <c r="D1" s="4" t="s">
        <v>40</v>
      </c>
      <c r="E1" s="4" t="s">
        <v>41</v>
      </c>
      <c r="F1" s="4" t="s">
        <v>629</v>
      </c>
      <c r="G1" s="4" t="s">
        <v>43</v>
      </c>
      <c r="H1" s="4" t="s">
        <v>42</v>
      </c>
    </row>
    <row r="2" spans="1:8" x14ac:dyDescent="0.25">
      <c r="A2" s="8">
        <v>1</v>
      </c>
      <c r="B2" s="8" t="s">
        <v>165</v>
      </c>
      <c r="C2" s="8" t="s">
        <v>515</v>
      </c>
      <c r="D2" s="8" t="s">
        <v>383</v>
      </c>
      <c r="E2" s="8" t="s">
        <v>384</v>
      </c>
      <c r="F2" s="8"/>
      <c r="G2" s="8"/>
      <c r="H2" s="8"/>
    </row>
    <row r="3" spans="1:8" x14ac:dyDescent="0.25">
      <c r="A3" s="8">
        <v>2</v>
      </c>
      <c r="B3" s="8" t="s">
        <v>166</v>
      </c>
      <c r="C3" s="8" t="s">
        <v>517</v>
      </c>
      <c r="D3" s="8" t="s">
        <v>444</v>
      </c>
      <c r="E3" s="8" t="s">
        <v>485</v>
      </c>
      <c r="F3" s="8"/>
      <c r="G3" s="8"/>
      <c r="H3" s="8"/>
    </row>
    <row r="4" spans="1:8" x14ac:dyDescent="0.25">
      <c r="A4" s="8">
        <v>3</v>
      </c>
      <c r="B4" s="8" t="s">
        <v>166</v>
      </c>
      <c r="C4" s="8" t="s">
        <v>517</v>
      </c>
      <c r="D4" s="8" t="s">
        <v>444</v>
      </c>
      <c r="E4" s="8" t="s">
        <v>486</v>
      </c>
      <c r="F4" s="8"/>
      <c r="G4" s="8"/>
      <c r="H4" s="8"/>
    </row>
    <row r="5" spans="1:8" x14ac:dyDescent="0.25">
      <c r="A5" s="8">
        <v>4</v>
      </c>
      <c r="B5" s="8" t="s">
        <v>166</v>
      </c>
      <c r="C5" s="8" t="s">
        <v>517</v>
      </c>
      <c r="D5" s="8" t="s">
        <v>444</v>
      </c>
      <c r="E5" s="8" t="s">
        <v>487</v>
      </c>
      <c r="F5" s="8"/>
      <c r="G5" s="8"/>
      <c r="H5" s="8"/>
    </row>
    <row r="6" spans="1:8" x14ac:dyDescent="0.25">
      <c r="A6" s="8">
        <v>5</v>
      </c>
      <c r="B6" s="8" t="s">
        <v>167</v>
      </c>
      <c r="C6" s="8" t="s">
        <v>516</v>
      </c>
      <c r="D6" s="8" t="s">
        <v>383</v>
      </c>
      <c r="E6" s="8" t="s">
        <v>384</v>
      </c>
      <c r="F6" s="8"/>
      <c r="G6" s="8"/>
      <c r="H6" s="8"/>
    </row>
    <row r="7" spans="1:8" x14ac:dyDescent="0.25">
      <c r="A7" s="8">
        <v>6</v>
      </c>
      <c r="B7" s="8" t="s">
        <v>59</v>
      </c>
      <c r="C7" s="8" t="s">
        <v>568</v>
      </c>
      <c r="D7" s="8" t="s">
        <v>488</v>
      </c>
      <c r="E7" s="8" t="s">
        <v>489</v>
      </c>
      <c r="F7" s="8"/>
      <c r="G7" s="8"/>
      <c r="H7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BD24-3282-44B4-B6D3-7AA6AF4B1795}">
  <dimension ref="C1:G35"/>
  <sheetViews>
    <sheetView workbookViewId="0">
      <selection activeCell="I17" sqref="I17"/>
    </sheetView>
  </sheetViews>
  <sheetFormatPr defaultRowHeight="15" x14ac:dyDescent="0.25"/>
  <cols>
    <col min="3" max="3" width="32.7109375" bestFit="1" customWidth="1"/>
    <col min="4" max="4" width="38.28515625" bestFit="1" customWidth="1"/>
  </cols>
  <sheetData>
    <row r="1" spans="3:7" x14ac:dyDescent="0.25">
      <c r="C1" t="s">
        <v>630</v>
      </c>
      <c r="D1" t="s">
        <v>631</v>
      </c>
      <c r="E1" t="s">
        <v>632</v>
      </c>
    </row>
    <row r="2" spans="3:7" x14ac:dyDescent="0.25">
      <c r="C2" t="s">
        <v>633</v>
      </c>
      <c r="D2" t="s">
        <v>634</v>
      </c>
      <c r="E2" t="s">
        <v>635</v>
      </c>
    </row>
    <row r="3" spans="3:7" x14ac:dyDescent="0.25">
      <c r="C3" t="s">
        <v>636</v>
      </c>
      <c r="D3" t="s">
        <v>634</v>
      </c>
      <c r="E3" t="s">
        <v>0</v>
      </c>
      <c r="G3" s="10"/>
    </row>
    <row r="4" spans="3:7" x14ac:dyDescent="0.25">
      <c r="C4" t="s">
        <v>637</v>
      </c>
      <c r="D4" t="s">
        <v>634</v>
      </c>
      <c r="E4" t="s">
        <v>635</v>
      </c>
      <c r="G4" s="10"/>
    </row>
    <row r="5" spans="3:7" x14ac:dyDescent="0.25">
      <c r="C5" t="s">
        <v>638</v>
      </c>
      <c r="D5" t="s">
        <v>634</v>
      </c>
      <c r="E5" t="s">
        <v>0</v>
      </c>
      <c r="G5" s="10"/>
    </row>
    <row r="6" spans="3:7" x14ac:dyDescent="0.25">
      <c r="C6" t="s">
        <v>639</v>
      </c>
      <c r="D6" t="s">
        <v>640</v>
      </c>
      <c r="E6" t="s">
        <v>635</v>
      </c>
    </row>
    <row r="7" spans="3:7" x14ac:dyDescent="0.25">
      <c r="C7" t="s">
        <v>641</v>
      </c>
      <c r="D7" t="s">
        <v>634</v>
      </c>
      <c r="E7" t="s">
        <v>0</v>
      </c>
    </row>
    <row r="8" spans="3:7" x14ac:dyDescent="0.25">
      <c r="C8" t="s">
        <v>642</v>
      </c>
      <c r="D8" t="s">
        <v>643</v>
      </c>
      <c r="E8" t="s">
        <v>0</v>
      </c>
    </row>
    <row r="9" spans="3:7" x14ac:dyDescent="0.25">
      <c r="C9" t="s">
        <v>644</v>
      </c>
      <c r="D9" t="s">
        <v>634</v>
      </c>
      <c r="E9" t="s">
        <v>0</v>
      </c>
    </row>
    <row r="10" spans="3:7" x14ac:dyDescent="0.25">
      <c r="C10" t="s">
        <v>645</v>
      </c>
      <c r="D10" t="s">
        <v>634</v>
      </c>
      <c r="E10" t="s">
        <v>0</v>
      </c>
    </row>
    <row r="11" spans="3:7" x14ac:dyDescent="0.25">
      <c r="C11" t="s">
        <v>646</v>
      </c>
      <c r="D11" t="s">
        <v>634</v>
      </c>
      <c r="E11" t="s">
        <v>0</v>
      </c>
    </row>
    <row r="12" spans="3:7" x14ac:dyDescent="0.25">
      <c r="C12" t="s">
        <v>647</v>
      </c>
      <c r="D12" t="s">
        <v>648</v>
      </c>
      <c r="E12" t="s">
        <v>635</v>
      </c>
    </row>
    <row r="13" spans="3:7" x14ac:dyDescent="0.25">
      <c r="C13" t="s">
        <v>649</v>
      </c>
      <c r="D13" t="s">
        <v>648</v>
      </c>
      <c r="E13" t="s">
        <v>635</v>
      </c>
    </row>
    <row r="14" spans="3:7" x14ac:dyDescent="0.25">
      <c r="C14" t="s">
        <v>650</v>
      </c>
      <c r="D14" t="s">
        <v>651</v>
      </c>
      <c r="E14" t="s">
        <v>635</v>
      </c>
    </row>
    <row r="15" spans="3:7" x14ac:dyDescent="0.25">
      <c r="C15" t="s">
        <v>652</v>
      </c>
      <c r="D15" t="s">
        <v>643</v>
      </c>
      <c r="E15" t="s">
        <v>0</v>
      </c>
    </row>
    <row r="16" spans="3:7" x14ac:dyDescent="0.25">
      <c r="C16" t="s">
        <v>653</v>
      </c>
      <c r="D16" t="s">
        <v>634</v>
      </c>
      <c r="E16" t="s">
        <v>0</v>
      </c>
    </row>
    <row r="17" spans="3:5" x14ac:dyDescent="0.25">
      <c r="C17" t="s">
        <v>654</v>
      </c>
      <c r="D17" t="s">
        <v>655</v>
      </c>
      <c r="E17" t="s">
        <v>635</v>
      </c>
    </row>
    <row r="18" spans="3:5" x14ac:dyDescent="0.25">
      <c r="C18" t="s">
        <v>656</v>
      </c>
      <c r="D18" t="s">
        <v>657</v>
      </c>
      <c r="E18" t="s">
        <v>635</v>
      </c>
    </row>
    <row r="19" spans="3:5" x14ac:dyDescent="0.25">
      <c r="C19" t="s">
        <v>658</v>
      </c>
      <c r="D19" t="s">
        <v>659</v>
      </c>
      <c r="E19" t="s">
        <v>635</v>
      </c>
    </row>
    <row r="20" spans="3:5" x14ac:dyDescent="0.25">
      <c r="C20" t="s">
        <v>660</v>
      </c>
      <c r="D20" t="s">
        <v>661</v>
      </c>
      <c r="E20" t="s">
        <v>635</v>
      </c>
    </row>
    <row r="21" spans="3:5" x14ac:dyDescent="0.25">
      <c r="C21" t="s">
        <v>662</v>
      </c>
      <c r="D21" t="s">
        <v>661</v>
      </c>
      <c r="E21" t="s">
        <v>635</v>
      </c>
    </row>
    <row r="22" spans="3:5" x14ac:dyDescent="0.25">
      <c r="C22" t="s">
        <v>663</v>
      </c>
      <c r="D22" t="s">
        <v>664</v>
      </c>
      <c r="E22" t="s">
        <v>635</v>
      </c>
    </row>
    <row r="23" spans="3:5" x14ac:dyDescent="0.25">
      <c r="C23" t="s">
        <v>665</v>
      </c>
      <c r="D23" t="s">
        <v>655</v>
      </c>
      <c r="E23" t="s">
        <v>635</v>
      </c>
    </row>
    <row r="24" spans="3:5" x14ac:dyDescent="0.25">
      <c r="C24" t="s">
        <v>666</v>
      </c>
      <c r="D24" t="s">
        <v>667</v>
      </c>
      <c r="E24" t="s">
        <v>635</v>
      </c>
    </row>
    <row r="25" spans="3:5" x14ac:dyDescent="0.25">
      <c r="C25" t="s">
        <v>668</v>
      </c>
      <c r="D25" t="s">
        <v>669</v>
      </c>
      <c r="E25" t="s">
        <v>635</v>
      </c>
    </row>
    <row r="35" spans="4:4" x14ac:dyDescent="0.25">
      <c r="D35">
        <f>28+7</f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5A569-F3A2-4BF5-88BD-CFD58440DFAD}">
  <dimension ref="A1:H191"/>
  <sheetViews>
    <sheetView topLeftCell="A58" workbookViewId="0">
      <selection activeCell="F5" sqref="F5"/>
    </sheetView>
  </sheetViews>
  <sheetFormatPr defaultRowHeight="15" x14ac:dyDescent="0.25"/>
  <cols>
    <col min="1" max="1" width="4" bestFit="1" customWidth="1"/>
    <col min="2" max="2" width="41.5703125" bestFit="1" customWidth="1"/>
    <col min="3" max="3" width="54.5703125" bestFit="1" customWidth="1"/>
    <col min="4" max="4" width="32" bestFit="1" customWidth="1"/>
    <col min="5" max="5" width="10.28515625" bestFit="1" customWidth="1"/>
    <col min="6" max="6" width="15.28515625" bestFit="1" customWidth="1"/>
    <col min="7" max="7" width="9.140625" bestFit="1" customWidth="1"/>
    <col min="8" max="8" width="5.42578125" bestFit="1" customWidth="1"/>
  </cols>
  <sheetData>
    <row r="1" spans="1:8" x14ac:dyDescent="0.25">
      <c r="A1" s="1" t="s">
        <v>0</v>
      </c>
      <c r="B1" s="1" t="s">
        <v>38</v>
      </c>
      <c r="C1" s="1" t="s">
        <v>39</v>
      </c>
      <c r="D1" s="4" t="s">
        <v>40</v>
      </c>
      <c r="E1" s="4" t="s">
        <v>41</v>
      </c>
      <c r="F1" s="4" t="s">
        <v>629</v>
      </c>
      <c r="G1" s="4" t="s">
        <v>43</v>
      </c>
      <c r="H1" s="4" t="s">
        <v>42</v>
      </c>
    </row>
    <row r="2" spans="1:8" x14ac:dyDescent="0.25">
      <c r="A2" s="8">
        <v>1</v>
      </c>
      <c r="B2" s="8" t="s">
        <v>266</v>
      </c>
      <c r="C2" s="8" t="s">
        <v>614</v>
      </c>
      <c r="D2" s="8" t="s">
        <v>297</v>
      </c>
      <c r="E2" s="8" t="s">
        <v>298</v>
      </c>
      <c r="F2" s="8"/>
      <c r="G2" s="8"/>
      <c r="H2" s="8"/>
    </row>
    <row r="3" spans="1:8" x14ac:dyDescent="0.25">
      <c r="A3" s="8">
        <v>2</v>
      </c>
      <c r="B3" s="8" t="s">
        <v>264</v>
      </c>
      <c r="C3" s="8" t="s">
        <v>615</v>
      </c>
      <c r="D3" s="8" t="s">
        <v>297</v>
      </c>
      <c r="E3" s="8" t="s">
        <v>298</v>
      </c>
      <c r="F3" s="8"/>
      <c r="G3" s="8"/>
      <c r="H3" s="8"/>
    </row>
    <row r="4" spans="1:8" x14ac:dyDescent="0.25">
      <c r="A4" s="8">
        <v>3</v>
      </c>
      <c r="B4" s="8" t="s">
        <v>185</v>
      </c>
      <c r="C4" s="8" t="s">
        <v>616</v>
      </c>
      <c r="D4" s="8" t="s">
        <v>302</v>
      </c>
      <c r="E4" s="8" t="s">
        <v>303</v>
      </c>
      <c r="F4" s="8"/>
      <c r="G4" s="8"/>
      <c r="H4" s="8"/>
    </row>
    <row r="5" spans="1:8" x14ac:dyDescent="0.25">
      <c r="A5" s="8">
        <v>4</v>
      </c>
      <c r="B5" s="8" t="s">
        <v>185</v>
      </c>
      <c r="C5" s="8" t="s">
        <v>616</v>
      </c>
      <c r="D5" s="8" t="s">
        <v>304</v>
      </c>
      <c r="E5" s="8" t="s">
        <v>305</v>
      </c>
      <c r="F5" s="8"/>
      <c r="G5" s="8"/>
      <c r="H5" s="8"/>
    </row>
    <row r="6" spans="1:8" x14ac:dyDescent="0.25">
      <c r="A6" s="8">
        <v>5</v>
      </c>
      <c r="B6" s="8" t="s">
        <v>268</v>
      </c>
      <c r="C6" s="8" t="s">
        <v>617</v>
      </c>
      <c r="D6" s="8" t="s">
        <v>288</v>
      </c>
      <c r="E6" s="8" t="s">
        <v>362</v>
      </c>
      <c r="F6" s="8"/>
      <c r="G6" s="8"/>
      <c r="H6" s="8"/>
    </row>
    <row r="7" spans="1:8" x14ac:dyDescent="0.25">
      <c r="A7" s="8">
        <v>6</v>
      </c>
      <c r="B7" s="8" t="s">
        <v>268</v>
      </c>
      <c r="C7" s="8" t="s">
        <v>617</v>
      </c>
      <c r="D7" s="8" t="s">
        <v>286</v>
      </c>
      <c r="E7" s="8" t="s">
        <v>363</v>
      </c>
      <c r="F7" s="8"/>
      <c r="G7" s="8"/>
      <c r="H7" s="8"/>
    </row>
    <row r="8" spans="1:8" x14ac:dyDescent="0.25">
      <c r="A8" s="8">
        <v>7</v>
      </c>
      <c r="B8" s="8" t="s">
        <v>268</v>
      </c>
      <c r="C8" s="8" t="s">
        <v>617</v>
      </c>
      <c r="D8" s="8" t="s">
        <v>290</v>
      </c>
      <c r="E8" s="8" t="s">
        <v>364</v>
      </c>
      <c r="F8" s="8"/>
      <c r="G8" s="8"/>
      <c r="H8" s="8"/>
    </row>
    <row r="9" spans="1:8" x14ac:dyDescent="0.25">
      <c r="A9" s="8">
        <v>8</v>
      </c>
      <c r="B9" s="8" t="s">
        <v>268</v>
      </c>
      <c r="C9" s="8" t="s">
        <v>617</v>
      </c>
      <c r="D9" s="8" t="s">
        <v>288</v>
      </c>
      <c r="E9" s="8" t="s">
        <v>365</v>
      </c>
      <c r="F9" s="8"/>
      <c r="G9" s="8"/>
      <c r="H9" s="8"/>
    </row>
    <row r="10" spans="1:8" x14ac:dyDescent="0.25">
      <c r="A10" s="8">
        <v>9</v>
      </c>
      <c r="B10" s="8" t="s">
        <v>268</v>
      </c>
      <c r="C10" s="8" t="s">
        <v>617</v>
      </c>
      <c r="D10" s="8" t="s">
        <v>286</v>
      </c>
      <c r="E10" s="8" t="s">
        <v>366</v>
      </c>
      <c r="F10" s="8"/>
      <c r="G10" s="8"/>
      <c r="H10" s="8"/>
    </row>
    <row r="11" spans="1:8" x14ac:dyDescent="0.25">
      <c r="A11" s="8">
        <v>10</v>
      </c>
      <c r="B11" s="8" t="s">
        <v>268</v>
      </c>
      <c r="C11" s="8" t="s">
        <v>617</v>
      </c>
      <c r="D11" s="8" t="s">
        <v>290</v>
      </c>
      <c r="E11" s="8" t="s">
        <v>367</v>
      </c>
      <c r="F11" s="8"/>
      <c r="G11" s="8"/>
      <c r="H11" s="8"/>
    </row>
    <row r="12" spans="1:8" x14ac:dyDescent="0.25">
      <c r="A12" s="8">
        <v>11</v>
      </c>
      <c r="B12" s="8" t="s">
        <v>183</v>
      </c>
      <c r="C12" s="8" t="s">
        <v>618</v>
      </c>
      <c r="D12" s="8" t="s">
        <v>302</v>
      </c>
      <c r="E12" s="8" t="s">
        <v>303</v>
      </c>
      <c r="F12" s="8"/>
      <c r="G12" s="8"/>
      <c r="H12" s="8"/>
    </row>
    <row r="13" spans="1:8" x14ac:dyDescent="0.25">
      <c r="A13" s="8">
        <v>12</v>
      </c>
      <c r="B13" s="8" t="s">
        <v>183</v>
      </c>
      <c r="C13" s="8" t="s">
        <v>618</v>
      </c>
      <c r="D13" s="8" t="s">
        <v>304</v>
      </c>
      <c r="E13" s="8" t="s">
        <v>305</v>
      </c>
      <c r="F13" s="8"/>
      <c r="G13" s="8"/>
      <c r="H13" s="8"/>
    </row>
    <row r="14" spans="1:8" x14ac:dyDescent="0.25">
      <c r="A14" s="8">
        <v>13</v>
      </c>
      <c r="B14" s="8" t="s">
        <v>183</v>
      </c>
      <c r="C14" s="8" t="s">
        <v>618</v>
      </c>
      <c r="D14" s="8" t="s">
        <v>288</v>
      </c>
      <c r="E14" s="8" t="s">
        <v>371</v>
      </c>
      <c r="F14" s="8"/>
      <c r="G14" s="8"/>
      <c r="H14" s="8"/>
    </row>
    <row r="15" spans="1:8" x14ac:dyDescent="0.25">
      <c r="A15" s="8">
        <v>14</v>
      </c>
      <c r="B15" s="8" t="s">
        <v>183</v>
      </c>
      <c r="C15" s="8" t="s">
        <v>618</v>
      </c>
      <c r="D15" s="8" t="s">
        <v>286</v>
      </c>
      <c r="E15" s="8" t="s">
        <v>287</v>
      </c>
      <c r="F15" s="8"/>
      <c r="G15" s="8"/>
      <c r="H15" s="8"/>
    </row>
    <row r="16" spans="1:8" x14ac:dyDescent="0.25">
      <c r="A16" s="8">
        <v>15</v>
      </c>
      <c r="B16" s="8" t="s">
        <v>183</v>
      </c>
      <c r="C16" s="8" t="s">
        <v>618</v>
      </c>
      <c r="D16" s="8" t="s">
        <v>290</v>
      </c>
      <c r="E16" s="8" t="s">
        <v>291</v>
      </c>
      <c r="F16" s="8"/>
      <c r="G16" s="8"/>
      <c r="H16" s="8"/>
    </row>
    <row r="17" spans="1:8" x14ac:dyDescent="0.25">
      <c r="A17" s="8">
        <v>16</v>
      </c>
      <c r="B17" s="8" t="s">
        <v>278</v>
      </c>
      <c r="C17" s="8" t="s">
        <v>619</v>
      </c>
      <c r="D17" s="8" t="s">
        <v>304</v>
      </c>
      <c r="E17" s="8" t="s">
        <v>372</v>
      </c>
      <c r="F17" s="8"/>
      <c r="G17" s="8"/>
      <c r="H17" s="8"/>
    </row>
    <row r="18" spans="1:8" x14ac:dyDescent="0.25">
      <c r="A18" s="8">
        <v>17</v>
      </c>
      <c r="B18" s="8" t="s">
        <v>187</v>
      </c>
      <c r="C18" s="8" t="s">
        <v>620</v>
      </c>
      <c r="D18" s="8" t="s">
        <v>304</v>
      </c>
      <c r="E18" s="8" t="s">
        <v>305</v>
      </c>
      <c r="F18" s="8"/>
      <c r="G18" s="8"/>
      <c r="H18" s="8"/>
    </row>
    <row r="19" spans="1:8" x14ac:dyDescent="0.25">
      <c r="A19" s="8">
        <v>18</v>
      </c>
      <c r="B19" s="8" t="s">
        <v>187</v>
      </c>
      <c r="C19" s="8" t="s">
        <v>620</v>
      </c>
      <c r="D19" s="8" t="s">
        <v>288</v>
      </c>
      <c r="E19" s="8" t="s">
        <v>371</v>
      </c>
      <c r="F19" s="8"/>
      <c r="G19" s="8"/>
      <c r="H19" s="8"/>
    </row>
    <row r="20" spans="1:8" x14ac:dyDescent="0.25">
      <c r="A20" s="8">
        <v>19</v>
      </c>
      <c r="B20" s="8" t="s">
        <v>187</v>
      </c>
      <c r="C20" s="8" t="s">
        <v>620</v>
      </c>
      <c r="D20" s="8" t="s">
        <v>286</v>
      </c>
      <c r="E20" s="8" t="s">
        <v>287</v>
      </c>
      <c r="F20" s="8"/>
      <c r="G20" s="8"/>
      <c r="H20" s="8"/>
    </row>
    <row r="21" spans="1:8" x14ac:dyDescent="0.25">
      <c r="A21" s="8">
        <v>20</v>
      </c>
      <c r="B21" s="8" t="s">
        <v>187</v>
      </c>
      <c r="C21" s="8" t="s">
        <v>620</v>
      </c>
      <c r="D21" s="8" t="s">
        <v>290</v>
      </c>
      <c r="E21" s="8" t="s">
        <v>291</v>
      </c>
      <c r="F21" s="8"/>
      <c r="G21" s="8"/>
      <c r="H21" s="8"/>
    </row>
    <row r="22" spans="1:8" x14ac:dyDescent="0.25">
      <c r="A22" s="8">
        <v>21</v>
      </c>
      <c r="B22" s="8" t="s">
        <v>164</v>
      </c>
      <c r="C22" s="8" t="s">
        <v>164</v>
      </c>
      <c r="D22" s="8" t="s">
        <v>49</v>
      </c>
      <c r="E22" s="8" t="s">
        <v>373</v>
      </c>
      <c r="F22" s="8"/>
      <c r="G22" s="8"/>
      <c r="H22" s="8"/>
    </row>
    <row r="23" spans="1:8" x14ac:dyDescent="0.25">
      <c r="A23" s="8">
        <v>22</v>
      </c>
      <c r="B23" s="8" t="s">
        <v>179</v>
      </c>
      <c r="C23" s="8" t="s">
        <v>621</v>
      </c>
      <c r="D23" s="8" t="s">
        <v>325</v>
      </c>
      <c r="E23" s="8" t="s">
        <v>374</v>
      </c>
      <c r="F23" s="8"/>
      <c r="G23" s="8"/>
      <c r="H23" s="8"/>
    </row>
    <row r="24" spans="1:8" x14ac:dyDescent="0.25">
      <c r="A24" s="8">
        <v>23</v>
      </c>
      <c r="B24" s="8" t="s">
        <v>251</v>
      </c>
      <c r="C24" s="8" t="s">
        <v>621</v>
      </c>
      <c r="D24" s="8" t="s">
        <v>325</v>
      </c>
      <c r="E24" s="8" t="s">
        <v>374</v>
      </c>
      <c r="F24" s="8"/>
      <c r="G24" s="8"/>
      <c r="H24" s="8"/>
    </row>
    <row r="25" spans="1:8" x14ac:dyDescent="0.25">
      <c r="A25" s="8">
        <v>24</v>
      </c>
      <c r="B25" s="8" t="s">
        <v>251</v>
      </c>
      <c r="C25" s="8" t="s">
        <v>621</v>
      </c>
      <c r="D25" s="8" t="s">
        <v>375</v>
      </c>
      <c r="E25" s="8" t="s">
        <v>376</v>
      </c>
      <c r="F25" s="8"/>
      <c r="G25" s="8"/>
      <c r="H25" s="8"/>
    </row>
    <row r="26" spans="1:8" x14ac:dyDescent="0.25">
      <c r="A26" s="8">
        <v>25</v>
      </c>
      <c r="B26" s="8" t="s">
        <v>177</v>
      </c>
      <c r="C26" s="8" t="s">
        <v>622</v>
      </c>
      <c r="D26" s="8" t="s">
        <v>325</v>
      </c>
      <c r="E26" s="8" t="s">
        <v>374</v>
      </c>
      <c r="F26" s="8"/>
      <c r="G26" s="8"/>
      <c r="H26" s="8"/>
    </row>
    <row r="27" spans="1:8" x14ac:dyDescent="0.25">
      <c r="A27" s="8">
        <v>26</v>
      </c>
      <c r="B27" s="8" t="s">
        <v>250</v>
      </c>
      <c r="C27" s="8" t="s">
        <v>622</v>
      </c>
      <c r="D27" s="8" t="s">
        <v>325</v>
      </c>
      <c r="E27" s="8" t="s">
        <v>374</v>
      </c>
      <c r="F27" s="8"/>
      <c r="G27" s="8"/>
      <c r="H27" s="8"/>
    </row>
    <row r="28" spans="1:8" x14ac:dyDescent="0.25">
      <c r="A28" s="8">
        <v>27</v>
      </c>
      <c r="B28" s="8" t="s">
        <v>226</v>
      </c>
      <c r="C28" s="8" t="s">
        <v>623</v>
      </c>
      <c r="D28" s="8" t="s">
        <v>399</v>
      </c>
      <c r="E28" s="8" t="s">
        <v>400</v>
      </c>
      <c r="F28" s="8"/>
      <c r="G28" s="8"/>
      <c r="H28" s="8"/>
    </row>
    <row r="29" spans="1:8" x14ac:dyDescent="0.25">
      <c r="A29" s="8">
        <v>28</v>
      </c>
      <c r="B29" s="8" t="s">
        <v>226</v>
      </c>
      <c r="C29" s="8" t="s">
        <v>623</v>
      </c>
      <c r="D29" s="8" t="s">
        <v>290</v>
      </c>
      <c r="E29" s="8" t="s">
        <v>401</v>
      </c>
      <c r="F29" s="8"/>
      <c r="G29" s="8"/>
      <c r="H29" s="8"/>
    </row>
    <row r="30" spans="1:8" x14ac:dyDescent="0.25">
      <c r="A30" s="8">
        <v>29</v>
      </c>
      <c r="B30" s="8" t="s">
        <v>253</v>
      </c>
      <c r="C30" s="8" t="s">
        <v>624</v>
      </c>
      <c r="D30" s="8" t="s">
        <v>402</v>
      </c>
      <c r="E30" s="8" t="s">
        <v>403</v>
      </c>
      <c r="F30" s="8"/>
      <c r="G30" s="8"/>
      <c r="H30" s="8"/>
    </row>
    <row r="31" spans="1:8" x14ac:dyDescent="0.25">
      <c r="A31" s="8">
        <v>30</v>
      </c>
      <c r="B31" s="8" t="s">
        <v>253</v>
      </c>
      <c r="C31" s="8" t="s">
        <v>624</v>
      </c>
      <c r="D31" s="8" t="s">
        <v>404</v>
      </c>
      <c r="E31" s="8" t="s">
        <v>405</v>
      </c>
      <c r="F31" s="8"/>
      <c r="G31" s="8"/>
      <c r="H31" s="8"/>
    </row>
    <row r="32" spans="1:8" x14ac:dyDescent="0.25">
      <c r="A32" s="8">
        <v>31</v>
      </c>
      <c r="B32" s="8" t="s">
        <v>242</v>
      </c>
      <c r="C32" s="8" t="s">
        <v>625</v>
      </c>
      <c r="D32" s="8" t="s">
        <v>404</v>
      </c>
      <c r="E32" s="8" t="s">
        <v>405</v>
      </c>
      <c r="F32" s="8"/>
      <c r="G32" s="8"/>
      <c r="H32" s="8"/>
    </row>
    <row r="33" spans="1:8" x14ac:dyDescent="0.25">
      <c r="A33" s="8">
        <v>32</v>
      </c>
      <c r="B33" s="8" t="s">
        <v>242</v>
      </c>
      <c r="C33" s="8" t="s">
        <v>625</v>
      </c>
      <c r="D33" s="8" t="s">
        <v>402</v>
      </c>
      <c r="E33" s="8" t="s">
        <v>406</v>
      </c>
      <c r="F33" s="8"/>
      <c r="G33" s="8"/>
      <c r="H33" s="8"/>
    </row>
    <row r="34" spans="1:8" x14ac:dyDescent="0.25">
      <c r="A34" s="8">
        <v>33</v>
      </c>
      <c r="B34" s="8" t="s">
        <v>242</v>
      </c>
      <c r="C34" s="8" t="s">
        <v>625</v>
      </c>
      <c r="D34" s="8" t="s">
        <v>399</v>
      </c>
      <c r="E34" s="8" t="s">
        <v>407</v>
      </c>
      <c r="F34" s="8"/>
      <c r="G34" s="8"/>
      <c r="H34" s="8"/>
    </row>
    <row r="35" spans="1:8" x14ac:dyDescent="0.25">
      <c r="A35" s="8">
        <v>34</v>
      </c>
      <c r="B35" s="8" t="s">
        <v>203</v>
      </c>
      <c r="C35" s="8" t="s">
        <v>624</v>
      </c>
      <c r="D35" s="8" t="s">
        <v>399</v>
      </c>
      <c r="E35" s="8" t="s">
        <v>400</v>
      </c>
      <c r="F35" s="8"/>
      <c r="G35" s="8"/>
      <c r="H35" s="8"/>
    </row>
    <row r="36" spans="1:8" x14ac:dyDescent="0.25">
      <c r="A36" s="8">
        <v>35</v>
      </c>
      <c r="B36" s="8" t="s">
        <v>203</v>
      </c>
      <c r="C36" s="8" t="s">
        <v>624</v>
      </c>
      <c r="D36" s="8" t="s">
        <v>290</v>
      </c>
      <c r="E36" s="8" t="s">
        <v>401</v>
      </c>
      <c r="F36" s="8"/>
      <c r="G36" s="8"/>
      <c r="H36" s="8"/>
    </row>
    <row r="37" spans="1:8" x14ac:dyDescent="0.25">
      <c r="A37" s="8">
        <v>36</v>
      </c>
      <c r="B37" s="8" t="s">
        <v>197</v>
      </c>
      <c r="C37" s="8" t="s">
        <v>625</v>
      </c>
      <c r="D37" s="8" t="s">
        <v>399</v>
      </c>
      <c r="E37" s="8" t="s">
        <v>408</v>
      </c>
      <c r="F37" s="8"/>
      <c r="G37" s="8"/>
      <c r="H37" s="8"/>
    </row>
    <row r="38" spans="1:8" x14ac:dyDescent="0.25">
      <c r="A38" s="8">
        <v>37</v>
      </c>
      <c r="B38" s="8" t="s">
        <v>262</v>
      </c>
      <c r="C38" s="8" t="s">
        <v>626</v>
      </c>
      <c r="D38" s="8" t="s">
        <v>399</v>
      </c>
      <c r="E38" s="8" t="s">
        <v>407</v>
      </c>
      <c r="F38" s="8"/>
      <c r="G38" s="8"/>
      <c r="H38" s="8"/>
    </row>
    <row r="39" spans="1:8" x14ac:dyDescent="0.25">
      <c r="A39" s="8">
        <v>38</v>
      </c>
      <c r="B39" s="8" t="s">
        <v>262</v>
      </c>
      <c r="C39" s="8" t="s">
        <v>626</v>
      </c>
      <c r="D39" s="8" t="s">
        <v>402</v>
      </c>
      <c r="E39" s="8" t="s">
        <v>406</v>
      </c>
      <c r="F39" s="8"/>
      <c r="G39" s="8"/>
      <c r="H39" s="8"/>
    </row>
    <row r="40" spans="1:8" x14ac:dyDescent="0.25">
      <c r="A40" s="8">
        <v>39</v>
      </c>
      <c r="B40" s="8" t="s">
        <v>262</v>
      </c>
      <c r="C40" s="8" t="s">
        <v>626</v>
      </c>
      <c r="D40" s="8" t="s">
        <v>404</v>
      </c>
      <c r="E40" s="8" t="s">
        <v>405</v>
      </c>
      <c r="F40" s="8"/>
      <c r="G40" s="8"/>
      <c r="H40" s="8"/>
    </row>
    <row r="41" spans="1:8" x14ac:dyDescent="0.25">
      <c r="A41" s="8">
        <v>40</v>
      </c>
      <c r="B41" s="8" t="s">
        <v>246</v>
      </c>
      <c r="C41" s="8" t="s">
        <v>627</v>
      </c>
      <c r="D41" s="8" t="s">
        <v>404</v>
      </c>
      <c r="E41" s="8" t="s">
        <v>405</v>
      </c>
      <c r="F41" s="8"/>
      <c r="G41" s="8"/>
      <c r="H41" s="8"/>
    </row>
    <row r="42" spans="1:8" x14ac:dyDescent="0.25">
      <c r="A42" s="8">
        <v>41</v>
      </c>
      <c r="B42" s="8" t="s">
        <v>246</v>
      </c>
      <c r="C42" s="8" t="s">
        <v>627</v>
      </c>
      <c r="D42" s="8" t="s">
        <v>402</v>
      </c>
      <c r="E42" s="8" t="s">
        <v>403</v>
      </c>
      <c r="F42" s="8"/>
      <c r="G42" s="8"/>
      <c r="H42" s="8"/>
    </row>
    <row r="43" spans="1:8" x14ac:dyDescent="0.25">
      <c r="A43" s="8">
        <v>42</v>
      </c>
      <c r="B43" s="8" t="s">
        <v>246</v>
      </c>
      <c r="C43" s="8" t="s">
        <v>627</v>
      </c>
      <c r="D43" s="8" t="s">
        <v>399</v>
      </c>
      <c r="E43" s="8" t="s">
        <v>400</v>
      </c>
      <c r="F43" s="8"/>
      <c r="G43" s="8"/>
      <c r="H43" s="8"/>
    </row>
    <row r="44" spans="1:8" x14ac:dyDescent="0.25">
      <c r="A44" s="8">
        <v>43</v>
      </c>
      <c r="B44" s="8" t="s">
        <v>246</v>
      </c>
      <c r="C44" s="8" t="s">
        <v>627</v>
      </c>
      <c r="D44" s="8" t="s">
        <v>290</v>
      </c>
      <c r="E44" s="8" t="s">
        <v>401</v>
      </c>
      <c r="F44" s="8"/>
      <c r="G44" s="8"/>
      <c r="H44" s="8"/>
    </row>
    <row r="45" spans="1:8" x14ac:dyDescent="0.25">
      <c r="A45" s="8">
        <v>44</v>
      </c>
      <c r="B45" s="8" t="s">
        <v>246</v>
      </c>
      <c r="C45" s="8" t="s">
        <v>627</v>
      </c>
      <c r="D45" s="8" t="s">
        <v>385</v>
      </c>
      <c r="E45" s="8" t="s">
        <v>409</v>
      </c>
      <c r="F45" s="8"/>
      <c r="G45" s="8"/>
      <c r="H45" s="8"/>
    </row>
    <row r="46" spans="1:8" x14ac:dyDescent="0.25">
      <c r="A46" s="8">
        <v>45</v>
      </c>
      <c r="B46" s="2" t="s">
        <v>213</v>
      </c>
      <c r="C46" s="2" t="s">
        <v>628</v>
      </c>
      <c r="D46" s="2" t="s">
        <v>410</v>
      </c>
      <c r="E46" s="2" t="s">
        <v>411</v>
      </c>
      <c r="F46" s="2"/>
      <c r="G46" s="2"/>
      <c r="H46" s="2"/>
    </row>
    <row r="47" spans="1:8" x14ac:dyDescent="0.25">
      <c r="A47" s="8">
        <v>46</v>
      </c>
      <c r="B47" s="2" t="s">
        <v>213</v>
      </c>
      <c r="C47" s="2" t="s">
        <v>628</v>
      </c>
      <c r="D47" s="2" t="s">
        <v>385</v>
      </c>
      <c r="E47" s="2" t="s">
        <v>412</v>
      </c>
      <c r="F47" s="2"/>
      <c r="G47" s="2"/>
      <c r="H47" s="2"/>
    </row>
    <row r="48" spans="1:8" x14ac:dyDescent="0.25">
      <c r="A48" s="8">
        <v>47</v>
      </c>
      <c r="B48" s="2" t="s">
        <v>213</v>
      </c>
      <c r="C48" s="2" t="s">
        <v>628</v>
      </c>
      <c r="D48" s="2" t="s">
        <v>404</v>
      </c>
      <c r="E48" s="2" t="s">
        <v>413</v>
      </c>
      <c r="F48" s="2"/>
      <c r="G48" s="2"/>
      <c r="H48" s="2"/>
    </row>
    <row r="49" spans="1:8" x14ac:dyDescent="0.25">
      <c r="A49" s="8">
        <v>48</v>
      </c>
      <c r="B49" s="2" t="s">
        <v>256</v>
      </c>
      <c r="C49" s="2" t="s">
        <v>538</v>
      </c>
      <c r="D49" s="2" t="s">
        <v>404</v>
      </c>
      <c r="E49" s="2" t="s">
        <v>405</v>
      </c>
      <c r="F49" s="2"/>
      <c r="G49" s="2"/>
      <c r="H49" s="2"/>
    </row>
    <row r="50" spans="1:8" x14ac:dyDescent="0.25">
      <c r="A50" s="8">
        <v>49</v>
      </c>
      <c r="B50" s="2" t="s">
        <v>256</v>
      </c>
      <c r="C50" s="2" t="s">
        <v>538</v>
      </c>
      <c r="D50" s="2" t="s">
        <v>402</v>
      </c>
      <c r="E50" s="2" t="s">
        <v>406</v>
      </c>
      <c r="F50" s="2"/>
      <c r="G50" s="2"/>
      <c r="H50" s="2"/>
    </row>
    <row r="51" spans="1:8" x14ac:dyDescent="0.25">
      <c r="A51" s="8">
        <v>50</v>
      </c>
      <c r="B51" s="2" t="s">
        <v>256</v>
      </c>
      <c r="C51" s="2" t="s">
        <v>538</v>
      </c>
      <c r="D51" s="2" t="s">
        <v>399</v>
      </c>
      <c r="E51" s="2" t="s">
        <v>407</v>
      </c>
      <c r="F51" s="2"/>
      <c r="G51" s="2"/>
      <c r="H51" s="2"/>
    </row>
    <row r="52" spans="1:8" x14ac:dyDescent="0.25">
      <c r="A52" s="8">
        <v>51</v>
      </c>
      <c r="B52" s="2" t="s">
        <v>255</v>
      </c>
      <c r="C52" s="2" t="s">
        <v>524</v>
      </c>
      <c r="D52" s="2" t="s">
        <v>399</v>
      </c>
      <c r="E52" s="2" t="s">
        <v>407</v>
      </c>
      <c r="F52" s="2"/>
      <c r="G52" s="2"/>
      <c r="H52" s="2"/>
    </row>
    <row r="53" spans="1:8" x14ac:dyDescent="0.25">
      <c r="A53" s="8">
        <v>52</v>
      </c>
      <c r="B53" s="2" t="s">
        <v>255</v>
      </c>
      <c r="C53" s="2" t="s">
        <v>524</v>
      </c>
      <c r="D53" s="2" t="s">
        <v>402</v>
      </c>
      <c r="E53" s="2" t="s">
        <v>406</v>
      </c>
      <c r="F53" s="2"/>
      <c r="G53" s="2"/>
      <c r="H53" s="2"/>
    </row>
    <row r="54" spans="1:8" x14ac:dyDescent="0.25">
      <c r="A54" s="8">
        <v>53</v>
      </c>
      <c r="B54" s="2" t="s">
        <v>255</v>
      </c>
      <c r="C54" s="2" t="s">
        <v>524</v>
      </c>
      <c r="D54" s="2" t="s">
        <v>404</v>
      </c>
      <c r="E54" s="2" t="s">
        <v>405</v>
      </c>
      <c r="F54" s="2"/>
      <c r="G54" s="2"/>
      <c r="H54" s="2"/>
    </row>
    <row r="55" spans="1:8" x14ac:dyDescent="0.25">
      <c r="A55" s="8">
        <v>54</v>
      </c>
      <c r="B55" s="2" t="s">
        <v>207</v>
      </c>
      <c r="C55" s="2" t="s">
        <v>524</v>
      </c>
      <c r="D55" s="2" t="s">
        <v>399</v>
      </c>
      <c r="E55" s="2" t="s">
        <v>407</v>
      </c>
      <c r="F55" s="2"/>
      <c r="G55" s="2"/>
      <c r="H55" s="2"/>
    </row>
    <row r="56" spans="1:8" x14ac:dyDescent="0.25">
      <c r="A56" s="8">
        <v>55</v>
      </c>
      <c r="B56" s="2" t="s">
        <v>209</v>
      </c>
      <c r="C56" s="2" t="s">
        <v>525</v>
      </c>
      <c r="D56" s="2" t="s">
        <v>399</v>
      </c>
      <c r="E56" s="2" t="s">
        <v>407</v>
      </c>
      <c r="F56" s="2"/>
      <c r="G56" s="2"/>
      <c r="H56" s="2"/>
    </row>
    <row r="57" spans="1:8" x14ac:dyDescent="0.25">
      <c r="A57" s="8">
        <v>56</v>
      </c>
      <c r="B57" s="2" t="s">
        <v>228</v>
      </c>
      <c r="C57" s="2" t="s">
        <v>530</v>
      </c>
      <c r="D57" s="2" t="s">
        <v>399</v>
      </c>
      <c r="E57" s="2" t="s">
        <v>400</v>
      </c>
      <c r="F57" s="2"/>
      <c r="G57" s="2"/>
      <c r="H57" s="2"/>
    </row>
    <row r="58" spans="1:8" x14ac:dyDescent="0.25">
      <c r="A58" s="8">
        <v>57</v>
      </c>
      <c r="B58" s="2" t="s">
        <v>228</v>
      </c>
      <c r="C58" s="2" t="s">
        <v>530</v>
      </c>
      <c r="D58" s="2" t="s">
        <v>299</v>
      </c>
      <c r="E58" s="2" t="s">
        <v>382</v>
      </c>
      <c r="F58" s="2"/>
      <c r="G58" s="2"/>
      <c r="H58" s="2"/>
    </row>
    <row r="59" spans="1:8" x14ac:dyDescent="0.25">
      <c r="A59" s="8">
        <v>58</v>
      </c>
      <c r="B59" s="2" t="s">
        <v>228</v>
      </c>
      <c r="C59" s="2" t="s">
        <v>530</v>
      </c>
      <c r="D59" s="2" t="s">
        <v>286</v>
      </c>
      <c r="E59" s="2" t="s">
        <v>287</v>
      </c>
      <c r="F59" s="2"/>
      <c r="G59" s="2"/>
      <c r="H59" s="2"/>
    </row>
    <row r="60" spans="1:8" x14ac:dyDescent="0.25">
      <c r="A60" s="8">
        <v>59</v>
      </c>
      <c r="B60" s="2" t="s">
        <v>228</v>
      </c>
      <c r="C60" s="2" t="s">
        <v>530</v>
      </c>
      <c r="D60" s="2" t="s">
        <v>290</v>
      </c>
      <c r="E60" s="2" t="s">
        <v>423</v>
      </c>
      <c r="F60" s="2"/>
      <c r="G60" s="2"/>
      <c r="H60" s="2"/>
    </row>
    <row r="61" spans="1:8" x14ac:dyDescent="0.25">
      <c r="A61" s="8">
        <v>60</v>
      </c>
      <c r="B61" s="2" t="s">
        <v>230</v>
      </c>
      <c r="C61" s="2" t="s">
        <v>531</v>
      </c>
      <c r="D61" s="2" t="s">
        <v>399</v>
      </c>
      <c r="E61" s="2" t="s">
        <v>400</v>
      </c>
      <c r="F61" s="2"/>
      <c r="G61" s="2"/>
      <c r="H61" s="2"/>
    </row>
    <row r="62" spans="1:8" x14ac:dyDescent="0.25">
      <c r="A62" s="8">
        <v>61</v>
      </c>
      <c r="B62" s="2" t="s">
        <v>230</v>
      </c>
      <c r="C62" s="2" t="s">
        <v>531</v>
      </c>
      <c r="D62" s="2" t="s">
        <v>299</v>
      </c>
      <c r="E62" s="2" t="s">
        <v>382</v>
      </c>
      <c r="F62" s="2"/>
      <c r="G62" s="2"/>
      <c r="H62" s="2"/>
    </row>
    <row r="63" spans="1:8" x14ac:dyDescent="0.25">
      <c r="A63" s="8">
        <v>62</v>
      </c>
      <c r="B63" s="2" t="s">
        <v>230</v>
      </c>
      <c r="C63" s="2" t="s">
        <v>531</v>
      </c>
      <c r="D63" s="2" t="s">
        <v>286</v>
      </c>
      <c r="E63" s="2" t="s">
        <v>287</v>
      </c>
      <c r="F63" s="2"/>
      <c r="G63" s="2"/>
      <c r="H63" s="2"/>
    </row>
    <row r="64" spans="1:8" x14ac:dyDescent="0.25">
      <c r="A64" s="8">
        <v>63</v>
      </c>
      <c r="B64" s="2" t="s">
        <v>230</v>
      </c>
      <c r="C64" s="2" t="s">
        <v>531</v>
      </c>
      <c r="D64" s="2" t="s">
        <v>290</v>
      </c>
      <c r="E64" s="2" t="s">
        <v>423</v>
      </c>
      <c r="F64" s="2"/>
      <c r="G64" s="2"/>
      <c r="H64" s="2"/>
    </row>
    <row r="65" spans="1:8" x14ac:dyDescent="0.25">
      <c r="A65" s="8">
        <v>64</v>
      </c>
      <c r="B65" s="2" t="s">
        <v>241</v>
      </c>
      <c r="C65" s="2" t="s">
        <v>532</v>
      </c>
      <c r="D65" s="2" t="s">
        <v>399</v>
      </c>
      <c r="E65" s="2" t="s">
        <v>407</v>
      </c>
      <c r="F65" s="2"/>
      <c r="G65" s="2"/>
      <c r="H65" s="2"/>
    </row>
    <row r="66" spans="1:8" x14ac:dyDescent="0.25">
      <c r="A66" s="8">
        <v>65</v>
      </c>
      <c r="B66" s="2" t="s">
        <v>241</v>
      </c>
      <c r="C66" s="2" t="s">
        <v>532</v>
      </c>
      <c r="D66" s="2" t="s">
        <v>402</v>
      </c>
      <c r="E66" s="2" t="s">
        <v>424</v>
      </c>
      <c r="F66" s="2"/>
      <c r="G66" s="2"/>
      <c r="H66" s="2"/>
    </row>
    <row r="67" spans="1:8" x14ac:dyDescent="0.25">
      <c r="A67" s="8">
        <v>66</v>
      </c>
      <c r="B67" s="2" t="s">
        <v>241</v>
      </c>
      <c r="C67" s="2" t="s">
        <v>532</v>
      </c>
      <c r="D67" s="2" t="s">
        <v>404</v>
      </c>
      <c r="E67" s="2" t="s">
        <v>425</v>
      </c>
      <c r="F67" s="2"/>
      <c r="G67" s="2"/>
      <c r="H67" s="2"/>
    </row>
    <row r="68" spans="1:8" x14ac:dyDescent="0.25">
      <c r="A68" s="8">
        <v>67</v>
      </c>
      <c r="B68" s="2" t="s">
        <v>240</v>
      </c>
      <c r="C68" s="2" t="s">
        <v>533</v>
      </c>
      <c r="D68" s="2" t="s">
        <v>404</v>
      </c>
      <c r="E68" s="2" t="s">
        <v>425</v>
      </c>
      <c r="F68" s="2"/>
      <c r="G68" s="2"/>
      <c r="H68" s="2"/>
    </row>
    <row r="69" spans="1:8" x14ac:dyDescent="0.25">
      <c r="A69" s="8">
        <v>68</v>
      </c>
      <c r="B69" s="2" t="s">
        <v>240</v>
      </c>
      <c r="C69" s="2" t="s">
        <v>533</v>
      </c>
      <c r="D69" s="2" t="s">
        <v>402</v>
      </c>
      <c r="E69" s="2" t="s">
        <v>426</v>
      </c>
      <c r="F69" s="2"/>
      <c r="G69" s="2"/>
      <c r="H69" s="2"/>
    </row>
    <row r="70" spans="1:8" x14ac:dyDescent="0.25">
      <c r="A70" s="8">
        <v>69</v>
      </c>
      <c r="B70" s="2" t="s">
        <v>240</v>
      </c>
      <c r="C70" s="2" t="s">
        <v>533</v>
      </c>
      <c r="D70" s="2" t="s">
        <v>399</v>
      </c>
      <c r="E70" s="2" t="s">
        <v>427</v>
      </c>
      <c r="F70" s="2"/>
      <c r="G70" s="2"/>
      <c r="H70" s="2"/>
    </row>
    <row r="71" spans="1:8" x14ac:dyDescent="0.25">
      <c r="A71" s="8">
        <v>70</v>
      </c>
      <c r="B71" s="2" t="s">
        <v>240</v>
      </c>
      <c r="C71" s="2" t="s">
        <v>533</v>
      </c>
      <c r="D71" s="2" t="s">
        <v>299</v>
      </c>
      <c r="E71" s="2" t="s">
        <v>382</v>
      </c>
      <c r="F71" s="2"/>
      <c r="G71" s="2"/>
      <c r="H71" s="2"/>
    </row>
    <row r="72" spans="1:8" x14ac:dyDescent="0.25">
      <c r="A72" s="8">
        <v>71</v>
      </c>
      <c r="B72" s="2" t="s">
        <v>240</v>
      </c>
      <c r="C72" s="2" t="s">
        <v>533</v>
      </c>
      <c r="D72" s="2" t="s">
        <v>385</v>
      </c>
      <c r="E72" s="2" t="s">
        <v>428</v>
      </c>
      <c r="F72" s="2"/>
      <c r="G72" s="2"/>
      <c r="H72" s="2"/>
    </row>
    <row r="73" spans="1:8" x14ac:dyDescent="0.25">
      <c r="A73" s="8">
        <v>72</v>
      </c>
      <c r="B73" s="2" t="s">
        <v>240</v>
      </c>
      <c r="C73" s="2" t="s">
        <v>533</v>
      </c>
      <c r="D73" s="2" t="s">
        <v>410</v>
      </c>
      <c r="E73" s="2" t="s">
        <v>429</v>
      </c>
      <c r="F73" s="2"/>
      <c r="G73" s="2"/>
      <c r="H73" s="2"/>
    </row>
    <row r="74" spans="1:8" x14ac:dyDescent="0.25">
      <c r="A74" s="8">
        <v>73</v>
      </c>
      <c r="B74" s="2" t="s">
        <v>240</v>
      </c>
      <c r="C74" s="2" t="s">
        <v>533</v>
      </c>
      <c r="D74" s="2" t="s">
        <v>286</v>
      </c>
      <c r="E74" s="2" t="s">
        <v>287</v>
      </c>
      <c r="F74" s="2"/>
      <c r="G74" s="2"/>
      <c r="H74" s="2"/>
    </row>
    <row r="75" spans="1:8" x14ac:dyDescent="0.25">
      <c r="A75" s="8">
        <v>74</v>
      </c>
      <c r="B75" s="2" t="s">
        <v>240</v>
      </c>
      <c r="C75" s="2" t="s">
        <v>533</v>
      </c>
      <c r="D75" s="2" t="s">
        <v>290</v>
      </c>
      <c r="E75" s="2" t="s">
        <v>423</v>
      </c>
      <c r="F75" s="2"/>
      <c r="G75" s="2"/>
      <c r="H75" s="2"/>
    </row>
    <row r="76" spans="1:8" x14ac:dyDescent="0.25">
      <c r="A76" s="8">
        <v>75</v>
      </c>
      <c r="B76" s="2" t="s">
        <v>259</v>
      </c>
      <c r="C76" s="2" t="s">
        <v>534</v>
      </c>
      <c r="D76" s="2" t="s">
        <v>399</v>
      </c>
      <c r="E76" s="2" t="s">
        <v>407</v>
      </c>
      <c r="F76" s="2"/>
      <c r="G76" s="2"/>
      <c r="H76" s="2"/>
    </row>
    <row r="77" spans="1:8" x14ac:dyDescent="0.25">
      <c r="A77" s="8">
        <v>76</v>
      </c>
      <c r="B77" s="2" t="s">
        <v>259</v>
      </c>
      <c r="C77" s="2" t="s">
        <v>534</v>
      </c>
      <c r="D77" s="2" t="s">
        <v>402</v>
      </c>
      <c r="E77" s="2" t="s">
        <v>424</v>
      </c>
      <c r="F77" s="2"/>
      <c r="G77" s="2"/>
      <c r="H77" s="2"/>
    </row>
    <row r="78" spans="1:8" x14ac:dyDescent="0.25">
      <c r="A78" s="8">
        <v>77</v>
      </c>
      <c r="B78" s="2" t="s">
        <v>259</v>
      </c>
      <c r="C78" s="2" t="s">
        <v>534</v>
      </c>
      <c r="D78" s="2" t="s">
        <v>404</v>
      </c>
      <c r="E78" s="2" t="s">
        <v>425</v>
      </c>
      <c r="F78" s="2"/>
      <c r="G78" s="2"/>
      <c r="H78" s="2"/>
    </row>
    <row r="79" spans="1:8" x14ac:dyDescent="0.25">
      <c r="A79" s="8">
        <v>78</v>
      </c>
      <c r="B79" s="2" t="s">
        <v>252</v>
      </c>
      <c r="C79" s="2" t="s">
        <v>535</v>
      </c>
      <c r="D79" s="2" t="s">
        <v>404</v>
      </c>
      <c r="E79" s="2" t="s">
        <v>425</v>
      </c>
      <c r="F79" s="2"/>
      <c r="G79" s="2"/>
      <c r="H79" s="2"/>
    </row>
    <row r="80" spans="1:8" x14ac:dyDescent="0.25">
      <c r="A80" s="8">
        <v>79</v>
      </c>
      <c r="B80" s="2" t="s">
        <v>252</v>
      </c>
      <c r="C80" s="2" t="s">
        <v>535</v>
      </c>
      <c r="D80" s="2" t="s">
        <v>402</v>
      </c>
      <c r="E80" s="2" t="s">
        <v>426</v>
      </c>
      <c r="F80" s="2"/>
      <c r="G80" s="2"/>
      <c r="H80" s="2"/>
    </row>
    <row r="81" spans="1:8" x14ac:dyDescent="0.25">
      <c r="A81" s="8">
        <v>80</v>
      </c>
      <c r="B81" s="2" t="s">
        <v>252</v>
      </c>
      <c r="C81" s="2" t="s">
        <v>535</v>
      </c>
      <c r="D81" s="2" t="s">
        <v>399</v>
      </c>
      <c r="E81" s="2" t="s">
        <v>430</v>
      </c>
      <c r="F81" s="2"/>
      <c r="G81" s="2"/>
      <c r="H81" s="2"/>
    </row>
    <row r="82" spans="1:8" x14ac:dyDescent="0.25">
      <c r="A82" s="8">
        <v>81</v>
      </c>
      <c r="B82" s="2" t="s">
        <v>252</v>
      </c>
      <c r="C82" s="2" t="s">
        <v>535</v>
      </c>
      <c r="D82" s="2" t="s">
        <v>299</v>
      </c>
      <c r="E82" s="2" t="s">
        <v>382</v>
      </c>
      <c r="F82" s="2"/>
      <c r="G82" s="2"/>
      <c r="H82" s="2"/>
    </row>
    <row r="83" spans="1:8" x14ac:dyDescent="0.25">
      <c r="A83" s="8">
        <v>82</v>
      </c>
      <c r="B83" s="2" t="s">
        <v>252</v>
      </c>
      <c r="C83" s="2" t="s">
        <v>535</v>
      </c>
      <c r="D83" s="2" t="s">
        <v>385</v>
      </c>
      <c r="E83" s="2" t="s">
        <v>428</v>
      </c>
      <c r="F83" s="2"/>
      <c r="G83" s="2"/>
      <c r="H83" s="2"/>
    </row>
    <row r="84" spans="1:8" x14ac:dyDescent="0.25">
      <c r="A84" s="8">
        <v>83</v>
      </c>
      <c r="B84" s="2" t="s">
        <v>252</v>
      </c>
      <c r="C84" s="2" t="s">
        <v>535</v>
      </c>
      <c r="D84" s="2" t="s">
        <v>410</v>
      </c>
      <c r="E84" s="2" t="s">
        <v>429</v>
      </c>
      <c r="F84" s="2"/>
      <c r="G84" s="2"/>
      <c r="H84" s="2"/>
    </row>
    <row r="85" spans="1:8" x14ac:dyDescent="0.25">
      <c r="A85" s="8">
        <v>84</v>
      </c>
      <c r="B85" s="2" t="s">
        <v>252</v>
      </c>
      <c r="C85" s="2" t="s">
        <v>535</v>
      </c>
      <c r="D85" s="2" t="s">
        <v>286</v>
      </c>
      <c r="E85" s="2" t="s">
        <v>287</v>
      </c>
      <c r="F85" s="2"/>
      <c r="G85" s="2"/>
      <c r="H85" s="2"/>
    </row>
    <row r="86" spans="1:8" x14ac:dyDescent="0.25">
      <c r="A86" s="8">
        <v>85</v>
      </c>
      <c r="B86" s="2" t="s">
        <v>252</v>
      </c>
      <c r="C86" s="2" t="s">
        <v>535</v>
      </c>
      <c r="D86" s="2" t="s">
        <v>290</v>
      </c>
      <c r="E86" s="2" t="s">
        <v>423</v>
      </c>
      <c r="F86" s="2"/>
      <c r="G86" s="2"/>
      <c r="H86" s="2"/>
    </row>
    <row r="87" spans="1:8" x14ac:dyDescent="0.25">
      <c r="A87" s="8">
        <v>86</v>
      </c>
      <c r="B87" s="2" t="s">
        <v>201</v>
      </c>
      <c r="C87" s="2" t="s">
        <v>535</v>
      </c>
      <c r="D87" s="2" t="s">
        <v>399</v>
      </c>
      <c r="E87" s="2" t="s">
        <v>400</v>
      </c>
      <c r="F87" s="2"/>
      <c r="G87" s="2"/>
      <c r="H87" s="2"/>
    </row>
    <row r="88" spans="1:8" x14ac:dyDescent="0.25">
      <c r="A88" s="8">
        <v>87</v>
      </c>
      <c r="B88" s="2" t="s">
        <v>201</v>
      </c>
      <c r="C88" s="2" t="s">
        <v>535</v>
      </c>
      <c r="D88" s="2" t="s">
        <v>299</v>
      </c>
      <c r="E88" s="2" t="s">
        <v>382</v>
      </c>
      <c r="F88" s="2"/>
      <c r="G88" s="2"/>
      <c r="H88" s="2"/>
    </row>
    <row r="89" spans="1:8" x14ac:dyDescent="0.25">
      <c r="A89" s="8">
        <v>88</v>
      </c>
      <c r="B89" s="2" t="s">
        <v>201</v>
      </c>
      <c r="C89" s="2" t="s">
        <v>535</v>
      </c>
      <c r="D89" s="2" t="s">
        <v>286</v>
      </c>
      <c r="E89" s="2" t="s">
        <v>287</v>
      </c>
      <c r="F89" s="2"/>
      <c r="G89" s="2"/>
      <c r="H89" s="2"/>
    </row>
    <row r="90" spans="1:8" x14ac:dyDescent="0.25">
      <c r="A90" s="8">
        <v>89</v>
      </c>
      <c r="B90" s="2" t="s">
        <v>201</v>
      </c>
      <c r="C90" s="2" t="s">
        <v>535</v>
      </c>
      <c r="D90" s="2" t="s">
        <v>290</v>
      </c>
      <c r="E90" s="2" t="s">
        <v>423</v>
      </c>
      <c r="F90" s="2"/>
      <c r="G90" s="2"/>
      <c r="H90" s="2"/>
    </row>
    <row r="91" spans="1:8" x14ac:dyDescent="0.25">
      <c r="A91" s="8">
        <v>90</v>
      </c>
      <c r="B91" s="2" t="s">
        <v>217</v>
      </c>
      <c r="C91" s="2" t="s">
        <v>536</v>
      </c>
      <c r="D91" s="2" t="s">
        <v>286</v>
      </c>
      <c r="E91" s="2" t="s">
        <v>431</v>
      </c>
      <c r="F91" s="2"/>
      <c r="G91" s="2"/>
      <c r="H91" s="2"/>
    </row>
    <row r="92" spans="1:8" x14ac:dyDescent="0.25">
      <c r="A92" s="8">
        <v>91</v>
      </c>
      <c r="B92" s="2" t="s">
        <v>217</v>
      </c>
      <c r="C92" s="2" t="s">
        <v>536</v>
      </c>
      <c r="D92" s="2" t="s">
        <v>404</v>
      </c>
      <c r="E92" s="2" t="s">
        <v>432</v>
      </c>
      <c r="F92" s="2"/>
      <c r="G92" s="2"/>
      <c r="H92" s="2"/>
    </row>
    <row r="93" spans="1:8" x14ac:dyDescent="0.25">
      <c r="A93" s="8">
        <v>92</v>
      </c>
      <c r="B93" s="2" t="s">
        <v>217</v>
      </c>
      <c r="C93" s="2" t="s">
        <v>536</v>
      </c>
      <c r="D93" s="2" t="s">
        <v>288</v>
      </c>
      <c r="E93" s="2" t="s">
        <v>433</v>
      </c>
      <c r="F93" s="2"/>
      <c r="G93" s="2"/>
      <c r="H93" s="2"/>
    </row>
    <row r="94" spans="1:8" x14ac:dyDescent="0.25">
      <c r="A94" s="8">
        <v>93</v>
      </c>
      <c r="B94" s="2" t="s">
        <v>217</v>
      </c>
      <c r="C94" s="2" t="s">
        <v>536</v>
      </c>
      <c r="D94" s="2" t="s">
        <v>290</v>
      </c>
      <c r="E94" s="2" t="s">
        <v>434</v>
      </c>
      <c r="F94" s="2"/>
      <c r="G94" s="2"/>
      <c r="H94" s="2"/>
    </row>
    <row r="95" spans="1:8" x14ac:dyDescent="0.25">
      <c r="A95" s="8">
        <v>94</v>
      </c>
      <c r="B95" s="2" t="s">
        <v>217</v>
      </c>
      <c r="C95" s="2" t="s">
        <v>536</v>
      </c>
      <c r="D95" s="2" t="s">
        <v>385</v>
      </c>
      <c r="E95" s="2" t="s">
        <v>435</v>
      </c>
      <c r="F95" s="2"/>
      <c r="G95" s="2"/>
      <c r="H95" s="2"/>
    </row>
    <row r="96" spans="1:8" x14ac:dyDescent="0.25">
      <c r="A96" s="8">
        <v>95</v>
      </c>
      <c r="B96" s="2" t="s">
        <v>217</v>
      </c>
      <c r="C96" s="2" t="s">
        <v>536</v>
      </c>
      <c r="D96" s="2" t="s">
        <v>410</v>
      </c>
      <c r="E96" s="2" t="s">
        <v>436</v>
      </c>
      <c r="F96" s="2"/>
      <c r="G96" s="2"/>
      <c r="H96" s="2"/>
    </row>
    <row r="97" spans="1:8" x14ac:dyDescent="0.25">
      <c r="A97" s="8">
        <v>96</v>
      </c>
      <c r="B97" s="2" t="s">
        <v>217</v>
      </c>
      <c r="C97" s="2" t="s">
        <v>536</v>
      </c>
      <c r="D97" s="2" t="s">
        <v>437</v>
      </c>
      <c r="E97" s="2" t="s">
        <v>438</v>
      </c>
      <c r="F97" s="2"/>
      <c r="G97" s="2"/>
      <c r="H97" s="2"/>
    </row>
    <row r="98" spans="1:8" x14ac:dyDescent="0.25">
      <c r="A98" s="8">
        <v>97</v>
      </c>
      <c r="B98" s="2" t="s">
        <v>236</v>
      </c>
      <c r="C98" s="2" t="s">
        <v>537</v>
      </c>
      <c r="D98" s="2" t="s">
        <v>404</v>
      </c>
      <c r="E98" s="2" t="s">
        <v>425</v>
      </c>
      <c r="F98" s="2"/>
      <c r="G98" s="2"/>
      <c r="H98" s="2"/>
    </row>
    <row r="99" spans="1:8" x14ac:dyDescent="0.25">
      <c r="A99" s="8">
        <v>98</v>
      </c>
      <c r="B99" s="2" t="s">
        <v>236</v>
      </c>
      <c r="C99" s="2" t="s">
        <v>537</v>
      </c>
      <c r="D99" s="2" t="s">
        <v>402</v>
      </c>
      <c r="E99" s="2" t="s">
        <v>424</v>
      </c>
      <c r="F99" s="2"/>
      <c r="G99" s="2"/>
      <c r="H99" s="2"/>
    </row>
    <row r="100" spans="1:8" x14ac:dyDescent="0.25">
      <c r="A100" s="8">
        <v>99</v>
      </c>
      <c r="B100" s="2" t="s">
        <v>236</v>
      </c>
      <c r="C100" s="2" t="s">
        <v>537</v>
      </c>
      <c r="D100" s="2" t="s">
        <v>399</v>
      </c>
      <c r="E100" s="2" t="s">
        <v>427</v>
      </c>
      <c r="F100" s="2"/>
      <c r="G100" s="2"/>
      <c r="H100" s="2"/>
    </row>
    <row r="101" spans="1:8" x14ac:dyDescent="0.25">
      <c r="A101" s="8">
        <v>100</v>
      </c>
      <c r="B101" s="2" t="s">
        <v>258</v>
      </c>
      <c r="C101" s="2" t="s">
        <v>538</v>
      </c>
      <c r="D101" s="2" t="s">
        <v>399</v>
      </c>
      <c r="E101" s="2" t="s">
        <v>407</v>
      </c>
      <c r="F101" s="2"/>
      <c r="G101" s="2"/>
      <c r="H101" s="2"/>
    </row>
    <row r="102" spans="1:8" x14ac:dyDescent="0.25">
      <c r="A102" s="8">
        <v>101</v>
      </c>
      <c r="B102" s="2" t="s">
        <v>258</v>
      </c>
      <c r="C102" s="2" t="s">
        <v>538</v>
      </c>
      <c r="D102" s="2" t="s">
        <v>402</v>
      </c>
      <c r="E102" s="2" t="s">
        <v>406</v>
      </c>
      <c r="F102" s="2"/>
      <c r="G102" s="2"/>
      <c r="H102" s="2"/>
    </row>
    <row r="103" spans="1:8" x14ac:dyDescent="0.25">
      <c r="A103" s="8">
        <v>102</v>
      </c>
      <c r="B103" s="2" t="s">
        <v>258</v>
      </c>
      <c r="C103" s="2" t="s">
        <v>538</v>
      </c>
      <c r="D103" s="2" t="s">
        <v>404</v>
      </c>
      <c r="E103" s="2" t="s">
        <v>405</v>
      </c>
      <c r="F103" s="2"/>
      <c r="G103" s="2"/>
      <c r="H103" s="2"/>
    </row>
    <row r="104" spans="1:8" x14ac:dyDescent="0.25">
      <c r="A104" s="8">
        <v>103</v>
      </c>
      <c r="B104" s="2" t="s">
        <v>195</v>
      </c>
      <c r="C104" s="2" t="s">
        <v>532</v>
      </c>
      <c r="D104" s="2" t="s">
        <v>399</v>
      </c>
      <c r="E104" s="2" t="s">
        <v>408</v>
      </c>
      <c r="F104" s="2"/>
      <c r="G104" s="2"/>
      <c r="H104" s="2"/>
    </row>
    <row r="105" spans="1:8" x14ac:dyDescent="0.25">
      <c r="A105" s="8">
        <v>104</v>
      </c>
      <c r="B105" s="2" t="s">
        <v>260</v>
      </c>
      <c r="C105" s="2" t="s">
        <v>539</v>
      </c>
      <c r="D105" s="2" t="s">
        <v>402</v>
      </c>
      <c r="E105" s="2" t="s">
        <v>439</v>
      </c>
      <c r="F105" s="2"/>
      <c r="G105" s="2"/>
      <c r="H105" s="2"/>
    </row>
    <row r="106" spans="1:8" x14ac:dyDescent="0.25">
      <c r="A106" s="8">
        <v>105</v>
      </c>
      <c r="B106" s="2" t="s">
        <v>260</v>
      </c>
      <c r="C106" s="2" t="s">
        <v>539</v>
      </c>
      <c r="D106" s="2" t="s">
        <v>399</v>
      </c>
      <c r="E106" s="2" t="s">
        <v>400</v>
      </c>
      <c r="F106" s="2"/>
      <c r="G106" s="2"/>
      <c r="H106" s="2"/>
    </row>
    <row r="107" spans="1:8" x14ac:dyDescent="0.25">
      <c r="A107" s="8">
        <v>106</v>
      </c>
      <c r="B107" s="2" t="s">
        <v>260</v>
      </c>
      <c r="C107" s="2" t="s">
        <v>539</v>
      </c>
      <c r="D107" s="2" t="s">
        <v>404</v>
      </c>
      <c r="E107" s="2" t="s">
        <v>425</v>
      </c>
      <c r="F107" s="2"/>
      <c r="G107" s="2"/>
      <c r="H107" s="2"/>
    </row>
    <row r="108" spans="1:8" x14ac:dyDescent="0.25">
      <c r="A108" s="8">
        <v>107</v>
      </c>
      <c r="B108" s="2" t="s">
        <v>260</v>
      </c>
      <c r="C108" s="2" t="s">
        <v>539</v>
      </c>
      <c r="D108" s="2" t="s">
        <v>299</v>
      </c>
      <c r="E108" s="2" t="s">
        <v>382</v>
      </c>
      <c r="F108" s="2"/>
      <c r="G108" s="2"/>
      <c r="H108" s="2"/>
    </row>
    <row r="109" spans="1:8" x14ac:dyDescent="0.25">
      <c r="A109" s="8">
        <v>108</v>
      </c>
      <c r="B109" s="2" t="s">
        <v>260</v>
      </c>
      <c r="C109" s="2" t="s">
        <v>539</v>
      </c>
      <c r="D109" s="2" t="s">
        <v>385</v>
      </c>
      <c r="E109" s="2" t="s">
        <v>428</v>
      </c>
      <c r="F109" s="2"/>
      <c r="G109" s="2"/>
      <c r="H109" s="2"/>
    </row>
    <row r="110" spans="1:8" x14ac:dyDescent="0.25">
      <c r="A110" s="8">
        <v>109</v>
      </c>
      <c r="B110" s="2" t="s">
        <v>260</v>
      </c>
      <c r="C110" s="2" t="s">
        <v>539</v>
      </c>
      <c r="D110" s="2" t="s">
        <v>410</v>
      </c>
      <c r="E110" s="2" t="s">
        <v>429</v>
      </c>
      <c r="F110" s="2"/>
      <c r="G110" s="2"/>
      <c r="H110" s="2"/>
    </row>
    <row r="111" spans="1:8" x14ac:dyDescent="0.25">
      <c r="A111" s="8">
        <v>110</v>
      </c>
      <c r="B111" s="2" t="s">
        <v>260</v>
      </c>
      <c r="C111" s="2" t="s">
        <v>539</v>
      </c>
      <c r="D111" s="2" t="s">
        <v>286</v>
      </c>
      <c r="E111" s="2" t="s">
        <v>287</v>
      </c>
      <c r="F111" s="2"/>
      <c r="G111" s="2"/>
      <c r="H111" s="2"/>
    </row>
    <row r="112" spans="1:8" x14ac:dyDescent="0.25">
      <c r="A112" s="8">
        <v>111</v>
      </c>
      <c r="B112" s="2" t="s">
        <v>260</v>
      </c>
      <c r="C112" s="2" t="s">
        <v>539</v>
      </c>
      <c r="D112" s="2" t="s">
        <v>290</v>
      </c>
      <c r="E112" s="2" t="s">
        <v>423</v>
      </c>
      <c r="F112" s="2"/>
      <c r="G112" s="2"/>
      <c r="H112" s="2"/>
    </row>
    <row r="113" spans="1:8" x14ac:dyDescent="0.25">
      <c r="A113" s="8">
        <v>112</v>
      </c>
      <c r="B113" s="2" t="s">
        <v>211</v>
      </c>
      <c r="C113" s="2" t="s">
        <v>540</v>
      </c>
      <c r="D113" s="2" t="s">
        <v>410</v>
      </c>
      <c r="E113" s="2" t="s">
        <v>440</v>
      </c>
      <c r="F113" s="2"/>
      <c r="G113" s="2"/>
      <c r="H113" s="2"/>
    </row>
    <row r="114" spans="1:8" x14ac:dyDescent="0.25">
      <c r="A114" s="8">
        <v>113</v>
      </c>
      <c r="B114" s="2" t="s">
        <v>211</v>
      </c>
      <c r="C114" s="2" t="s">
        <v>540</v>
      </c>
      <c r="D114" s="2" t="s">
        <v>385</v>
      </c>
      <c r="E114" s="2" t="s">
        <v>441</v>
      </c>
      <c r="F114" s="2"/>
      <c r="G114" s="2"/>
      <c r="H114" s="2"/>
    </row>
    <row r="115" spans="1:8" x14ac:dyDescent="0.25">
      <c r="A115" s="8">
        <v>114</v>
      </c>
      <c r="B115" s="2" t="s">
        <v>211</v>
      </c>
      <c r="C115" s="2" t="s">
        <v>540</v>
      </c>
      <c r="D115" s="2" t="s">
        <v>404</v>
      </c>
      <c r="E115" s="2" t="s">
        <v>442</v>
      </c>
      <c r="F115" s="2"/>
      <c r="G115" s="2"/>
      <c r="H115" s="2"/>
    </row>
    <row r="116" spans="1:8" x14ac:dyDescent="0.25">
      <c r="A116" s="8">
        <v>115</v>
      </c>
      <c r="B116" s="2" t="s">
        <v>215</v>
      </c>
      <c r="C116" s="2" t="s">
        <v>534</v>
      </c>
      <c r="D116" s="2" t="s">
        <v>399</v>
      </c>
      <c r="E116" s="2" t="s">
        <v>407</v>
      </c>
      <c r="F116" s="2"/>
      <c r="G116" s="2"/>
      <c r="H116" s="2"/>
    </row>
    <row r="117" spans="1:8" x14ac:dyDescent="0.25">
      <c r="A117" s="8">
        <v>116</v>
      </c>
      <c r="B117" s="2" t="s">
        <v>238</v>
      </c>
      <c r="C117" s="2" t="s">
        <v>541</v>
      </c>
      <c r="D117" s="2" t="s">
        <v>399</v>
      </c>
      <c r="E117" s="2" t="s">
        <v>427</v>
      </c>
      <c r="F117" s="2"/>
      <c r="G117" s="2"/>
      <c r="H117" s="2"/>
    </row>
    <row r="118" spans="1:8" x14ac:dyDescent="0.25">
      <c r="A118" s="8">
        <v>117</v>
      </c>
      <c r="B118" s="2" t="s">
        <v>238</v>
      </c>
      <c r="C118" s="2" t="s">
        <v>541</v>
      </c>
      <c r="D118" s="2" t="s">
        <v>402</v>
      </c>
      <c r="E118" s="2" t="s">
        <v>424</v>
      </c>
      <c r="F118" s="2"/>
      <c r="G118" s="2"/>
      <c r="H118" s="2"/>
    </row>
    <row r="119" spans="1:8" x14ac:dyDescent="0.25">
      <c r="A119" s="8">
        <v>118</v>
      </c>
      <c r="B119" s="2" t="s">
        <v>238</v>
      </c>
      <c r="C119" s="2" t="s">
        <v>541</v>
      </c>
      <c r="D119" s="2" t="s">
        <v>404</v>
      </c>
      <c r="E119" s="2" t="s">
        <v>425</v>
      </c>
      <c r="F119" s="2"/>
      <c r="G119" s="2"/>
      <c r="H119" s="2"/>
    </row>
    <row r="120" spans="1:8" x14ac:dyDescent="0.25">
      <c r="A120" s="8">
        <v>119</v>
      </c>
      <c r="B120" s="2" t="s">
        <v>234</v>
      </c>
      <c r="C120" s="2" t="s">
        <v>542</v>
      </c>
      <c r="D120" s="2" t="s">
        <v>404</v>
      </c>
      <c r="E120" s="2" t="s">
        <v>425</v>
      </c>
      <c r="F120" s="2"/>
      <c r="G120" s="2"/>
      <c r="H120" s="2"/>
    </row>
    <row r="121" spans="1:8" x14ac:dyDescent="0.25">
      <c r="A121" s="8">
        <v>120</v>
      </c>
      <c r="B121" s="2" t="s">
        <v>234</v>
      </c>
      <c r="C121" s="2" t="s">
        <v>542</v>
      </c>
      <c r="D121" s="2" t="s">
        <v>402</v>
      </c>
      <c r="E121" s="2" t="s">
        <v>424</v>
      </c>
      <c r="F121" s="2"/>
      <c r="G121" s="2"/>
      <c r="H121" s="2"/>
    </row>
    <row r="122" spans="1:8" x14ac:dyDescent="0.25">
      <c r="A122" s="8">
        <v>121</v>
      </c>
      <c r="B122" s="2" t="s">
        <v>234</v>
      </c>
      <c r="C122" s="2" t="s">
        <v>542</v>
      </c>
      <c r="D122" s="2" t="s">
        <v>399</v>
      </c>
      <c r="E122" s="2" t="s">
        <v>427</v>
      </c>
      <c r="F122" s="2"/>
      <c r="G122" s="2"/>
      <c r="H122" s="2"/>
    </row>
    <row r="123" spans="1:8" x14ac:dyDescent="0.25">
      <c r="A123" s="8">
        <v>122</v>
      </c>
      <c r="B123" s="2" t="s">
        <v>232</v>
      </c>
      <c r="C123" s="2" t="s">
        <v>543</v>
      </c>
      <c r="D123" s="2" t="s">
        <v>399</v>
      </c>
      <c r="E123" s="2" t="s">
        <v>427</v>
      </c>
      <c r="F123" s="2"/>
      <c r="G123" s="2"/>
      <c r="H123" s="2"/>
    </row>
    <row r="124" spans="1:8" x14ac:dyDescent="0.25">
      <c r="A124" s="8">
        <v>123</v>
      </c>
      <c r="B124" s="2" t="s">
        <v>232</v>
      </c>
      <c r="C124" s="2" t="s">
        <v>543</v>
      </c>
      <c r="D124" s="2" t="s">
        <v>402</v>
      </c>
      <c r="E124" s="2" t="s">
        <v>424</v>
      </c>
      <c r="F124" s="2"/>
      <c r="G124" s="2"/>
      <c r="H124" s="2"/>
    </row>
    <row r="125" spans="1:8" x14ac:dyDescent="0.25">
      <c r="A125" s="8">
        <v>124</v>
      </c>
      <c r="B125" s="2" t="s">
        <v>232</v>
      </c>
      <c r="C125" s="2" t="s">
        <v>543</v>
      </c>
      <c r="D125" s="2" t="s">
        <v>404</v>
      </c>
      <c r="E125" s="2" t="s">
        <v>425</v>
      </c>
      <c r="F125" s="2"/>
      <c r="G125" s="2"/>
      <c r="H125" s="2"/>
    </row>
    <row r="126" spans="1:8" x14ac:dyDescent="0.25">
      <c r="A126" s="8">
        <v>125</v>
      </c>
      <c r="B126" s="2" t="s">
        <v>189</v>
      </c>
      <c r="C126" s="2" t="s">
        <v>544</v>
      </c>
      <c r="D126" s="2" t="s">
        <v>399</v>
      </c>
      <c r="E126" s="2" t="s">
        <v>408</v>
      </c>
      <c r="F126" s="2"/>
      <c r="G126" s="2"/>
      <c r="H126" s="2"/>
    </row>
    <row r="127" spans="1:8" x14ac:dyDescent="0.25">
      <c r="A127" s="8">
        <v>126</v>
      </c>
      <c r="B127" s="2" t="s">
        <v>191</v>
      </c>
      <c r="C127" s="2" t="s">
        <v>545</v>
      </c>
      <c r="D127" s="2" t="s">
        <v>399</v>
      </c>
      <c r="E127" s="2" t="s">
        <v>408</v>
      </c>
      <c r="F127" s="2"/>
      <c r="G127" s="2"/>
      <c r="H127" s="2"/>
    </row>
    <row r="128" spans="1:8" x14ac:dyDescent="0.25">
      <c r="A128" s="8">
        <v>127</v>
      </c>
      <c r="B128" s="2" t="s">
        <v>193</v>
      </c>
      <c r="C128" s="2" t="s">
        <v>533</v>
      </c>
      <c r="D128" s="2" t="s">
        <v>399</v>
      </c>
      <c r="E128" s="2" t="s">
        <v>408</v>
      </c>
      <c r="F128" s="2"/>
      <c r="G128" s="2"/>
      <c r="H128" s="2"/>
    </row>
    <row r="129" spans="1:8" x14ac:dyDescent="0.25">
      <c r="A129" s="8">
        <v>128</v>
      </c>
      <c r="B129" s="2" t="s">
        <v>219</v>
      </c>
      <c r="C129" s="2" t="s">
        <v>550</v>
      </c>
      <c r="D129" s="2" t="s">
        <v>288</v>
      </c>
      <c r="E129" s="2" t="s">
        <v>452</v>
      </c>
      <c r="F129" s="2"/>
      <c r="G129" s="2"/>
      <c r="H129" s="2"/>
    </row>
    <row r="130" spans="1:8" x14ac:dyDescent="0.25">
      <c r="A130" s="8">
        <v>129</v>
      </c>
      <c r="B130" s="2" t="s">
        <v>219</v>
      </c>
      <c r="C130" s="2" t="s">
        <v>550</v>
      </c>
      <c r="D130" s="2" t="s">
        <v>286</v>
      </c>
      <c r="E130" s="2" t="s">
        <v>287</v>
      </c>
      <c r="F130" s="2"/>
      <c r="G130" s="2"/>
      <c r="H130" s="2"/>
    </row>
    <row r="131" spans="1:8" x14ac:dyDescent="0.25">
      <c r="A131" s="8">
        <v>130</v>
      </c>
      <c r="B131" s="2" t="s">
        <v>219</v>
      </c>
      <c r="C131" s="2" t="s">
        <v>550</v>
      </c>
      <c r="D131" s="2" t="s">
        <v>290</v>
      </c>
      <c r="E131" s="2" t="s">
        <v>291</v>
      </c>
      <c r="F131" s="2"/>
      <c r="G131" s="2"/>
      <c r="H131" s="2"/>
    </row>
    <row r="132" spans="1:8" x14ac:dyDescent="0.25">
      <c r="A132" s="8">
        <v>131</v>
      </c>
      <c r="B132" s="2" t="s">
        <v>221</v>
      </c>
      <c r="C132" s="2" t="s">
        <v>551</v>
      </c>
      <c r="D132" s="2" t="s">
        <v>288</v>
      </c>
      <c r="E132" s="2" t="s">
        <v>452</v>
      </c>
      <c r="F132" s="2"/>
      <c r="G132" s="2"/>
      <c r="H132" s="2"/>
    </row>
    <row r="133" spans="1:8" x14ac:dyDescent="0.25">
      <c r="A133" s="8">
        <v>132</v>
      </c>
      <c r="B133" s="2" t="s">
        <v>221</v>
      </c>
      <c r="C133" s="2" t="s">
        <v>551</v>
      </c>
      <c r="D133" s="2" t="s">
        <v>286</v>
      </c>
      <c r="E133" s="2" t="s">
        <v>287</v>
      </c>
      <c r="F133" s="2"/>
      <c r="G133" s="2"/>
      <c r="H133" s="2"/>
    </row>
    <row r="134" spans="1:8" x14ac:dyDescent="0.25">
      <c r="A134" s="8">
        <v>133</v>
      </c>
      <c r="B134" s="2" t="s">
        <v>221</v>
      </c>
      <c r="C134" s="2" t="s">
        <v>551</v>
      </c>
      <c r="D134" s="2" t="s">
        <v>290</v>
      </c>
      <c r="E134" s="2" t="s">
        <v>291</v>
      </c>
      <c r="F134" s="2"/>
      <c r="G134" s="2"/>
      <c r="H134" s="2"/>
    </row>
    <row r="135" spans="1:8" x14ac:dyDescent="0.25">
      <c r="A135" s="8">
        <v>134</v>
      </c>
      <c r="B135" s="2" t="s">
        <v>223</v>
      </c>
      <c r="C135" s="2" t="s">
        <v>552</v>
      </c>
      <c r="D135" s="2" t="s">
        <v>288</v>
      </c>
      <c r="E135" s="2" t="s">
        <v>452</v>
      </c>
      <c r="F135" s="2"/>
      <c r="G135" s="2"/>
      <c r="H135" s="2"/>
    </row>
    <row r="136" spans="1:8" x14ac:dyDescent="0.25">
      <c r="A136" s="8">
        <v>135</v>
      </c>
      <c r="B136" s="2" t="s">
        <v>223</v>
      </c>
      <c r="C136" s="2" t="s">
        <v>552</v>
      </c>
      <c r="D136" s="2" t="s">
        <v>286</v>
      </c>
      <c r="E136" s="2" t="s">
        <v>287</v>
      </c>
      <c r="F136" s="2"/>
      <c r="G136" s="2"/>
      <c r="H136" s="2"/>
    </row>
    <row r="137" spans="1:8" x14ac:dyDescent="0.25">
      <c r="A137" s="8">
        <v>136</v>
      </c>
      <c r="B137" s="2" t="s">
        <v>223</v>
      </c>
      <c r="C137" s="2" t="s">
        <v>552</v>
      </c>
      <c r="D137" s="2" t="s">
        <v>290</v>
      </c>
      <c r="E137" s="2" t="s">
        <v>291</v>
      </c>
      <c r="F137" s="2"/>
      <c r="G137" s="2"/>
      <c r="H137" s="2"/>
    </row>
    <row r="138" spans="1:8" x14ac:dyDescent="0.25">
      <c r="A138" s="8">
        <v>137</v>
      </c>
      <c r="B138" s="2" t="s">
        <v>254</v>
      </c>
      <c r="C138" s="2" t="s">
        <v>563</v>
      </c>
      <c r="D138" s="2" t="s">
        <v>404</v>
      </c>
      <c r="E138" s="2" t="s">
        <v>470</v>
      </c>
      <c r="F138" s="2"/>
      <c r="G138" s="2"/>
      <c r="H138" s="2"/>
    </row>
    <row r="139" spans="1:8" x14ac:dyDescent="0.25">
      <c r="A139" s="8">
        <v>138</v>
      </c>
      <c r="B139" s="2" t="s">
        <v>254</v>
      </c>
      <c r="C139" s="2" t="s">
        <v>563</v>
      </c>
      <c r="D139" s="2" t="s">
        <v>399</v>
      </c>
      <c r="E139" s="2" t="s">
        <v>471</v>
      </c>
      <c r="F139" s="2"/>
      <c r="G139" s="2"/>
      <c r="H139" s="2"/>
    </row>
    <row r="140" spans="1:8" x14ac:dyDescent="0.25">
      <c r="A140" s="8">
        <v>139</v>
      </c>
      <c r="B140" s="2" t="s">
        <v>254</v>
      </c>
      <c r="C140" s="2" t="s">
        <v>563</v>
      </c>
      <c r="D140" s="2" t="s">
        <v>402</v>
      </c>
      <c r="E140" s="2" t="s">
        <v>472</v>
      </c>
      <c r="F140" s="2"/>
      <c r="G140" s="2"/>
      <c r="H140" s="2"/>
    </row>
    <row r="141" spans="1:8" x14ac:dyDescent="0.25">
      <c r="A141" s="8">
        <v>140</v>
      </c>
      <c r="B141" s="2" t="s">
        <v>254</v>
      </c>
      <c r="C141" s="2" t="s">
        <v>563</v>
      </c>
      <c r="D141" s="2" t="s">
        <v>402</v>
      </c>
      <c r="E141" s="2" t="s">
        <v>473</v>
      </c>
      <c r="F141" s="2"/>
      <c r="G141" s="2"/>
      <c r="H141" s="2"/>
    </row>
    <row r="142" spans="1:8" x14ac:dyDescent="0.25">
      <c r="A142" s="8">
        <v>141</v>
      </c>
      <c r="B142" s="2" t="s">
        <v>254</v>
      </c>
      <c r="C142" s="2" t="s">
        <v>563</v>
      </c>
      <c r="D142" s="2" t="s">
        <v>399</v>
      </c>
      <c r="E142" s="2" t="s">
        <v>474</v>
      </c>
      <c r="F142" s="2"/>
      <c r="G142" s="2"/>
      <c r="H142" s="2"/>
    </row>
    <row r="143" spans="1:8" x14ac:dyDescent="0.25">
      <c r="A143" s="8">
        <v>142</v>
      </c>
      <c r="B143" s="2" t="s">
        <v>254</v>
      </c>
      <c r="C143" s="2" t="s">
        <v>563</v>
      </c>
      <c r="D143" s="2" t="s">
        <v>404</v>
      </c>
      <c r="E143" s="2" t="s">
        <v>475</v>
      </c>
      <c r="F143" s="2"/>
      <c r="G143" s="2"/>
      <c r="H143" s="2"/>
    </row>
    <row r="144" spans="1:8" x14ac:dyDescent="0.25">
      <c r="A144" s="8">
        <v>143</v>
      </c>
      <c r="B144" s="2" t="s">
        <v>243</v>
      </c>
      <c r="C144" s="2" t="s">
        <v>564</v>
      </c>
      <c r="D144" s="2" t="s">
        <v>404</v>
      </c>
      <c r="E144" s="2" t="s">
        <v>470</v>
      </c>
      <c r="F144" s="2"/>
      <c r="G144" s="2"/>
      <c r="H144" s="2"/>
    </row>
    <row r="145" spans="1:8" x14ac:dyDescent="0.25">
      <c r="A145" s="8">
        <v>144</v>
      </c>
      <c r="B145" s="2" t="s">
        <v>243</v>
      </c>
      <c r="C145" s="2" t="s">
        <v>564</v>
      </c>
      <c r="D145" s="2" t="s">
        <v>402</v>
      </c>
      <c r="E145" s="2" t="s">
        <v>424</v>
      </c>
      <c r="F145" s="2"/>
      <c r="G145" s="2"/>
      <c r="H145" s="2"/>
    </row>
    <row r="146" spans="1:8" x14ac:dyDescent="0.25">
      <c r="A146" s="8">
        <v>145</v>
      </c>
      <c r="B146" s="2" t="s">
        <v>243</v>
      </c>
      <c r="C146" s="2" t="s">
        <v>564</v>
      </c>
      <c r="D146" s="2" t="s">
        <v>399</v>
      </c>
      <c r="E146" s="2" t="s">
        <v>427</v>
      </c>
      <c r="F146" s="2"/>
      <c r="G146" s="2"/>
      <c r="H146" s="2"/>
    </row>
    <row r="147" spans="1:8" x14ac:dyDescent="0.25">
      <c r="A147" s="8">
        <v>146</v>
      </c>
      <c r="B147" s="2" t="s">
        <v>243</v>
      </c>
      <c r="C147" s="2" t="s">
        <v>564</v>
      </c>
      <c r="D147" s="2" t="s">
        <v>399</v>
      </c>
      <c r="E147" s="2" t="s">
        <v>474</v>
      </c>
      <c r="F147" s="2"/>
      <c r="G147" s="2"/>
      <c r="H147" s="2"/>
    </row>
    <row r="148" spans="1:8" x14ac:dyDescent="0.25">
      <c r="A148" s="8">
        <v>147</v>
      </c>
      <c r="B148" s="2" t="s">
        <v>243</v>
      </c>
      <c r="C148" s="2" t="s">
        <v>564</v>
      </c>
      <c r="D148" s="2" t="s">
        <v>402</v>
      </c>
      <c r="E148" s="2" t="s">
        <v>476</v>
      </c>
      <c r="F148" s="2"/>
      <c r="G148" s="2"/>
      <c r="H148" s="2"/>
    </row>
    <row r="149" spans="1:8" x14ac:dyDescent="0.25">
      <c r="A149" s="8">
        <v>148</v>
      </c>
      <c r="B149" s="2" t="s">
        <v>243</v>
      </c>
      <c r="C149" s="2" t="s">
        <v>564</v>
      </c>
      <c r="D149" s="2" t="s">
        <v>404</v>
      </c>
      <c r="E149" s="2" t="s">
        <v>475</v>
      </c>
      <c r="F149" s="2"/>
      <c r="G149" s="2"/>
      <c r="H149" s="2"/>
    </row>
    <row r="150" spans="1:8" x14ac:dyDescent="0.25">
      <c r="A150" s="8">
        <v>149</v>
      </c>
      <c r="B150" s="2" t="s">
        <v>205</v>
      </c>
      <c r="C150" s="2" t="s">
        <v>563</v>
      </c>
      <c r="D150" s="2" t="s">
        <v>399</v>
      </c>
      <c r="E150" s="2" t="s">
        <v>477</v>
      </c>
      <c r="F150" s="2"/>
      <c r="G150" s="2"/>
      <c r="H150" s="2"/>
    </row>
    <row r="151" spans="1:8" x14ac:dyDescent="0.25">
      <c r="A151" s="8">
        <v>150</v>
      </c>
      <c r="B151" s="2" t="s">
        <v>205</v>
      </c>
      <c r="C151" s="2" t="s">
        <v>563</v>
      </c>
      <c r="D151" s="2" t="s">
        <v>399</v>
      </c>
      <c r="E151" s="2" t="s">
        <v>478</v>
      </c>
      <c r="F151" s="2"/>
      <c r="G151" s="2"/>
      <c r="H151" s="2"/>
    </row>
    <row r="152" spans="1:8" x14ac:dyDescent="0.25">
      <c r="A152" s="8">
        <v>151</v>
      </c>
      <c r="B152" s="2" t="s">
        <v>225</v>
      </c>
      <c r="C152" s="2" t="s">
        <v>565</v>
      </c>
      <c r="D152" s="2" t="s">
        <v>479</v>
      </c>
      <c r="E152" s="2" t="s">
        <v>480</v>
      </c>
      <c r="F152" s="2"/>
      <c r="G152" s="2"/>
      <c r="H152" s="2"/>
    </row>
    <row r="153" spans="1:8" x14ac:dyDescent="0.25">
      <c r="A153" s="8">
        <v>152</v>
      </c>
      <c r="B153" s="2" t="s">
        <v>225</v>
      </c>
      <c r="C153" s="2" t="s">
        <v>565</v>
      </c>
      <c r="D153" s="2" t="s">
        <v>481</v>
      </c>
      <c r="E153" s="2" t="s">
        <v>482</v>
      </c>
      <c r="F153" s="2"/>
      <c r="G153" s="2"/>
      <c r="H153" s="2"/>
    </row>
    <row r="154" spans="1:8" x14ac:dyDescent="0.25">
      <c r="A154" s="8">
        <v>153</v>
      </c>
      <c r="B154" s="2" t="s">
        <v>225</v>
      </c>
      <c r="C154" s="2" t="s">
        <v>565</v>
      </c>
      <c r="D154" s="2" t="s">
        <v>410</v>
      </c>
      <c r="E154" s="2" t="s">
        <v>440</v>
      </c>
      <c r="F154" s="2"/>
      <c r="G154" s="2"/>
      <c r="H154" s="2"/>
    </row>
    <row r="155" spans="1:8" x14ac:dyDescent="0.25">
      <c r="A155" s="8">
        <v>154</v>
      </c>
      <c r="B155" s="2" t="s">
        <v>225</v>
      </c>
      <c r="C155" s="2" t="s">
        <v>565</v>
      </c>
      <c r="D155" s="2" t="s">
        <v>286</v>
      </c>
      <c r="E155" s="2" t="s">
        <v>363</v>
      </c>
      <c r="F155" s="2"/>
      <c r="G155" s="2"/>
      <c r="H155" s="2"/>
    </row>
    <row r="156" spans="1:8" x14ac:dyDescent="0.25">
      <c r="A156" s="8">
        <v>155</v>
      </c>
      <c r="B156" s="2" t="s">
        <v>225</v>
      </c>
      <c r="C156" s="2" t="s">
        <v>565</v>
      </c>
      <c r="D156" s="2" t="s">
        <v>290</v>
      </c>
      <c r="E156" s="2" t="s">
        <v>364</v>
      </c>
      <c r="F156" s="2"/>
      <c r="G156" s="2"/>
      <c r="H156" s="2"/>
    </row>
    <row r="157" spans="1:8" x14ac:dyDescent="0.25">
      <c r="A157" s="8">
        <v>156</v>
      </c>
      <c r="B157" s="2" t="s">
        <v>225</v>
      </c>
      <c r="C157" s="2" t="s">
        <v>565</v>
      </c>
      <c r="D157" s="2" t="s">
        <v>53</v>
      </c>
      <c r="E157" s="2" t="s">
        <v>441</v>
      </c>
      <c r="F157" s="2"/>
      <c r="G157" s="2"/>
      <c r="H157" s="2"/>
    </row>
    <row r="158" spans="1:8" x14ac:dyDescent="0.25">
      <c r="A158" s="8">
        <v>157</v>
      </c>
      <c r="B158" s="2" t="s">
        <v>225</v>
      </c>
      <c r="C158" s="2" t="s">
        <v>565</v>
      </c>
      <c r="D158" s="2" t="s">
        <v>385</v>
      </c>
      <c r="E158" s="2" t="s">
        <v>441</v>
      </c>
      <c r="F158" s="2"/>
      <c r="G158" s="2"/>
      <c r="H158" s="2"/>
    </row>
    <row r="159" spans="1:8" x14ac:dyDescent="0.25">
      <c r="A159" s="8">
        <v>158</v>
      </c>
      <c r="B159" s="2" t="s">
        <v>225</v>
      </c>
      <c r="C159" s="2" t="s">
        <v>565</v>
      </c>
      <c r="D159" s="2" t="s">
        <v>410</v>
      </c>
      <c r="E159" s="2" t="s">
        <v>411</v>
      </c>
      <c r="F159" s="2"/>
      <c r="G159" s="2"/>
      <c r="H159" s="2"/>
    </row>
    <row r="160" spans="1:8" x14ac:dyDescent="0.25">
      <c r="A160" s="8">
        <v>159</v>
      </c>
      <c r="B160" s="2" t="s">
        <v>225</v>
      </c>
      <c r="C160" s="2" t="s">
        <v>565</v>
      </c>
      <c r="D160" s="2" t="s">
        <v>286</v>
      </c>
      <c r="E160" s="2" t="s">
        <v>366</v>
      </c>
      <c r="F160" s="2"/>
      <c r="G160" s="2"/>
      <c r="H160" s="2"/>
    </row>
    <row r="161" spans="1:8" x14ac:dyDescent="0.25">
      <c r="A161" s="8">
        <v>160</v>
      </c>
      <c r="B161" s="2" t="s">
        <v>225</v>
      </c>
      <c r="C161" s="2" t="s">
        <v>565</v>
      </c>
      <c r="D161" s="2" t="s">
        <v>290</v>
      </c>
      <c r="E161" s="2" t="s">
        <v>367</v>
      </c>
      <c r="F161" s="2"/>
      <c r="G161" s="2"/>
      <c r="H161" s="2"/>
    </row>
    <row r="162" spans="1:8" x14ac:dyDescent="0.25">
      <c r="A162" s="8">
        <v>161</v>
      </c>
      <c r="B162" s="2" t="s">
        <v>225</v>
      </c>
      <c r="C162" s="2" t="s">
        <v>565</v>
      </c>
      <c r="D162" s="2" t="s">
        <v>53</v>
      </c>
      <c r="E162" s="2" t="s">
        <v>412</v>
      </c>
      <c r="F162" s="2"/>
      <c r="G162" s="2"/>
      <c r="H162" s="2"/>
    </row>
    <row r="163" spans="1:8" x14ac:dyDescent="0.25">
      <c r="A163" s="8">
        <v>162</v>
      </c>
      <c r="B163" s="2" t="s">
        <v>225</v>
      </c>
      <c r="C163" s="2" t="s">
        <v>565</v>
      </c>
      <c r="D163" s="2" t="s">
        <v>385</v>
      </c>
      <c r="E163" s="2" t="s">
        <v>412</v>
      </c>
      <c r="F163" s="2"/>
      <c r="G163" s="2"/>
      <c r="H163" s="2"/>
    </row>
    <row r="164" spans="1:8" x14ac:dyDescent="0.25">
      <c r="A164" s="8">
        <v>163</v>
      </c>
      <c r="B164" s="2" t="s">
        <v>225</v>
      </c>
      <c r="C164" s="2" t="s">
        <v>565</v>
      </c>
      <c r="D164" s="2" t="s">
        <v>404</v>
      </c>
      <c r="E164" s="2" t="s">
        <v>483</v>
      </c>
      <c r="F164" s="2"/>
      <c r="G164" s="2"/>
      <c r="H164" s="2"/>
    </row>
    <row r="165" spans="1:8" x14ac:dyDescent="0.25">
      <c r="A165" s="8">
        <v>164</v>
      </c>
      <c r="B165" s="2" t="s">
        <v>225</v>
      </c>
      <c r="C165" s="2" t="s">
        <v>565</v>
      </c>
      <c r="D165" s="2" t="s">
        <v>404</v>
      </c>
      <c r="E165" s="2" t="s">
        <v>484</v>
      </c>
      <c r="F165" s="2"/>
      <c r="G165" s="2"/>
      <c r="H165" s="2"/>
    </row>
    <row r="166" spans="1:8" x14ac:dyDescent="0.25">
      <c r="A166" s="8">
        <v>165</v>
      </c>
      <c r="B166" s="2" t="s">
        <v>199</v>
      </c>
      <c r="C166" s="2" t="s">
        <v>564</v>
      </c>
      <c r="D166" s="2" t="s">
        <v>399</v>
      </c>
      <c r="E166" s="2" t="s">
        <v>408</v>
      </c>
      <c r="F166" s="2"/>
      <c r="G166" s="2"/>
      <c r="H166" s="2"/>
    </row>
    <row r="167" spans="1:8" x14ac:dyDescent="0.25">
      <c r="A167" s="8">
        <v>166</v>
      </c>
      <c r="B167" s="2" t="s">
        <v>199</v>
      </c>
      <c r="C167" s="2" t="s">
        <v>564</v>
      </c>
      <c r="D167" s="2" t="s">
        <v>399</v>
      </c>
      <c r="E167" s="2" t="s">
        <v>478</v>
      </c>
      <c r="F167" s="2"/>
      <c r="G167" s="2"/>
      <c r="H167" s="2"/>
    </row>
    <row r="168" spans="1:8" x14ac:dyDescent="0.25">
      <c r="A168" s="8">
        <v>167</v>
      </c>
      <c r="B168" s="2" t="s">
        <v>248</v>
      </c>
      <c r="C168" s="2" t="s">
        <v>566</v>
      </c>
      <c r="D168" s="2" t="s">
        <v>402</v>
      </c>
      <c r="E168" s="2" t="s">
        <v>424</v>
      </c>
      <c r="F168" s="2"/>
      <c r="G168" s="2"/>
      <c r="H168" s="2"/>
    </row>
    <row r="169" spans="1:8" x14ac:dyDescent="0.25">
      <c r="A169" s="8">
        <v>168</v>
      </c>
      <c r="B169" s="2" t="s">
        <v>248</v>
      </c>
      <c r="C169" s="2" t="s">
        <v>566</v>
      </c>
      <c r="D169" s="2" t="s">
        <v>404</v>
      </c>
      <c r="E169" s="2" t="s">
        <v>470</v>
      </c>
      <c r="F169" s="2"/>
      <c r="G169" s="2"/>
      <c r="H169" s="2"/>
    </row>
    <row r="170" spans="1:8" x14ac:dyDescent="0.25">
      <c r="A170" s="8">
        <v>169</v>
      </c>
      <c r="B170" s="2" t="s">
        <v>248</v>
      </c>
      <c r="C170" s="2" t="s">
        <v>566</v>
      </c>
      <c r="D170" s="2" t="s">
        <v>404</v>
      </c>
      <c r="E170" s="2" t="s">
        <v>475</v>
      </c>
      <c r="F170" s="2"/>
      <c r="G170" s="2"/>
      <c r="H170" s="2"/>
    </row>
    <row r="171" spans="1:8" x14ac:dyDescent="0.25">
      <c r="A171" s="8">
        <v>170</v>
      </c>
      <c r="B171" s="2" t="s">
        <v>248</v>
      </c>
      <c r="C171" s="2" t="s">
        <v>566</v>
      </c>
      <c r="D171" s="2" t="s">
        <v>402</v>
      </c>
      <c r="E171" s="2" t="s">
        <v>476</v>
      </c>
      <c r="F171" s="2"/>
      <c r="G171" s="2"/>
      <c r="H171" s="2"/>
    </row>
    <row r="172" spans="1:8" x14ac:dyDescent="0.25">
      <c r="A172" s="8">
        <v>171</v>
      </c>
      <c r="B172" s="2" t="s">
        <v>244</v>
      </c>
      <c r="C172" s="2" t="s">
        <v>567</v>
      </c>
      <c r="D172" s="2" t="s">
        <v>402</v>
      </c>
      <c r="E172" s="2" t="s">
        <v>424</v>
      </c>
      <c r="F172" s="2"/>
      <c r="G172" s="2"/>
      <c r="H172" s="2"/>
    </row>
    <row r="173" spans="1:8" x14ac:dyDescent="0.25">
      <c r="A173" s="8">
        <v>172</v>
      </c>
      <c r="B173" s="2" t="s">
        <v>244</v>
      </c>
      <c r="C173" s="2" t="s">
        <v>567</v>
      </c>
      <c r="D173" s="2" t="s">
        <v>399</v>
      </c>
      <c r="E173" s="2" t="s">
        <v>427</v>
      </c>
      <c r="F173" s="2"/>
      <c r="G173" s="2"/>
      <c r="H173" s="2"/>
    </row>
    <row r="174" spans="1:8" x14ac:dyDescent="0.25">
      <c r="A174" s="8">
        <v>173</v>
      </c>
      <c r="B174" s="2" t="s">
        <v>244</v>
      </c>
      <c r="C174" s="2" t="s">
        <v>567</v>
      </c>
      <c r="D174" s="2" t="s">
        <v>404</v>
      </c>
      <c r="E174" s="2" t="s">
        <v>470</v>
      </c>
      <c r="F174" s="2"/>
      <c r="G174" s="2"/>
      <c r="H174" s="2"/>
    </row>
    <row r="175" spans="1:8" x14ac:dyDescent="0.25">
      <c r="A175" s="8">
        <v>174</v>
      </c>
      <c r="B175" s="2" t="s">
        <v>244</v>
      </c>
      <c r="C175" s="2" t="s">
        <v>567</v>
      </c>
      <c r="D175" s="2" t="s">
        <v>404</v>
      </c>
      <c r="E175" s="2" t="s">
        <v>475</v>
      </c>
      <c r="F175" s="2"/>
      <c r="G175" s="2"/>
      <c r="H175" s="2"/>
    </row>
    <row r="176" spans="1:8" x14ac:dyDescent="0.25">
      <c r="A176" s="8">
        <v>175</v>
      </c>
      <c r="B176" s="2" t="s">
        <v>244</v>
      </c>
      <c r="C176" s="2" t="s">
        <v>567</v>
      </c>
      <c r="D176" s="2" t="s">
        <v>399</v>
      </c>
      <c r="E176" s="2" t="s">
        <v>474</v>
      </c>
      <c r="F176" s="2"/>
      <c r="G176" s="2"/>
      <c r="H176" s="2"/>
    </row>
    <row r="177" spans="1:8" x14ac:dyDescent="0.25">
      <c r="A177" s="8">
        <v>176</v>
      </c>
      <c r="B177" s="2" t="s">
        <v>244</v>
      </c>
      <c r="C177" s="2" t="s">
        <v>567</v>
      </c>
      <c r="D177" s="2" t="s">
        <v>402</v>
      </c>
      <c r="E177" s="2" t="s">
        <v>473</v>
      </c>
      <c r="F177" s="2"/>
      <c r="G177" s="2"/>
      <c r="H177" s="2"/>
    </row>
    <row r="178" spans="1:8" x14ac:dyDescent="0.25">
      <c r="A178" s="8">
        <v>177</v>
      </c>
      <c r="B178" s="2" t="s">
        <v>181</v>
      </c>
      <c r="C178" s="2" t="s">
        <v>565</v>
      </c>
      <c r="D178" s="2" t="s">
        <v>481</v>
      </c>
      <c r="E178" s="2" t="s">
        <v>482</v>
      </c>
      <c r="F178" s="2"/>
      <c r="G178" s="2"/>
      <c r="H178" s="2"/>
    </row>
    <row r="179" spans="1:8" x14ac:dyDescent="0.25">
      <c r="A179" s="8">
        <v>178</v>
      </c>
      <c r="B179" s="2" t="s">
        <v>181</v>
      </c>
      <c r="C179" s="2" t="s">
        <v>565</v>
      </c>
      <c r="D179" s="2" t="s">
        <v>479</v>
      </c>
      <c r="E179" s="2" t="s">
        <v>480</v>
      </c>
      <c r="F179" s="2"/>
      <c r="G179" s="2"/>
      <c r="H179" s="2"/>
    </row>
    <row r="180" spans="1:8" x14ac:dyDescent="0.25">
      <c r="A180" s="8">
        <v>179</v>
      </c>
      <c r="B180" s="2" t="s">
        <v>181</v>
      </c>
      <c r="C180" s="2" t="s">
        <v>565</v>
      </c>
      <c r="D180" s="2" t="s">
        <v>286</v>
      </c>
      <c r="E180" s="2" t="s">
        <v>363</v>
      </c>
      <c r="F180" s="2"/>
      <c r="G180" s="2"/>
      <c r="H180" s="2"/>
    </row>
    <row r="181" spans="1:8" x14ac:dyDescent="0.25">
      <c r="A181" s="8">
        <v>180</v>
      </c>
      <c r="B181" s="2" t="s">
        <v>181</v>
      </c>
      <c r="C181" s="2" t="s">
        <v>565</v>
      </c>
      <c r="D181" s="2" t="s">
        <v>410</v>
      </c>
      <c r="E181" s="2" t="s">
        <v>440</v>
      </c>
      <c r="F181" s="2"/>
      <c r="G181" s="2"/>
      <c r="H181" s="2"/>
    </row>
    <row r="182" spans="1:8" x14ac:dyDescent="0.25">
      <c r="A182" s="8">
        <v>181</v>
      </c>
      <c r="B182" s="2" t="s">
        <v>181</v>
      </c>
      <c r="C182" s="2" t="s">
        <v>565</v>
      </c>
      <c r="D182" s="2" t="s">
        <v>53</v>
      </c>
      <c r="E182" s="2" t="s">
        <v>441</v>
      </c>
      <c r="F182" s="2"/>
      <c r="G182" s="2"/>
      <c r="H182" s="2"/>
    </row>
    <row r="183" spans="1:8" x14ac:dyDescent="0.25">
      <c r="A183" s="8">
        <v>182</v>
      </c>
      <c r="B183" s="2" t="s">
        <v>181</v>
      </c>
      <c r="C183" s="2" t="s">
        <v>565</v>
      </c>
      <c r="D183" s="2" t="s">
        <v>385</v>
      </c>
      <c r="E183" s="2" t="s">
        <v>441</v>
      </c>
      <c r="F183" s="2"/>
      <c r="G183" s="2"/>
      <c r="H183" s="2"/>
    </row>
    <row r="184" spans="1:8" x14ac:dyDescent="0.25">
      <c r="A184" s="8">
        <v>183</v>
      </c>
      <c r="B184" s="2" t="s">
        <v>181</v>
      </c>
      <c r="C184" s="2" t="s">
        <v>565</v>
      </c>
      <c r="D184" s="2" t="s">
        <v>290</v>
      </c>
      <c r="E184" s="2" t="s">
        <v>364</v>
      </c>
      <c r="F184" s="2"/>
      <c r="G184" s="2"/>
      <c r="H184" s="2"/>
    </row>
    <row r="185" spans="1:8" x14ac:dyDescent="0.25">
      <c r="A185" s="8">
        <v>184</v>
      </c>
      <c r="B185" s="2" t="s">
        <v>181</v>
      </c>
      <c r="C185" s="2" t="s">
        <v>565</v>
      </c>
      <c r="D185" s="2" t="s">
        <v>286</v>
      </c>
      <c r="E185" s="2" t="s">
        <v>366</v>
      </c>
      <c r="F185" s="2"/>
      <c r="G185" s="2"/>
      <c r="H185" s="2"/>
    </row>
    <row r="186" spans="1:8" x14ac:dyDescent="0.25">
      <c r="A186" s="8">
        <v>185</v>
      </c>
      <c r="B186" s="2" t="s">
        <v>181</v>
      </c>
      <c r="C186" s="2" t="s">
        <v>565</v>
      </c>
      <c r="D186" s="2" t="s">
        <v>410</v>
      </c>
      <c r="E186" s="2" t="s">
        <v>411</v>
      </c>
      <c r="F186" s="2"/>
      <c r="G186" s="2"/>
      <c r="H186" s="2"/>
    </row>
    <row r="187" spans="1:8" x14ac:dyDescent="0.25">
      <c r="A187" s="8">
        <v>186</v>
      </c>
      <c r="B187" s="2" t="s">
        <v>181</v>
      </c>
      <c r="C187" s="2" t="s">
        <v>565</v>
      </c>
      <c r="D187" s="2" t="s">
        <v>53</v>
      </c>
      <c r="E187" s="2" t="s">
        <v>412</v>
      </c>
      <c r="F187" s="2"/>
      <c r="G187" s="2"/>
      <c r="H187" s="2"/>
    </row>
    <row r="188" spans="1:8" x14ac:dyDescent="0.25">
      <c r="A188" s="8">
        <v>187</v>
      </c>
      <c r="B188" s="2" t="s">
        <v>181</v>
      </c>
      <c r="C188" s="2" t="s">
        <v>565</v>
      </c>
      <c r="D188" s="2" t="s">
        <v>385</v>
      </c>
      <c r="E188" s="2" t="s">
        <v>412</v>
      </c>
      <c r="F188" s="2"/>
      <c r="G188" s="2"/>
      <c r="H188" s="2"/>
    </row>
    <row r="189" spans="1:8" x14ac:dyDescent="0.25">
      <c r="A189" s="8">
        <v>188</v>
      </c>
      <c r="B189" s="2" t="s">
        <v>181</v>
      </c>
      <c r="C189" s="2" t="s">
        <v>565</v>
      </c>
      <c r="D189" s="2" t="s">
        <v>290</v>
      </c>
      <c r="E189" s="2" t="s">
        <v>367</v>
      </c>
      <c r="F189" s="2"/>
      <c r="G189" s="2"/>
      <c r="H189" s="2"/>
    </row>
    <row r="190" spans="1:8" x14ac:dyDescent="0.25">
      <c r="A190" s="8">
        <v>189</v>
      </c>
      <c r="B190" s="2" t="s">
        <v>181</v>
      </c>
      <c r="C190" s="2" t="s">
        <v>565</v>
      </c>
      <c r="D190" s="2" t="s">
        <v>404</v>
      </c>
      <c r="E190" s="2" t="s">
        <v>483</v>
      </c>
      <c r="F190" s="2"/>
      <c r="G190" s="2"/>
      <c r="H190" s="2"/>
    </row>
    <row r="191" spans="1:8" x14ac:dyDescent="0.25">
      <c r="A191" s="8">
        <v>190</v>
      </c>
      <c r="B191" s="2" t="s">
        <v>181</v>
      </c>
      <c r="C191" s="2" t="s">
        <v>565</v>
      </c>
      <c r="D191" s="2" t="s">
        <v>404</v>
      </c>
      <c r="E191" s="2" t="s">
        <v>484</v>
      </c>
      <c r="F191" s="2"/>
      <c r="G191" s="2"/>
      <c r="H19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C6DA-B893-4C6B-9B2A-E3685DE93643}">
  <dimension ref="A1:C124"/>
  <sheetViews>
    <sheetView workbookViewId="0">
      <selection activeCell="A15" sqref="A15"/>
    </sheetView>
  </sheetViews>
  <sheetFormatPr defaultRowHeight="15" x14ac:dyDescent="0.25"/>
  <cols>
    <col min="1" max="1" width="41.5703125" bestFit="1" customWidth="1"/>
    <col min="2" max="2" width="93.140625" bestFit="1" customWidth="1"/>
    <col min="3" max="3" width="54.5703125" bestFit="1" customWidth="1"/>
  </cols>
  <sheetData>
    <row r="1" spans="1:3" x14ac:dyDescent="0.25">
      <c r="A1" s="1" t="s">
        <v>38</v>
      </c>
      <c r="B1" s="1" t="s">
        <v>39</v>
      </c>
    </row>
    <row r="2" spans="1:3" x14ac:dyDescent="0.25">
      <c r="A2" s="8" t="s">
        <v>59</v>
      </c>
      <c r="B2" s="8" t="s">
        <v>522</v>
      </c>
      <c r="C2" s="8" t="str">
        <f>MID(B2, FIND("en"":""", B2) + 5, FIND(""",""vi", B2) - (FIND("en"":""", B2) + 5))</f>
        <v>Update deposit account</v>
      </c>
    </row>
    <row r="3" spans="1:3" x14ac:dyDescent="0.25">
      <c r="A3" s="8" t="s">
        <v>60</v>
      </c>
      <c r="B3" s="8" t="s">
        <v>61</v>
      </c>
      <c r="C3" s="8" t="str">
        <f t="shared" ref="C3:C66" si="0">MID(B3, FIND("en"":""", B3) + 5, FIND(""",""vi", B3) - (FIND("en"":""", B3) + 5))</f>
        <v>FX accounting - deposit</v>
      </c>
    </row>
    <row r="4" spans="1:3" x14ac:dyDescent="0.25">
      <c r="A4" s="8" t="s">
        <v>62</v>
      </c>
      <c r="B4" s="8" t="s">
        <v>63</v>
      </c>
      <c r="C4" s="8" t="str">
        <f t="shared" si="0"/>
        <v>5572: Fee collection by deposit</v>
      </c>
    </row>
    <row r="5" spans="1:3" x14ac:dyDescent="0.25">
      <c r="A5" s="8" t="s">
        <v>64</v>
      </c>
      <c r="B5" s="8" t="s">
        <v>65</v>
      </c>
      <c r="C5" s="8" t="str">
        <f t="shared" si="0"/>
        <v>5513: Principal and interest collection by transfer</v>
      </c>
    </row>
    <row r="6" spans="1:3" x14ac:dyDescent="0.25">
      <c r="A6" s="8" t="s">
        <v>66</v>
      </c>
      <c r="B6" s="8" t="s">
        <v>67</v>
      </c>
      <c r="C6" s="8" t="str">
        <f t="shared" si="0"/>
        <v>55721: Ree refund by transfer</v>
      </c>
    </row>
    <row r="7" spans="1:3" x14ac:dyDescent="0.25">
      <c r="A7" s="8" t="s">
        <v>68</v>
      </c>
      <c r="B7" s="8" t="s">
        <v>69</v>
      </c>
      <c r="C7" s="8" t="str">
        <f t="shared" si="0"/>
        <v>5523: Disbursement by transfer</v>
      </c>
    </row>
    <row r="8" spans="1:3" x14ac:dyDescent="0.25">
      <c r="A8" s="8" t="s">
        <v>70</v>
      </c>
      <c r="B8" s="8" t="s">
        <v>71</v>
      </c>
      <c r="C8" s="8" t="str">
        <f t="shared" si="0"/>
        <v>FX cash - Deposit</v>
      </c>
    </row>
    <row r="9" spans="1:3" x14ac:dyDescent="0.25">
      <c r="A9" s="8" t="s">
        <v>72</v>
      </c>
      <c r="B9" s="8" t="s">
        <v>73</v>
      </c>
      <c r="C9" s="8" t="str">
        <f t="shared" si="0"/>
        <v>FX deposit - accounting</v>
      </c>
    </row>
    <row r="10" spans="1:3" x14ac:dyDescent="0.25">
      <c r="A10" s="8" t="s">
        <v>74</v>
      </c>
      <c r="B10" s="8" t="s">
        <v>75</v>
      </c>
      <c r="C10" s="8" t="str">
        <f t="shared" si="0"/>
        <v>Approve deposit account</v>
      </c>
    </row>
    <row r="11" spans="1:3" x14ac:dyDescent="0.25">
      <c r="A11" s="8" t="s">
        <v>76</v>
      </c>
      <c r="B11" s="8" t="s">
        <v>77</v>
      </c>
      <c r="C11" s="8" t="str">
        <f t="shared" si="0"/>
        <v>11840: Block account</v>
      </c>
    </row>
    <row r="12" spans="1:3" x14ac:dyDescent="0.25">
      <c r="A12" s="8" t="s">
        <v>78</v>
      </c>
      <c r="B12" s="8" t="s">
        <v>79</v>
      </c>
      <c r="C12" s="8" t="str">
        <f t="shared" si="0"/>
        <v>11841: Change account status</v>
      </c>
    </row>
    <row r="13" spans="1:3" x14ac:dyDescent="0.25">
      <c r="A13" s="8" t="s">
        <v>80</v>
      </c>
      <c r="B13" s="8" t="s">
        <v>81</v>
      </c>
      <c r="C13" s="8" t="str">
        <f t="shared" si="0"/>
        <v>11806: Gift cheque issued</v>
      </c>
    </row>
    <row r="14" spans="1:3" x14ac:dyDescent="0.25">
      <c r="A14" s="8" t="s">
        <v>82</v>
      </c>
      <c r="B14" s="8" t="s">
        <v>83</v>
      </c>
      <c r="C14" s="8" t="str">
        <f t="shared" si="0"/>
        <v>11807: Gift Cheque withdrawal</v>
      </c>
    </row>
    <row r="15" spans="1:3" x14ac:dyDescent="0.25">
      <c r="A15" s="8" t="s">
        <v>84</v>
      </c>
      <c r="B15" s="8" t="s">
        <v>85</v>
      </c>
      <c r="C15" s="8" t="str">
        <f t="shared" si="0"/>
        <v>1110: Cash deposit</v>
      </c>
    </row>
    <row r="16" spans="1:3" x14ac:dyDescent="0.25">
      <c r="A16" s="8" t="s">
        <v>86</v>
      </c>
      <c r="B16" s="8" t="s">
        <v>87</v>
      </c>
      <c r="C16" s="8" t="str">
        <f t="shared" si="0"/>
        <v>1111: Deposit by cheque</v>
      </c>
    </row>
    <row r="17" spans="1:3" x14ac:dyDescent="0.25">
      <c r="A17" s="8" t="s">
        <v>88</v>
      </c>
      <c r="B17" s="8" t="s">
        <v>89</v>
      </c>
      <c r="C17" s="8" t="str">
        <f t="shared" si="0"/>
        <v>11850: Issued hold balance for cheque</v>
      </c>
    </row>
    <row r="18" spans="1:3" x14ac:dyDescent="0.25">
      <c r="A18" s="8" t="s">
        <v>90</v>
      </c>
      <c r="B18" s="8" t="s">
        <v>91</v>
      </c>
      <c r="C18" s="8" t="str">
        <f t="shared" si="0"/>
        <v>11803: Fixed deposit receipt issued</v>
      </c>
    </row>
    <row r="19" spans="1:3" x14ac:dyDescent="0.25">
      <c r="A19" s="8" t="s">
        <v>92</v>
      </c>
      <c r="B19" s="8" t="s">
        <v>93</v>
      </c>
      <c r="C19" s="8" t="str">
        <f t="shared" si="0"/>
        <v>1140: Interest payment by cash</v>
      </c>
    </row>
    <row r="20" spans="1:3" x14ac:dyDescent="0.25">
      <c r="A20" s="8" t="s">
        <v>94</v>
      </c>
      <c r="B20" s="8" t="s">
        <v>95</v>
      </c>
      <c r="C20" s="8" t="str">
        <f t="shared" si="0"/>
        <v>11801: Cheque book issued</v>
      </c>
    </row>
    <row r="21" spans="1:3" x14ac:dyDescent="0.25">
      <c r="A21" s="8" t="s">
        <v>96</v>
      </c>
      <c r="B21" s="8" t="s">
        <v>97</v>
      </c>
      <c r="C21" s="8" t="str">
        <f t="shared" si="0"/>
        <v>1193: Close deposit account</v>
      </c>
    </row>
    <row r="22" spans="1:3" x14ac:dyDescent="0.25">
      <c r="A22" s="8" t="s">
        <v>98</v>
      </c>
      <c r="B22" s="8" t="s">
        <v>99</v>
      </c>
      <c r="C22" s="8" t="str">
        <f t="shared" si="0"/>
        <v>FX deposit - cash</v>
      </c>
    </row>
    <row r="23" spans="1:3" x14ac:dyDescent="0.25">
      <c r="A23" s="8" t="s">
        <v>100</v>
      </c>
      <c r="B23" s="8" t="s">
        <v>101</v>
      </c>
      <c r="C23" s="8" t="str">
        <f t="shared" si="0"/>
        <v>11837: Change status of stock</v>
      </c>
    </row>
    <row r="24" spans="1:3" x14ac:dyDescent="0.25">
      <c r="A24" s="8" t="s">
        <v>102</v>
      </c>
      <c r="B24" s="8" t="s">
        <v>103</v>
      </c>
      <c r="C24" s="8" t="str">
        <f t="shared" si="0"/>
        <v>1121: Cash withdrawal by cheque</v>
      </c>
    </row>
    <row r="25" spans="1:3" x14ac:dyDescent="0.25">
      <c r="A25" s="8" t="s">
        <v>104</v>
      </c>
      <c r="B25" s="8" t="s">
        <v>105</v>
      </c>
      <c r="C25" s="8" t="str">
        <f t="shared" si="0"/>
        <v>1125: Misellaneous debit by cheque</v>
      </c>
    </row>
    <row r="26" spans="1:3" x14ac:dyDescent="0.25">
      <c r="A26" s="8" t="s">
        <v>106</v>
      </c>
      <c r="B26" s="8" t="s">
        <v>107</v>
      </c>
      <c r="C26" s="8" t="str">
        <f t="shared" si="0"/>
        <v>1120: Cash withdrawal</v>
      </c>
    </row>
    <row r="27" spans="1:3" x14ac:dyDescent="0.25">
      <c r="A27" s="8" t="s">
        <v>108</v>
      </c>
      <c r="B27" s="8" t="s">
        <v>109</v>
      </c>
      <c r="C27" s="8" t="str">
        <f t="shared" si="0"/>
        <v>1141: Interest payment to deposit account</v>
      </c>
    </row>
    <row r="28" spans="1:3" x14ac:dyDescent="0.25">
      <c r="A28" s="8" t="s">
        <v>110</v>
      </c>
      <c r="B28" s="8" t="s">
        <v>111</v>
      </c>
      <c r="C28" s="8" t="str">
        <f t="shared" si="0"/>
        <v>1190: Close deposit account by deposit</v>
      </c>
    </row>
    <row r="29" spans="1:3" x14ac:dyDescent="0.25">
      <c r="A29" s="8" t="s">
        <v>112</v>
      </c>
      <c r="B29" s="8" t="s">
        <v>113</v>
      </c>
      <c r="C29" s="8" t="str">
        <f t="shared" si="0"/>
        <v>FX deposit- deposit</v>
      </c>
    </row>
    <row r="30" spans="1:3" x14ac:dyDescent="0.25">
      <c r="A30" s="8" t="s">
        <v>114</v>
      </c>
      <c r="B30" s="8" t="s">
        <v>115</v>
      </c>
      <c r="C30" s="8" t="str">
        <f t="shared" si="0"/>
        <v>1180:Hold balance</v>
      </c>
    </row>
    <row r="31" spans="1:3" x14ac:dyDescent="0.25">
      <c r="A31" s="8" t="s">
        <v>116</v>
      </c>
      <c r="B31" s="8" t="s">
        <v>117</v>
      </c>
      <c r="C31" s="8" t="str">
        <f t="shared" si="0"/>
        <v>11851:Release hold balance</v>
      </c>
    </row>
    <row r="32" spans="1:3" x14ac:dyDescent="0.25">
      <c r="A32" s="8" t="s">
        <v>118</v>
      </c>
      <c r="B32" s="8" t="s">
        <v>119</v>
      </c>
      <c r="C32" s="8" t="str">
        <f t="shared" si="0"/>
        <v>1185: Fee collection by transfer</v>
      </c>
    </row>
    <row r="33" spans="1:3" x14ac:dyDescent="0.25">
      <c r="A33" s="8" t="s">
        <v>120</v>
      </c>
      <c r="B33" s="8" t="s">
        <v>121</v>
      </c>
      <c r="C33" s="8" t="str">
        <f t="shared" si="0"/>
        <v>1184: Fee collection by cash for DD</v>
      </c>
    </row>
    <row r="34" spans="1:3" x14ac:dyDescent="0.25">
      <c r="A34" s="8" t="s">
        <v>122</v>
      </c>
      <c r="B34" s="8" t="s">
        <v>123</v>
      </c>
      <c r="C34" s="8" t="str">
        <f t="shared" si="0"/>
        <v>1169: Adjust deposit interest</v>
      </c>
    </row>
    <row r="35" spans="1:3" x14ac:dyDescent="0.25">
      <c r="A35" s="8" t="s">
        <v>124</v>
      </c>
      <c r="B35" s="8" t="s">
        <v>125</v>
      </c>
      <c r="C35" s="8" t="str">
        <f t="shared" si="0"/>
        <v>1112: Miscellaneous deposit</v>
      </c>
    </row>
    <row r="36" spans="1:3" x14ac:dyDescent="0.25">
      <c r="A36" s="8" t="s">
        <v>126</v>
      </c>
      <c r="B36" s="8" t="s">
        <v>127</v>
      </c>
      <c r="C36" s="8" t="str">
        <f t="shared" si="0"/>
        <v>1142: Miscellaneous interest payment</v>
      </c>
    </row>
    <row r="37" spans="1:3" x14ac:dyDescent="0.25">
      <c r="A37" s="8" t="s">
        <v>128</v>
      </c>
      <c r="B37" s="8" t="s">
        <v>129</v>
      </c>
      <c r="C37" s="8" t="str">
        <f t="shared" si="0"/>
        <v>1191: Close deposit account by miscellaneous</v>
      </c>
    </row>
    <row r="38" spans="1:3" x14ac:dyDescent="0.25">
      <c r="A38" s="8" t="s">
        <v>130</v>
      </c>
      <c r="B38" s="8" t="s">
        <v>131</v>
      </c>
      <c r="C38" s="8" t="str">
        <f t="shared" si="0"/>
        <v>1122: Miscellaneous withdrawal</v>
      </c>
    </row>
    <row r="39" spans="1:3" x14ac:dyDescent="0.25">
      <c r="A39" s="8" t="s">
        <v>132</v>
      </c>
      <c r="B39" s="8" t="s">
        <v>133</v>
      </c>
      <c r="C39" s="8" t="str">
        <f t="shared" si="0"/>
        <v>1100: Open new deposit account</v>
      </c>
    </row>
    <row r="40" spans="1:3" x14ac:dyDescent="0.25">
      <c r="A40" s="2" t="s">
        <v>134</v>
      </c>
      <c r="B40" s="2" t="s">
        <v>135</v>
      </c>
      <c r="C40" s="8" t="str">
        <f t="shared" si="0"/>
        <v>11852:Release hold balance for cheque</v>
      </c>
    </row>
    <row r="41" spans="1:3" x14ac:dyDescent="0.25">
      <c r="A41" s="2" t="s">
        <v>136</v>
      </c>
      <c r="B41" s="2" t="s">
        <v>137</v>
      </c>
      <c r="C41" s="8" t="str">
        <f t="shared" si="0"/>
        <v>11843: Release block account</v>
      </c>
    </row>
    <row r="42" spans="1:3" x14ac:dyDescent="0.25">
      <c r="A42" s="2" t="s">
        <v>138</v>
      </c>
      <c r="B42" s="2" t="s">
        <v>139</v>
      </c>
      <c r="C42" s="8" t="str">
        <f t="shared" si="0"/>
        <v>11802: Deposit saving book issue</v>
      </c>
    </row>
    <row r="43" spans="1:3" x14ac:dyDescent="0.25">
      <c r="A43" s="2" t="s">
        <v>140</v>
      </c>
      <c r="B43" s="2" t="s">
        <v>141</v>
      </c>
      <c r="C43" s="8" t="str">
        <f t="shared" si="0"/>
        <v>1130: Transfer from deposit account to deposit account</v>
      </c>
    </row>
    <row r="44" spans="1:3" x14ac:dyDescent="0.25">
      <c r="A44" s="2" t="s">
        <v>142</v>
      </c>
      <c r="B44" s="2" t="s">
        <v>143</v>
      </c>
      <c r="C44" s="8" t="str">
        <f t="shared" si="0"/>
        <v>Purchase fixed asset by deposit</v>
      </c>
    </row>
    <row r="45" spans="1:3" x14ac:dyDescent="0.25">
      <c r="A45" s="2" t="s">
        <v>144</v>
      </c>
      <c r="B45" s="2" t="s">
        <v>145</v>
      </c>
      <c r="C45" s="8" t="str">
        <f t="shared" si="0"/>
        <v>Selling fixed asset by deposit</v>
      </c>
    </row>
    <row r="46" spans="1:3" x14ac:dyDescent="0.25">
      <c r="A46" s="2" t="s">
        <v>146</v>
      </c>
      <c r="B46" s="2" t="s">
        <v>147</v>
      </c>
      <c r="C46" s="8" t="str">
        <f t="shared" si="0"/>
        <v>6610: Inward internal bank</v>
      </c>
    </row>
    <row r="47" spans="1:3" x14ac:dyDescent="0.25">
      <c r="A47" s="2" t="s">
        <v>148</v>
      </c>
      <c r="B47" s="2" t="s">
        <v>149</v>
      </c>
      <c r="C47" s="8" t="str">
        <f t="shared" si="0"/>
        <v>6612: Inward international bank</v>
      </c>
    </row>
    <row r="48" spans="1:3" x14ac:dyDescent="0.25">
      <c r="A48" s="2" t="s">
        <v>150</v>
      </c>
      <c r="B48" s="2" t="s">
        <v>151</v>
      </c>
      <c r="C48" s="8" t="str">
        <f t="shared" si="0"/>
        <v>6600: Outward internal bank</v>
      </c>
    </row>
    <row r="49" spans="1:3" x14ac:dyDescent="0.25">
      <c r="A49" s="2" t="s">
        <v>152</v>
      </c>
      <c r="B49" s="2" t="s">
        <v>153</v>
      </c>
      <c r="C49" s="8" t="str">
        <f t="shared" si="0"/>
        <v>6602: Outward international bank</v>
      </c>
    </row>
    <row r="50" spans="1:3" x14ac:dyDescent="0.25">
      <c r="A50" s="2" t="s">
        <v>154</v>
      </c>
      <c r="B50" s="2" t="s">
        <v>155</v>
      </c>
      <c r="C50" s="8" t="str">
        <f t="shared" si="0"/>
        <v>11808: Gift cheque return</v>
      </c>
    </row>
    <row r="51" spans="1:3" x14ac:dyDescent="0.25">
      <c r="A51" s="2" t="s">
        <v>156</v>
      </c>
      <c r="B51" s="2" t="s">
        <v>157</v>
      </c>
      <c r="C51" s="8" t="str">
        <f t="shared" si="0"/>
        <v>11816: Payment order issued</v>
      </c>
    </row>
    <row r="52" spans="1:3" x14ac:dyDescent="0.25">
      <c r="A52" s="2" t="s">
        <v>158</v>
      </c>
      <c r="B52" s="2" t="s">
        <v>159</v>
      </c>
      <c r="C52" s="8" t="str">
        <f t="shared" si="0"/>
        <v>11804: Fixed deposit book issue</v>
      </c>
    </row>
    <row r="53" spans="1:3" x14ac:dyDescent="0.25">
      <c r="A53" s="2" t="s">
        <v>160</v>
      </c>
      <c r="B53" s="2" t="s">
        <v>161</v>
      </c>
      <c r="C53" s="8" t="str">
        <f t="shared" si="0"/>
        <v>11817: Payment order withdrawal</v>
      </c>
    </row>
    <row r="54" spans="1:3" x14ac:dyDescent="0.25">
      <c r="A54" s="2" t="s">
        <v>162</v>
      </c>
      <c r="B54" s="2" t="s">
        <v>163</v>
      </c>
      <c r="C54" s="8" t="str">
        <f t="shared" si="0"/>
        <v>11818: Payment order return</v>
      </c>
    </row>
    <row r="55" spans="1:3" x14ac:dyDescent="0.25">
      <c r="A55" s="2" t="s">
        <v>164</v>
      </c>
      <c r="B55" s="2" t="s">
        <v>521</v>
      </c>
      <c r="C55" s="8" t="str">
        <f t="shared" si="0"/>
        <v>DPT_GET_ACCOUNT_INFO</v>
      </c>
    </row>
    <row r="56" spans="1:3" x14ac:dyDescent="0.25">
      <c r="A56" s="2" t="s">
        <v>165</v>
      </c>
      <c r="B56" s="2" t="s">
        <v>518</v>
      </c>
      <c r="C56" s="8" t="str">
        <f t="shared" si="0"/>
        <v>Insert deposit catalog</v>
      </c>
    </row>
    <row r="57" spans="1:3" x14ac:dyDescent="0.25">
      <c r="A57" s="2" t="s">
        <v>166</v>
      </c>
      <c r="B57" s="2" t="s">
        <v>519</v>
      </c>
      <c r="C57" s="8" t="str">
        <f t="shared" si="0"/>
        <v>Update account linkage</v>
      </c>
    </row>
    <row r="58" spans="1:3" x14ac:dyDescent="0.25">
      <c r="A58" s="2" t="s">
        <v>167</v>
      </c>
      <c r="B58" s="2" t="s">
        <v>520</v>
      </c>
      <c r="C58" s="8" t="str">
        <f t="shared" si="0"/>
        <v>Update deposit catalog</v>
      </c>
    </row>
    <row r="59" spans="1:3" x14ac:dyDescent="0.25">
      <c r="A59" s="2" t="s">
        <v>168</v>
      </c>
      <c r="B59" s="2" t="s">
        <v>514</v>
      </c>
      <c r="C59" s="8" t="str">
        <f t="shared" si="0"/>
        <v>DPT-Account Linkage-Add</v>
      </c>
    </row>
    <row r="60" spans="1:3" x14ac:dyDescent="0.25">
      <c r="A60" s="2" t="s">
        <v>169</v>
      </c>
      <c r="B60" s="2" t="s">
        <v>170</v>
      </c>
      <c r="C60" s="8" t="str">
        <f t="shared" si="0"/>
        <v>1101: Create overdraft contract</v>
      </c>
    </row>
    <row r="61" spans="1:3" x14ac:dyDescent="0.25">
      <c r="A61" s="2" t="s">
        <v>171</v>
      </c>
      <c r="B61" s="2" t="s">
        <v>172</v>
      </c>
      <c r="C61" s="8" t="str">
        <f t="shared" si="0"/>
        <v>DPT_REJ: Reject deposit account</v>
      </c>
    </row>
    <row r="62" spans="1:3" x14ac:dyDescent="0.25">
      <c r="A62" s="2" t="s">
        <v>173</v>
      </c>
      <c r="B62" s="2" t="s">
        <v>174</v>
      </c>
      <c r="C62" s="8" t="str">
        <f t="shared" si="0"/>
        <v>1195: Close OD Facility by Cash</v>
      </c>
    </row>
    <row r="63" spans="1:3" x14ac:dyDescent="0.25">
      <c r="A63" s="2" t="s">
        <v>175</v>
      </c>
      <c r="B63" s="2" t="s">
        <v>176</v>
      </c>
      <c r="C63" s="8" t="str">
        <f t="shared" si="0"/>
        <v>1196: Close OD Facility by GL</v>
      </c>
    </row>
    <row r="64" spans="1:3" x14ac:dyDescent="0.25">
      <c r="A64" s="2" t="s">
        <v>177</v>
      </c>
      <c r="B64" s="2" t="s">
        <v>178</v>
      </c>
      <c r="C64" s="8" t="str">
        <f t="shared" si="0"/>
        <v>Get Account Statement for CardZone</v>
      </c>
    </row>
    <row r="65" spans="1:3" x14ac:dyDescent="0.25">
      <c r="A65" s="2" t="s">
        <v>179</v>
      </c>
      <c r="B65" s="2" t="s">
        <v>180</v>
      </c>
      <c r="C65" s="8" t="str">
        <f t="shared" si="0"/>
        <v>Get deposit balance inquiry for CardZone</v>
      </c>
    </row>
    <row r="66" spans="1:3" x14ac:dyDescent="0.25">
      <c r="A66" s="2" t="s">
        <v>181</v>
      </c>
      <c r="B66" s="2" t="s">
        <v>182</v>
      </c>
      <c r="C66" s="8" t="str">
        <f t="shared" si="0"/>
        <v>Transfer deposit to deposit Momoney</v>
      </c>
    </row>
    <row r="67" spans="1:3" x14ac:dyDescent="0.25">
      <c r="A67" s="2" t="s">
        <v>183</v>
      </c>
      <c r="B67" s="2" t="s">
        <v>184</v>
      </c>
      <c r="C67" s="8" t="str">
        <f t="shared" ref="C67:C124" si="1">MID(B67, FIND("en"":""", B67) + 5, FIND(""",""vi", B67) - (FIND("en"":""", B67) + 5))</f>
        <v>Fund transfer</v>
      </c>
    </row>
    <row r="68" spans="1:3" x14ac:dyDescent="0.25">
      <c r="A68" s="2" t="s">
        <v>185</v>
      </c>
      <c r="B68" s="2" t="s">
        <v>186</v>
      </c>
      <c r="C68" s="8" t="str">
        <f t="shared" si="1"/>
        <v>Batch transfer</v>
      </c>
    </row>
    <row r="69" spans="1:3" x14ac:dyDescent="0.25">
      <c r="A69" s="2" t="s">
        <v>187</v>
      </c>
      <c r="B69" s="2" t="s">
        <v>188</v>
      </c>
      <c r="C69" s="8" t="str">
        <f t="shared" si="1"/>
        <v>Fund transfer Paygate</v>
      </c>
    </row>
    <row r="70" spans="1:3" x14ac:dyDescent="0.25">
      <c r="A70" s="2" t="s">
        <v>189</v>
      </c>
      <c r="B70" s="2" t="s">
        <v>190</v>
      </c>
      <c r="C70" s="8" t="str">
        <f t="shared" si="1"/>
        <v>Miscellaneous withdrawal sale 1 Cardzone</v>
      </c>
    </row>
    <row r="71" spans="1:3" x14ac:dyDescent="0.25">
      <c r="A71" s="2" t="s">
        <v>191</v>
      </c>
      <c r="B71" s="2" t="s">
        <v>192</v>
      </c>
      <c r="C71" s="8" t="str">
        <f t="shared" si="1"/>
        <v>Miscellaneous withdrawal sale 2 Cardzone</v>
      </c>
    </row>
    <row r="72" spans="1:3" x14ac:dyDescent="0.25">
      <c r="A72" s="2" t="s">
        <v>193</v>
      </c>
      <c r="B72" s="2" t="s">
        <v>194</v>
      </c>
      <c r="C72" s="8" t="str">
        <f t="shared" si="1"/>
        <v>Miscellaneous withdrawal top-up Cardzone</v>
      </c>
    </row>
    <row r="73" spans="1:3" x14ac:dyDescent="0.25">
      <c r="A73" s="2" t="s">
        <v>195</v>
      </c>
      <c r="B73" s="2" t="s">
        <v>196</v>
      </c>
      <c r="C73" s="8" t="str">
        <f t="shared" si="1"/>
        <v>Miscellaneous withdrawal IBFT Cardzone</v>
      </c>
    </row>
    <row r="74" spans="1:3" x14ac:dyDescent="0.25">
      <c r="A74" s="2" t="s">
        <v>197</v>
      </c>
      <c r="B74" s="2" t="s">
        <v>198</v>
      </c>
      <c r="C74" s="8" t="str">
        <f t="shared" si="1"/>
        <v>Miscellaneous deposit IBFT Cardzone</v>
      </c>
    </row>
    <row r="75" spans="1:3" x14ac:dyDescent="0.25">
      <c r="A75" s="2" t="s">
        <v>199</v>
      </c>
      <c r="B75" s="2" t="s">
        <v>200</v>
      </c>
      <c r="C75" s="8" t="str">
        <f t="shared" si="1"/>
        <v>Transfer from deposit account to deposit account Cardzone</v>
      </c>
    </row>
    <row r="76" spans="1:3" x14ac:dyDescent="0.25">
      <c r="A76" s="2" t="s">
        <v>201</v>
      </c>
      <c r="B76" s="2" t="s">
        <v>202</v>
      </c>
      <c r="C76" s="8" t="str">
        <f t="shared" si="1"/>
        <v>Miscellaneous withdrawal Cardzone</v>
      </c>
    </row>
    <row r="77" spans="1:3" x14ac:dyDescent="0.25">
      <c r="A77" s="2" t="s">
        <v>203</v>
      </c>
      <c r="B77" s="2" t="s">
        <v>204</v>
      </c>
      <c r="C77" s="8" t="str">
        <f t="shared" si="1"/>
        <v>Miscellaneous deposit CardZone</v>
      </c>
    </row>
    <row r="78" spans="1:3" x14ac:dyDescent="0.25">
      <c r="A78" s="2" t="s">
        <v>205</v>
      </c>
      <c r="B78" s="2" t="s">
        <v>206</v>
      </c>
      <c r="C78" s="8" t="str">
        <f t="shared" si="1"/>
        <v>Transfer from deposit account to deposit account CardZone</v>
      </c>
    </row>
    <row r="79" spans="1:3" x14ac:dyDescent="0.25">
      <c r="A79" s="2" t="s">
        <v>207</v>
      </c>
      <c r="B79" s="2" t="s">
        <v>208</v>
      </c>
      <c r="C79" s="8" t="str">
        <f t="shared" si="1"/>
        <v>Miscellaneous deposit VOID1 CardZone</v>
      </c>
    </row>
    <row r="80" spans="1:3" x14ac:dyDescent="0.25">
      <c r="A80" s="2" t="s">
        <v>209</v>
      </c>
      <c r="B80" s="2" t="s">
        <v>210</v>
      </c>
      <c r="C80" s="8" t="str">
        <f t="shared" si="1"/>
        <v>Miscellaneous deposit VOID2 CardZone</v>
      </c>
    </row>
    <row r="81" spans="1:3" x14ac:dyDescent="0.25">
      <c r="A81" s="2" t="s">
        <v>211</v>
      </c>
      <c r="B81" s="2" t="s">
        <v>212</v>
      </c>
      <c r="C81" s="8" t="str">
        <f t="shared" si="1"/>
        <v>1122: Miscellaneous withdrawal Momoney</v>
      </c>
    </row>
    <row r="82" spans="1:3" x14ac:dyDescent="0.25">
      <c r="A82" s="2" t="s">
        <v>213</v>
      </c>
      <c r="B82" s="2" t="s">
        <v>214</v>
      </c>
      <c r="C82" s="8" t="str">
        <f t="shared" si="1"/>
        <v>1122: Miscellaneous deposit Momoney</v>
      </c>
    </row>
    <row r="83" spans="1:3" x14ac:dyDescent="0.25">
      <c r="A83" s="2" t="s">
        <v>215</v>
      </c>
      <c r="B83" s="2" t="s">
        <v>216</v>
      </c>
      <c r="C83" s="8" t="str">
        <f t="shared" si="1"/>
        <v>Miscellaneous withdral MPU</v>
      </c>
    </row>
    <row r="84" spans="1:3" x14ac:dyDescent="0.25">
      <c r="A84" s="2" t="s">
        <v>217</v>
      </c>
      <c r="B84" s="2" t="s">
        <v>218</v>
      </c>
      <c r="C84" s="8" t="str">
        <f t="shared" si="1"/>
        <v>Outward International Digital</v>
      </c>
    </row>
    <row r="85" spans="1:3" x14ac:dyDescent="0.25">
      <c r="A85" s="2" t="s">
        <v>219</v>
      </c>
      <c r="B85" s="2" t="s">
        <v>220</v>
      </c>
      <c r="C85" s="8" t="str">
        <f t="shared" si="1"/>
        <v>Deposit Payment</v>
      </c>
    </row>
    <row r="86" spans="1:3" x14ac:dyDescent="0.25">
      <c r="A86" s="2" t="s">
        <v>221</v>
      </c>
      <c r="B86" s="2" t="s">
        <v>222</v>
      </c>
      <c r="C86" s="8" t="str">
        <f t="shared" si="1"/>
        <v>Payment Cheque</v>
      </c>
    </row>
    <row r="87" spans="1:3" x14ac:dyDescent="0.25">
      <c r="A87" s="2" t="s">
        <v>223</v>
      </c>
      <c r="B87" s="2" t="s">
        <v>224</v>
      </c>
      <c r="C87" s="8" t="str">
        <f t="shared" si="1"/>
        <v>Payment Order</v>
      </c>
    </row>
    <row r="88" spans="1:3" x14ac:dyDescent="0.25">
      <c r="A88" s="2" t="s">
        <v>225</v>
      </c>
      <c r="B88" s="2" t="s">
        <v>182</v>
      </c>
      <c r="C88" s="8" t="str">
        <f t="shared" si="1"/>
        <v>Transfer deposit to deposit Momoney</v>
      </c>
    </row>
    <row r="89" spans="1:3" x14ac:dyDescent="0.25">
      <c r="A89" s="2" t="s">
        <v>226</v>
      </c>
      <c r="B89" s="2" t="s">
        <v>227</v>
      </c>
      <c r="C89" s="8" t="str">
        <f t="shared" si="1"/>
        <v>Miscellaneous deposit CardZone 2 Fee</v>
      </c>
    </row>
    <row r="90" spans="1:3" x14ac:dyDescent="0.25">
      <c r="A90" s="2" t="s">
        <v>228</v>
      </c>
      <c r="B90" s="2" t="s">
        <v>229</v>
      </c>
      <c r="C90" s="8" t="str">
        <f t="shared" si="1"/>
        <v>Miscellaneous withdrawal Cardzone 2 Fee</v>
      </c>
    </row>
    <row r="91" spans="1:3" x14ac:dyDescent="0.25">
      <c r="A91" s="2" t="s">
        <v>230</v>
      </c>
      <c r="B91" s="2" t="s">
        <v>231</v>
      </c>
      <c r="C91" s="8" t="str">
        <f t="shared" si="1"/>
        <v>Miscellaneous withdrawal Cardzone 3 Fee</v>
      </c>
    </row>
    <row r="92" spans="1:3" x14ac:dyDescent="0.25">
      <c r="A92" s="2" t="s">
        <v>232</v>
      </c>
      <c r="B92" s="2" t="s">
        <v>233</v>
      </c>
      <c r="C92" s="8" t="str">
        <f t="shared" si="1"/>
        <v>Miscellaneous withdrawal sale on us</v>
      </c>
    </row>
    <row r="93" spans="1:3" x14ac:dyDescent="0.25">
      <c r="A93" s="2" t="s">
        <v>234</v>
      </c>
      <c r="B93" s="2" t="s">
        <v>235</v>
      </c>
      <c r="C93" s="8" t="str">
        <f t="shared" si="1"/>
        <v>Miscellaneous withdrawal sale off us</v>
      </c>
    </row>
    <row r="94" spans="1:3" x14ac:dyDescent="0.25">
      <c r="A94" s="2" t="s">
        <v>236</v>
      </c>
      <c r="B94" s="2" t="s">
        <v>237</v>
      </c>
      <c r="C94" s="8" t="str">
        <f t="shared" si="1"/>
        <v>Miscellaneous withdrawal sale ecom</v>
      </c>
    </row>
    <row r="95" spans="1:3" x14ac:dyDescent="0.25">
      <c r="A95" s="2" t="s">
        <v>238</v>
      </c>
      <c r="B95" s="2" t="s">
        <v>239</v>
      </c>
      <c r="C95" s="8" t="str">
        <f t="shared" si="1"/>
        <v>Miscellaneous withdrawal Cash Advance</v>
      </c>
    </row>
    <row r="96" spans="1:3" x14ac:dyDescent="0.25">
      <c r="A96" s="2" t="s">
        <v>240</v>
      </c>
      <c r="B96" s="2" t="s">
        <v>194</v>
      </c>
      <c r="C96" s="8" t="str">
        <f t="shared" si="1"/>
        <v>Miscellaneous withdrawal top-up Cardzone</v>
      </c>
    </row>
    <row r="97" spans="1:3" x14ac:dyDescent="0.25">
      <c r="A97" s="2" t="s">
        <v>241</v>
      </c>
      <c r="B97" s="2" t="s">
        <v>196</v>
      </c>
      <c r="C97" s="8" t="str">
        <f t="shared" si="1"/>
        <v>Miscellaneous withdrawal IBFT Cardzone</v>
      </c>
    </row>
    <row r="98" spans="1:3" x14ac:dyDescent="0.25">
      <c r="A98" s="2" t="s">
        <v>242</v>
      </c>
      <c r="B98" s="2" t="s">
        <v>198</v>
      </c>
      <c r="C98" s="8" t="str">
        <f t="shared" si="1"/>
        <v>Miscellaneous deposit IBFT Cardzone</v>
      </c>
    </row>
    <row r="99" spans="1:3" x14ac:dyDescent="0.25">
      <c r="A99" s="2" t="s">
        <v>243</v>
      </c>
      <c r="B99" s="2" t="s">
        <v>200</v>
      </c>
      <c r="C99" s="8" t="str">
        <f t="shared" si="1"/>
        <v>Transfer from deposit account to deposit account Cardzone</v>
      </c>
    </row>
    <row r="100" spans="1:3" x14ac:dyDescent="0.25">
      <c r="A100" s="2" t="s">
        <v>244</v>
      </c>
      <c r="B100" s="2" t="s">
        <v>245</v>
      </c>
      <c r="C100" s="8" t="str">
        <f t="shared" si="1"/>
        <v>Withdraw on us</v>
      </c>
    </row>
    <row r="101" spans="1:3" x14ac:dyDescent="0.25">
      <c r="A101" s="2" t="s">
        <v>246</v>
      </c>
      <c r="B101" s="2" t="s">
        <v>247</v>
      </c>
      <c r="C101" s="8" t="str">
        <f t="shared" si="1"/>
        <v>Withdraw off us</v>
      </c>
    </row>
    <row r="102" spans="1:3" x14ac:dyDescent="0.25">
      <c r="A102" s="2" t="s">
        <v>248</v>
      </c>
      <c r="B102" s="2" t="s">
        <v>249</v>
      </c>
      <c r="C102" s="8" t="str">
        <f t="shared" si="1"/>
        <v>Dekposit</v>
      </c>
    </row>
    <row r="103" spans="1:3" x14ac:dyDescent="0.25">
      <c r="A103" s="2" t="s">
        <v>250</v>
      </c>
      <c r="B103" s="2" t="s">
        <v>178</v>
      </c>
      <c r="C103" s="8" t="str">
        <f t="shared" si="1"/>
        <v>Get Account Statement for CardZone</v>
      </c>
    </row>
    <row r="104" spans="1:3" x14ac:dyDescent="0.25">
      <c r="A104" s="2" t="s">
        <v>251</v>
      </c>
      <c r="B104" s="2" t="s">
        <v>180</v>
      </c>
      <c r="C104" s="8" t="str">
        <f t="shared" si="1"/>
        <v>Get deposit balance inquiry for CardZone</v>
      </c>
    </row>
    <row r="105" spans="1:3" x14ac:dyDescent="0.25">
      <c r="A105" s="2" t="s">
        <v>252</v>
      </c>
      <c r="B105" s="2" t="s">
        <v>202</v>
      </c>
      <c r="C105" s="8" t="str">
        <f t="shared" si="1"/>
        <v>Miscellaneous withdrawal Cardzone</v>
      </c>
    </row>
    <row r="106" spans="1:3" x14ac:dyDescent="0.25">
      <c r="A106" s="2" t="s">
        <v>253</v>
      </c>
      <c r="B106" s="2" t="s">
        <v>204</v>
      </c>
      <c r="C106" s="8" t="str">
        <f t="shared" si="1"/>
        <v>Miscellaneous deposit CardZone</v>
      </c>
    </row>
    <row r="107" spans="1:3" x14ac:dyDescent="0.25">
      <c r="A107" s="2" t="s">
        <v>254</v>
      </c>
      <c r="B107" s="2" t="s">
        <v>206</v>
      </c>
      <c r="C107" s="8" t="str">
        <f t="shared" si="1"/>
        <v>Transfer from deposit account to deposit account CardZone</v>
      </c>
    </row>
    <row r="108" spans="1:3" x14ac:dyDescent="0.25">
      <c r="A108" s="2" t="s">
        <v>255</v>
      </c>
      <c r="B108" s="2" t="s">
        <v>208</v>
      </c>
      <c r="C108" s="8" t="str">
        <f t="shared" si="1"/>
        <v>Miscellaneous deposit VOID1 CardZone</v>
      </c>
    </row>
    <row r="109" spans="1:3" x14ac:dyDescent="0.25">
      <c r="A109" s="2" t="s">
        <v>256</v>
      </c>
      <c r="B109" s="2" t="s">
        <v>257</v>
      </c>
      <c r="C109" s="8" t="str">
        <f t="shared" si="1"/>
        <v>Miscellaneousdeposit void on us</v>
      </c>
    </row>
    <row r="110" spans="1:3" x14ac:dyDescent="0.25">
      <c r="A110" s="2" t="s">
        <v>258</v>
      </c>
      <c r="B110" s="2" t="s">
        <v>257</v>
      </c>
      <c r="C110" s="8" t="str">
        <f t="shared" si="1"/>
        <v>Miscellaneousdeposit void on us</v>
      </c>
    </row>
    <row r="111" spans="1:3" x14ac:dyDescent="0.25">
      <c r="A111" s="2" t="s">
        <v>259</v>
      </c>
      <c r="B111" s="2" t="s">
        <v>216</v>
      </c>
      <c r="C111" s="8" t="str">
        <f t="shared" si="1"/>
        <v>Miscellaneous withdral MPU</v>
      </c>
    </row>
    <row r="112" spans="1:3" x14ac:dyDescent="0.25">
      <c r="A112" s="2" t="s">
        <v>260</v>
      </c>
      <c r="B112" s="2" t="s">
        <v>261</v>
      </c>
      <c r="C112" s="8" t="str">
        <f t="shared" si="1"/>
        <v>Cardless Reservation</v>
      </c>
    </row>
    <row r="113" spans="1:3" x14ac:dyDescent="0.25">
      <c r="A113" s="2" t="s">
        <v>262</v>
      </c>
      <c r="B113" s="2" t="s">
        <v>263</v>
      </c>
      <c r="C113" s="8" t="str">
        <f t="shared" si="1"/>
        <v>Cardless Withdrawl</v>
      </c>
    </row>
    <row r="114" spans="1:3" x14ac:dyDescent="0.25">
      <c r="A114" s="2" t="s">
        <v>264</v>
      </c>
      <c r="B114" s="2" t="s">
        <v>265</v>
      </c>
      <c r="C114" s="8" t="str">
        <f t="shared" si="1"/>
        <v>Transfer Deposit Accounting middleware</v>
      </c>
    </row>
    <row r="115" spans="1:3" x14ac:dyDescent="0.25">
      <c r="A115" s="2" t="s">
        <v>266</v>
      </c>
      <c r="B115" s="2" t="s">
        <v>267</v>
      </c>
      <c r="C115" s="8" t="str">
        <f t="shared" si="1"/>
        <v>Cash deposit gl middleware</v>
      </c>
    </row>
    <row r="116" spans="1:3" x14ac:dyDescent="0.25">
      <c r="A116" s="2" t="s">
        <v>268</v>
      </c>
      <c r="B116" s="2" t="s">
        <v>269</v>
      </c>
      <c r="C116" s="8" t="str">
        <f t="shared" si="1"/>
        <v>FX deposit- deposit standing order</v>
      </c>
    </row>
    <row r="117" spans="1:3" x14ac:dyDescent="0.25">
      <c r="A117" s="2" t="s">
        <v>270</v>
      </c>
      <c r="B117" s="2" t="s">
        <v>271</v>
      </c>
      <c r="C117" s="8" t="str">
        <f t="shared" si="1"/>
        <v>Create standing order</v>
      </c>
    </row>
    <row r="118" spans="1:3" x14ac:dyDescent="0.25">
      <c r="A118" s="2" t="s">
        <v>272</v>
      </c>
      <c r="B118" s="2" t="s">
        <v>273</v>
      </c>
      <c r="C118" s="8" t="str">
        <f t="shared" si="1"/>
        <v>Modify sweeping</v>
      </c>
    </row>
    <row r="119" spans="1:3" x14ac:dyDescent="0.25">
      <c r="A119" s="2" t="s">
        <v>274</v>
      </c>
      <c r="B119" s="2" t="s">
        <v>275</v>
      </c>
      <c r="C119" s="8" t="str">
        <f t="shared" si="1"/>
        <v>Create Sweeping</v>
      </c>
    </row>
    <row r="120" spans="1:3" x14ac:dyDescent="0.25">
      <c r="A120" s="2" t="s">
        <v>276</v>
      </c>
      <c r="B120" s="2" t="s">
        <v>277</v>
      </c>
      <c r="C120" s="8" t="str">
        <f t="shared" si="1"/>
        <v>Sweeping Process by Schedule</v>
      </c>
    </row>
    <row r="121" spans="1:3" x14ac:dyDescent="0.25">
      <c r="A121" s="2" t="s">
        <v>278</v>
      </c>
      <c r="B121" s="2" t="s">
        <v>279</v>
      </c>
      <c r="C121" s="8" t="str">
        <f t="shared" si="1"/>
        <v>Fund transfer cross currency</v>
      </c>
    </row>
    <row r="122" spans="1:3" x14ac:dyDescent="0.25">
      <c r="A122" s="2" t="s">
        <v>45</v>
      </c>
      <c r="B122" s="2" t="s">
        <v>280</v>
      </c>
      <c r="C122" s="8" t="str">
        <f t="shared" si="1"/>
        <v>MM - Open account</v>
      </c>
    </row>
    <row r="123" spans="1:3" x14ac:dyDescent="0.25">
      <c r="A123" s="2" t="s">
        <v>281</v>
      </c>
      <c r="B123" s="2" t="s">
        <v>282</v>
      </c>
      <c r="C123" s="8" t="str">
        <f t="shared" si="1"/>
        <v>Close standing order</v>
      </c>
    </row>
    <row r="124" spans="1:3" x14ac:dyDescent="0.25">
      <c r="A124" s="2" t="s">
        <v>283</v>
      </c>
      <c r="B124" s="2" t="s">
        <v>284</v>
      </c>
      <c r="C124" s="8" t="str">
        <f t="shared" si="1"/>
        <v>Payment Interest For Prepaid Fixed Deposit</v>
      </c>
    </row>
  </sheetData>
  <autoFilter ref="A1:C124" xr:uid="{513706F6-D0E6-442D-8314-06A9C28FE13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7342-BE59-4D2B-B301-06341F4D5F53}">
  <dimension ref="A1"/>
  <sheetViews>
    <sheetView workbookViewId="0">
      <selection activeCell="H19" sqref="H19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F0E58-4C58-4887-9D5D-AE55E6CE0627}">
  <sheetPr filterMode="1"/>
  <dimension ref="A1:E396"/>
  <sheetViews>
    <sheetView workbookViewId="0">
      <selection activeCell="B19" sqref="B19:E368"/>
    </sheetView>
  </sheetViews>
  <sheetFormatPr defaultRowHeight="15" x14ac:dyDescent="0.25"/>
  <cols>
    <col min="1" max="1" width="12.28515625" bestFit="1" customWidth="1"/>
    <col min="2" max="2" width="41.5703125" bestFit="1" customWidth="1"/>
    <col min="3" max="3" width="41.5703125" customWidth="1"/>
    <col min="4" max="4" width="32.140625" bestFit="1" customWidth="1"/>
    <col min="5" max="5" width="123.7109375" customWidth="1"/>
  </cols>
  <sheetData>
    <row r="1" spans="1:5" x14ac:dyDescent="0.25">
      <c r="A1" s="1" t="s">
        <v>510</v>
      </c>
      <c r="B1" s="1" t="s">
        <v>285</v>
      </c>
      <c r="C1" s="1" t="s">
        <v>39</v>
      </c>
      <c r="D1" s="1" t="s">
        <v>40</v>
      </c>
      <c r="E1" s="1" t="s">
        <v>41</v>
      </c>
    </row>
    <row r="2" spans="1:5" hidden="1" x14ac:dyDescent="0.25">
      <c r="A2" s="2" t="s">
        <v>511</v>
      </c>
      <c r="B2" s="2" t="s">
        <v>60</v>
      </c>
      <c r="C2" s="2" t="str">
        <f>VLOOKUP(B2,ListTrans!$A$2:$C$124,3,FALSE)</f>
        <v>FX accounting - deposit</v>
      </c>
      <c r="D2" s="2" t="s">
        <v>286</v>
      </c>
      <c r="E2" s="2" t="s">
        <v>287</v>
      </c>
    </row>
    <row r="3" spans="1:5" hidden="1" x14ac:dyDescent="0.25">
      <c r="A3" s="2" t="s">
        <v>511</v>
      </c>
      <c r="B3" s="2" t="s">
        <v>60</v>
      </c>
      <c r="C3" s="2" t="str">
        <f>VLOOKUP(B3,ListTrans!$A$2:$C$124,3,FALSE)</f>
        <v>FX accounting - deposit</v>
      </c>
      <c r="D3" s="2" t="s">
        <v>288</v>
      </c>
      <c r="E3" s="2" t="s">
        <v>289</v>
      </c>
    </row>
    <row r="4" spans="1:5" hidden="1" x14ac:dyDescent="0.25">
      <c r="A4" s="2" t="s">
        <v>511</v>
      </c>
      <c r="B4" s="2" t="s">
        <v>60</v>
      </c>
      <c r="C4" s="2" t="str">
        <f>VLOOKUP(B4,ListTrans!$A$2:$C$124,3,FALSE)</f>
        <v>FX accounting - deposit</v>
      </c>
      <c r="D4" s="2" t="s">
        <v>290</v>
      </c>
      <c r="E4" s="2" t="s">
        <v>291</v>
      </c>
    </row>
    <row r="5" spans="1:5" hidden="1" x14ac:dyDescent="0.25">
      <c r="A5" s="2" t="s">
        <v>511</v>
      </c>
      <c r="B5" s="2" t="s">
        <v>62</v>
      </c>
      <c r="C5" s="2" t="str">
        <f>VLOOKUP(B5,ListTrans!$A$2:$C$124,3,FALSE)</f>
        <v>5572: Fee collection by deposit</v>
      </c>
      <c r="D5" s="2" t="s">
        <v>292</v>
      </c>
      <c r="E5" s="2" t="s">
        <v>293</v>
      </c>
    </row>
    <row r="6" spans="1:5" hidden="1" x14ac:dyDescent="0.25">
      <c r="A6" s="2" t="s">
        <v>511</v>
      </c>
      <c r="B6" s="2" t="s">
        <v>62</v>
      </c>
      <c r="C6" s="2" t="str">
        <f>VLOOKUP(B6,ListTrans!$A$2:$C$124,3,FALSE)</f>
        <v>5572: Fee collection by deposit</v>
      </c>
      <c r="D6" s="2" t="s">
        <v>286</v>
      </c>
      <c r="E6" s="2" t="s">
        <v>287</v>
      </c>
    </row>
    <row r="7" spans="1:5" hidden="1" x14ac:dyDescent="0.25">
      <c r="A7" s="2" t="s">
        <v>511</v>
      </c>
      <c r="B7" s="2" t="s">
        <v>62</v>
      </c>
      <c r="C7" s="2" t="str">
        <f>VLOOKUP(B7,ListTrans!$A$2:$C$124,3,FALSE)</f>
        <v>5572: Fee collection by deposit</v>
      </c>
      <c r="D7" s="2" t="s">
        <v>290</v>
      </c>
      <c r="E7" s="2" t="s">
        <v>291</v>
      </c>
    </row>
    <row r="8" spans="1:5" hidden="1" x14ac:dyDescent="0.25">
      <c r="A8" s="2" t="s">
        <v>511</v>
      </c>
      <c r="B8" s="2" t="s">
        <v>64</v>
      </c>
      <c r="C8" s="2" t="str">
        <f>VLOOKUP(B8,ListTrans!$A$2:$C$124,3,FALSE)</f>
        <v>5513: Principal and interest collection by transfer</v>
      </c>
      <c r="D8" s="2" t="s">
        <v>292</v>
      </c>
      <c r="E8" s="2" t="s">
        <v>294</v>
      </c>
    </row>
    <row r="9" spans="1:5" hidden="1" x14ac:dyDescent="0.25">
      <c r="A9" s="2" t="s">
        <v>511</v>
      </c>
      <c r="B9" s="2" t="s">
        <v>64</v>
      </c>
      <c r="C9" s="2" t="str">
        <f>VLOOKUP(B9,ListTrans!$A$2:$C$124,3,FALSE)</f>
        <v>5513: Principal and interest collection by transfer</v>
      </c>
      <c r="D9" s="2" t="s">
        <v>286</v>
      </c>
      <c r="E9" s="2" t="s">
        <v>287</v>
      </c>
    </row>
    <row r="10" spans="1:5" hidden="1" x14ac:dyDescent="0.25">
      <c r="A10" s="2" t="s">
        <v>511</v>
      </c>
      <c r="B10" s="2" t="s">
        <v>64</v>
      </c>
      <c r="C10" s="2" t="str">
        <f>VLOOKUP(B10,ListTrans!$A$2:$C$124,3,FALSE)</f>
        <v>5513: Principal and interest collection by transfer</v>
      </c>
      <c r="D10" s="2" t="s">
        <v>290</v>
      </c>
      <c r="E10" s="2" t="s">
        <v>291</v>
      </c>
    </row>
    <row r="11" spans="1:5" hidden="1" x14ac:dyDescent="0.25">
      <c r="A11" s="2" t="s">
        <v>511</v>
      </c>
      <c r="B11" s="2" t="s">
        <v>66</v>
      </c>
      <c r="C11" s="2" t="str">
        <f>VLOOKUP(B11,ListTrans!$A$2:$C$124,3,FALSE)</f>
        <v>55721: Ree refund by transfer</v>
      </c>
      <c r="D11" s="2" t="s">
        <v>292</v>
      </c>
      <c r="E11" s="2" t="s">
        <v>295</v>
      </c>
    </row>
    <row r="12" spans="1:5" hidden="1" x14ac:dyDescent="0.25">
      <c r="A12" s="2" t="s">
        <v>511</v>
      </c>
      <c r="B12" s="2" t="s">
        <v>66</v>
      </c>
      <c r="C12" s="2" t="str">
        <f>VLOOKUP(B12,ListTrans!$A$2:$C$124,3,FALSE)</f>
        <v>55721: Ree refund by transfer</v>
      </c>
      <c r="D12" s="2" t="s">
        <v>286</v>
      </c>
      <c r="E12" s="2" t="s">
        <v>287</v>
      </c>
    </row>
    <row r="13" spans="1:5" hidden="1" x14ac:dyDescent="0.25">
      <c r="A13" s="2" t="s">
        <v>511</v>
      </c>
      <c r="B13" s="2" t="s">
        <v>66</v>
      </c>
      <c r="C13" s="2" t="str">
        <f>VLOOKUP(B13,ListTrans!$A$2:$C$124,3,FALSE)</f>
        <v>55721: Ree refund by transfer</v>
      </c>
      <c r="D13" s="2" t="s">
        <v>290</v>
      </c>
      <c r="E13" s="2" t="s">
        <v>291</v>
      </c>
    </row>
    <row r="14" spans="1:5" hidden="1" x14ac:dyDescent="0.25">
      <c r="A14" s="2" t="s">
        <v>511</v>
      </c>
      <c r="B14" s="2" t="s">
        <v>68</v>
      </c>
      <c r="C14" s="2" t="str">
        <f>VLOOKUP(B14,ListTrans!$A$2:$C$124,3,FALSE)</f>
        <v>5523: Disbursement by transfer</v>
      </c>
      <c r="D14" s="2" t="s">
        <v>292</v>
      </c>
      <c r="E14" s="2" t="s">
        <v>296</v>
      </c>
    </row>
    <row r="15" spans="1:5" hidden="1" x14ac:dyDescent="0.25">
      <c r="A15" s="2" t="s">
        <v>511</v>
      </c>
      <c r="B15" s="2" t="s">
        <v>68</v>
      </c>
      <c r="C15" s="2" t="str">
        <f>VLOOKUP(B15,ListTrans!$A$2:$C$124,3,FALSE)</f>
        <v>5523: Disbursement by transfer</v>
      </c>
      <c r="D15" s="2" t="s">
        <v>286</v>
      </c>
      <c r="E15" s="2" t="s">
        <v>287</v>
      </c>
    </row>
    <row r="16" spans="1:5" hidden="1" x14ac:dyDescent="0.25">
      <c r="A16" s="2" t="s">
        <v>511</v>
      </c>
      <c r="B16" s="2" t="s">
        <v>68</v>
      </c>
      <c r="C16" s="2" t="str">
        <f>VLOOKUP(B16,ListTrans!$A$2:$C$124,3,FALSE)</f>
        <v>5523: Disbursement by transfer</v>
      </c>
      <c r="D16" s="2" t="s">
        <v>290</v>
      </c>
      <c r="E16" s="2" t="s">
        <v>291</v>
      </c>
    </row>
    <row r="17" spans="1:5" hidden="1" x14ac:dyDescent="0.25">
      <c r="A17" s="2" t="s">
        <v>511</v>
      </c>
      <c r="B17" s="2" t="s">
        <v>70</v>
      </c>
      <c r="C17" s="2" t="str">
        <f>VLOOKUP(B17,ListTrans!$A$2:$C$124,3,FALSE)</f>
        <v>FX cash - Deposit</v>
      </c>
      <c r="D17" s="2" t="s">
        <v>286</v>
      </c>
      <c r="E17" s="2" t="s">
        <v>287</v>
      </c>
    </row>
    <row r="18" spans="1:5" hidden="1" x14ac:dyDescent="0.25">
      <c r="A18" s="2" t="s">
        <v>511</v>
      </c>
      <c r="B18" s="2" t="s">
        <v>70</v>
      </c>
      <c r="C18" s="2" t="str">
        <f>VLOOKUP(B18,ListTrans!$A$2:$C$124,3,FALSE)</f>
        <v>FX cash - Deposit</v>
      </c>
      <c r="D18" s="2" t="s">
        <v>290</v>
      </c>
      <c r="E18" s="2" t="s">
        <v>291</v>
      </c>
    </row>
    <row r="19" spans="1:5" x14ac:dyDescent="0.25">
      <c r="A19" s="2" t="s">
        <v>512</v>
      </c>
      <c r="B19" s="2" t="s">
        <v>266</v>
      </c>
      <c r="C19" s="2" t="str">
        <f>VLOOKUP(B19,ListTrans!$A$2:$C$124,3,FALSE)</f>
        <v>Cash deposit gl middleware</v>
      </c>
      <c r="D19" s="2" t="s">
        <v>297</v>
      </c>
      <c r="E19" s="2" t="s">
        <v>298</v>
      </c>
    </row>
    <row r="20" spans="1:5" hidden="1" x14ac:dyDescent="0.25">
      <c r="A20" s="2" t="s">
        <v>511</v>
      </c>
      <c r="B20" s="2" t="s">
        <v>72</v>
      </c>
      <c r="C20" s="2" t="str">
        <f>VLOOKUP(B20,ListTrans!$A$2:$C$124,3,FALSE)</f>
        <v>FX deposit - accounting</v>
      </c>
      <c r="D20" s="2" t="s">
        <v>286</v>
      </c>
      <c r="E20" s="2" t="s">
        <v>287</v>
      </c>
    </row>
    <row r="21" spans="1:5" hidden="1" x14ac:dyDescent="0.25">
      <c r="A21" s="2" t="s">
        <v>511</v>
      </c>
      <c r="B21" s="2" t="s">
        <v>72</v>
      </c>
      <c r="C21" s="2" t="str">
        <f>VLOOKUP(B21,ListTrans!$A$2:$C$124,3,FALSE)</f>
        <v>FX deposit - accounting</v>
      </c>
      <c r="D21" s="2" t="s">
        <v>290</v>
      </c>
      <c r="E21" s="2" t="s">
        <v>291</v>
      </c>
    </row>
    <row r="22" spans="1:5" x14ac:dyDescent="0.25">
      <c r="A22" s="2" t="s">
        <v>512</v>
      </c>
      <c r="B22" s="2" t="s">
        <v>264</v>
      </c>
      <c r="C22" s="2" t="str">
        <f>VLOOKUP(B22,ListTrans!$A$2:$C$124,3,FALSE)</f>
        <v>Transfer Deposit Accounting middleware</v>
      </c>
      <c r="D22" s="2" t="s">
        <v>297</v>
      </c>
      <c r="E22" s="2" t="s">
        <v>298</v>
      </c>
    </row>
    <row r="23" spans="1:5" hidden="1" x14ac:dyDescent="0.25">
      <c r="A23" s="2" t="s">
        <v>511</v>
      </c>
      <c r="B23" s="2" t="s">
        <v>74</v>
      </c>
      <c r="C23" s="2" t="str">
        <f>VLOOKUP(B23,ListTrans!$A$2:$C$124,3,FALSE)</f>
        <v>Approve deposit account</v>
      </c>
      <c r="D23" s="2" t="s">
        <v>57</v>
      </c>
      <c r="E23" s="2" t="s">
        <v>58</v>
      </c>
    </row>
    <row r="24" spans="1:5" hidden="1" x14ac:dyDescent="0.25">
      <c r="A24" s="2" t="s">
        <v>511</v>
      </c>
      <c r="B24" s="2" t="s">
        <v>74</v>
      </c>
      <c r="C24" s="2" t="str">
        <f>VLOOKUP(B24,ListTrans!$A$2:$C$124,3,FALSE)</f>
        <v>Approve deposit account</v>
      </c>
      <c r="D24" s="2" t="s">
        <v>299</v>
      </c>
      <c r="E24" s="2" t="s">
        <v>300</v>
      </c>
    </row>
    <row r="25" spans="1:5" hidden="1" x14ac:dyDescent="0.25">
      <c r="A25" s="2" t="s">
        <v>511</v>
      </c>
      <c r="B25" s="2" t="s">
        <v>74</v>
      </c>
      <c r="C25" s="2" t="str">
        <f>VLOOKUP(B25,ListTrans!$A$2:$C$124,3,FALSE)</f>
        <v>Approve deposit account</v>
      </c>
      <c r="D25" s="2" t="s">
        <v>290</v>
      </c>
      <c r="E25" s="2" t="s">
        <v>301</v>
      </c>
    </row>
    <row r="26" spans="1:5" x14ac:dyDescent="0.25">
      <c r="A26" s="2" t="s">
        <v>512</v>
      </c>
      <c r="B26" s="2" t="s">
        <v>185</v>
      </c>
      <c r="C26" s="2" t="str">
        <f>VLOOKUP(B26,ListTrans!$A$2:$C$124,3,FALSE)</f>
        <v>Batch transfer</v>
      </c>
      <c r="D26" s="2" t="s">
        <v>302</v>
      </c>
      <c r="E26" s="2" t="s">
        <v>303</v>
      </c>
    </row>
    <row r="27" spans="1:5" x14ac:dyDescent="0.25">
      <c r="A27" s="2" t="s">
        <v>512</v>
      </c>
      <c r="B27" s="2" t="s">
        <v>185</v>
      </c>
      <c r="C27" s="2" t="str">
        <f>VLOOKUP(B27,ListTrans!$A$2:$C$124,3,FALSE)</f>
        <v>Batch transfer</v>
      </c>
      <c r="D27" s="2" t="s">
        <v>304</v>
      </c>
      <c r="E27" s="2" t="s">
        <v>305</v>
      </c>
    </row>
    <row r="28" spans="1:5" hidden="1" x14ac:dyDescent="0.25">
      <c r="A28" s="2" t="s">
        <v>511</v>
      </c>
      <c r="B28" s="2" t="s">
        <v>76</v>
      </c>
      <c r="C28" s="2" t="str">
        <f>VLOOKUP(B28,ListTrans!$A$2:$C$124,3,FALSE)</f>
        <v>11840: Block account</v>
      </c>
      <c r="D28" s="2" t="s">
        <v>290</v>
      </c>
      <c r="E28" s="2" t="s">
        <v>306</v>
      </c>
    </row>
    <row r="29" spans="1:5" hidden="1" x14ac:dyDescent="0.25">
      <c r="A29" s="2" t="s">
        <v>511</v>
      </c>
      <c r="B29" s="2" t="s">
        <v>78</v>
      </c>
      <c r="C29" s="2" t="str">
        <f>VLOOKUP(B29,ListTrans!$A$2:$C$124,3,FALSE)</f>
        <v>11841: Change account status</v>
      </c>
      <c r="D29" s="2" t="s">
        <v>299</v>
      </c>
      <c r="E29" s="2" t="s">
        <v>300</v>
      </c>
    </row>
    <row r="30" spans="1:5" hidden="1" x14ac:dyDescent="0.25">
      <c r="A30" s="2" t="s">
        <v>511</v>
      </c>
      <c r="B30" s="2" t="s">
        <v>80</v>
      </c>
      <c r="C30" s="2" t="str">
        <f>VLOOKUP(B30,ListTrans!$A$2:$C$124,3,FALSE)</f>
        <v>11806: Gift cheque issued</v>
      </c>
      <c r="D30" s="2" t="s">
        <v>307</v>
      </c>
      <c r="E30" s="2" t="s">
        <v>308</v>
      </c>
    </row>
    <row r="31" spans="1:5" hidden="1" x14ac:dyDescent="0.25">
      <c r="A31" s="2" t="s">
        <v>511</v>
      </c>
      <c r="B31" s="2" t="s">
        <v>80</v>
      </c>
      <c r="C31" s="2" t="str">
        <f>VLOOKUP(B31,ListTrans!$A$2:$C$124,3,FALSE)</f>
        <v>11806: Gift cheque issued</v>
      </c>
      <c r="D31" s="2" t="s">
        <v>299</v>
      </c>
      <c r="E31" s="2" t="s">
        <v>309</v>
      </c>
    </row>
    <row r="32" spans="1:5" hidden="1" x14ac:dyDescent="0.25">
      <c r="A32" s="2" t="s">
        <v>511</v>
      </c>
      <c r="B32" s="2" t="s">
        <v>82</v>
      </c>
      <c r="C32" s="2" t="str">
        <f>VLOOKUP(B32,ListTrans!$A$2:$C$124,3,FALSE)</f>
        <v>11807: Gift Cheque withdrawal</v>
      </c>
      <c r="D32" s="2" t="s">
        <v>307</v>
      </c>
      <c r="E32" s="2" t="s">
        <v>310</v>
      </c>
    </row>
    <row r="33" spans="1:5" hidden="1" x14ac:dyDescent="0.25">
      <c r="A33" s="2" t="s">
        <v>511</v>
      </c>
      <c r="B33" s="2" t="s">
        <v>82</v>
      </c>
      <c r="C33" s="2" t="str">
        <f>VLOOKUP(B33,ListTrans!$A$2:$C$124,3,FALSE)</f>
        <v>11807: Gift Cheque withdrawal</v>
      </c>
      <c r="D33" s="2" t="s">
        <v>299</v>
      </c>
      <c r="E33" s="2" t="s">
        <v>311</v>
      </c>
    </row>
    <row r="34" spans="1:5" hidden="1" x14ac:dyDescent="0.25">
      <c r="A34" s="2" t="s">
        <v>511</v>
      </c>
      <c r="B34" s="2" t="s">
        <v>84</v>
      </c>
      <c r="C34" s="2" t="str">
        <f>VLOOKUP(B34,ListTrans!$A$2:$C$124,3,FALSE)</f>
        <v>1110: Cash deposit</v>
      </c>
      <c r="D34" s="2" t="s">
        <v>288</v>
      </c>
      <c r="E34" s="2" t="s">
        <v>312</v>
      </c>
    </row>
    <row r="35" spans="1:5" hidden="1" x14ac:dyDescent="0.25">
      <c r="A35" s="2" t="s">
        <v>511</v>
      </c>
      <c r="B35" s="2" t="s">
        <v>84</v>
      </c>
      <c r="C35" s="2" t="str">
        <f>VLOOKUP(B35,ListTrans!$A$2:$C$124,3,FALSE)</f>
        <v>1110: Cash deposit</v>
      </c>
      <c r="D35" s="2" t="s">
        <v>313</v>
      </c>
      <c r="E35" s="2" t="s">
        <v>314</v>
      </c>
    </row>
    <row r="36" spans="1:5" hidden="1" x14ac:dyDescent="0.25">
      <c r="A36" s="2" t="s">
        <v>511</v>
      </c>
      <c r="B36" s="2" t="s">
        <v>84</v>
      </c>
      <c r="C36" s="2" t="str">
        <f>VLOOKUP(B36,ListTrans!$A$2:$C$124,3,FALSE)</f>
        <v>1110: Cash deposit</v>
      </c>
      <c r="D36" s="2" t="s">
        <v>315</v>
      </c>
      <c r="E36" s="2" t="s">
        <v>316</v>
      </c>
    </row>
    <row r="37" spans="1:5" hidden="1" x14ac:dyDescent="0.25">
      <c r="A37" s="2" t="s">
        <v>511</v>
      </c>
      <c r="B37" s="2" t="s">
        <v>84</v>
      </c>
      <c r="C37" s="2" t="str">
        <f>VLOOKUP(B37,ListTrans!$A$2:$C$124,3,FALSE)</f>
        <v>1110: Cash deposit</v>
      </c>
      <c r="D37" s="2" t="s">
        <v>299</v>
      </c>
      <c r="E37" s="2" t="s">
        <v>300</v>
      </c>
    </row>
    <row r="38" spans="1:5" hidden="1" x14ac:dyDescent="0.25">
      <c r="A38" s="2" t="s">
        <v>511</v>
      </c>
      <c r="B38" s="2" t="s">
        <v>86</v>
      </c>
      <c r="C38" s="2" t="str">
        <f>VLOOKUP(B38,ListTrans!$A$2:$C$124,3,FALSE)</f>
        <v>1111: Deposit by cheque</v>
      </c>
      <c r="D38" s="2" t="s">
        <v>313</v>
      </c>
      <c r="E38" s="2" t="s">
        <v>317</v>
      </c>
    </row>
    <row r="39" spans="1:5" hidden="1" x14ac:dyDescent="0.25">
      <c r="A39" s="2" t="s">
        <v>511</v>
      </c>
      <c r="B39" s="2" t="s">
        <v>86</v>
      </c>
      <c r="C39" s="2" t="str">
        <f>VLOOKUP(B39,ListTrans!$A$2:$C$124,3,FALSE)</f>
        <v>1111: Deposit by cheque</v>
      </c>
      <c r="D39" s="2" t="s">
        <v>288</v>
      </c>
      <c r="E39" s="2" t="s">
        <v>318</v>
      </c>
    </row>
    <row r="40" spans="1:5" hidden="1" x14ac:dyDescent="0.25">
      <c r="A40" s="2" t="s">
        <v>511</v>
      </c>
      <c r="B40" s="2" t="s">
        <v>86</v>
      </c>
      <c r="C40" s="2" t="str">
        <f>VLOOKUP(B40,ListTrans!$A$2:$C$124,3,FALSE)</f>
        <v>1111: Deposit by cheque</v>
      </c>
      <c r="D40" s="2" t="s">
        <v>288</v>
      </c>
      <c r="E40" s="2" t="s">
        <v>319</v>
      </c>
    </row>
    <row r="41" spans="1:5" hidden="1" x14ac:dyDescent="0.25">
      <c r="A41" s="2" t="s">
        <v>511</v>
      </c>
      <c r="B41" s="2" t="s">
        <v>86</v>
      </c>
      <c r="C41" s="2" t="str">
        <f>VLOOKUP(B41,ListTrans!$A$2:$C$124,3,FALSE)</f>
        <v>1111: Deposit by cheque</v>
      </c>
      <c r="D41" s="2" t="s">
        <v>313</v>
      </c>
      <c r="E41" s="2" t="s">
        <v>320</v>
      </c>
    </row>
    <row r="42" spans="1:5" hidden="1" x14ac:dyDescent="0.25">
      <c r="A42" s="2" t="s">
        <v>511</v>
      </c>
      <c r="B42" s="2" t="s">
        <v>86</v>
      </c>
      <c r="C42" s="2" t="str">
        <f>VLOOKUP(B42,ListTrans!$A$2:$C$124,3,FALSE)</f>
        <v>1111: Deposit by cheque</v>
      </c>
      <c r="D42" s="2" t="s">
        <v>299</v>
      </c>
      <c r="E42" s="2" t="s">
        <v>321</v>
      </c>
    </row>
    <row r="43" spans="1:5" hidden="1" x14ac:dyDescent="0.25">
      <c r="A43" s="2" t="s">
        <v>511</v>
      </c>
      <c r="B43" s="2" t="s">
        <v>86</v>
      </c>
      <c r="C43" s="2" t="str">
        <f>VLOOKUP(B43,ListTrans!$A$2:$C$124,3,FALSE)</f>
        <v>1111: Deposit by cheque</v>
      </c>
      <c r="D43" s="2" t="s">
        <v>299</v>
      </c>
      <c r="E43" s="2" t="s">
        <v>322</v>
      </c>
    </row>
    <row r="44" spans="1:5" hidden="1" x14ac:dyDescent="0.25">
      <c r="A44" s="2" t="s">
        <v>511</v>
      </c>
      <c r="B44" s="2" t="s">
        <v>86</v>
      </c>
      <c r="C44" s="2" t="str">
        <f>VLOOKUP(B44,ListTrans!$A$2:$C$124,3,FALSE)</f>
        <v>1111: Deposit by cheque</v>
      </c>
      <c r="D44" s="2" t="s">
        <v>299</v>
      </c>
      <c r="E44" s="2" t="s">
        <v>323</v>
      </c>
    </row>
    <row r="45" spans="1:5" hidden="1" x14ac:dyDescent="0.25">
      <c r="A45" s="2" t="s">
        <v>511</v>
      </c>
      <c r="B45" s="2" t="s">
        <v>88</v>
      </c>
      <c r="C45" s="2" t="str">
        <f>VLOOKUP(B45,ListTrans!$A$2:$C$124,3,FALSE)</f>
        <v>11850: Issued hold balance for cheque</v>
      </c>
      <c r="D45" s="2" t="s">
        <v>290</v>
      </c>
      <c r="E45" s="2" t="s">
        <v>324</v>
      </c>
    </row>
    <row r="46" spans="1:5" hidden="1" x14ac:dyDescent="0.25">
      <c r="A46" s="2" t="s">
        <v>511</v>
      </c>
      <c r="B46" s="2" t="s">
        <v>90</v>
      </c>
      <c r="C46" s="2" t="str">
        <f>VLOOKUP(B46,ListTrans!$A$2:$C$124,3,FALSE)</f>
        <v>11803: Fixed deposit receipt issued</v>
      </c>
      <c r="D46" s="2" t="s">
        <v>325</v>
      </c>
      <c r="E46" s="2" t="s">
        <v>326</v>
      </c>
    </row>
    <row r="47" spans="1:5" hidden="1" x14ac:dyDescent="0.25">
      <c r="A47" s="2" t="s">
        <v>511</v>
      </c>
      <c r="B47" s="2" t="s">
        <v>90</v>
      </c>
      <c r="C47" s="2" t="str">
        <f>VLOOKUP(B47,ListTrans!$A$2:$C$124,3,FALSE)</f>
        <v>11803: Fixed deposit receipt issued</v>
      </c>
      <c r="D47" s="2" t="s">
        <v>327</v>
      </c>
      <c r="E47" s="2" t="s">
        <v>328</v>
      </c>
    </row>
    <row r="48" spans="1:5" hidden="1" x14ac:dyDescent="0.25">
      <c r="A48" s="2" t="s">
        <v>511</v>
      </c>
      <c r="B48" s="2" t="s">
        <v>90</v>
      </c>
      <c r="C48" s="2" t="str">
        <f>VLOOKUP(B48,ListTrans!$A$2:$C$124,3,FALSE)</f>
        <v>11803: Fixed deposit receipt issued</v>
      </c>
      <c r="D48" s="2" t="s">
        <v>299</v>
      </c>
      <c r="E48" s="2" t="s">
        <v>329</v>
      </c>
    </row>
    <row r="49" spans="1:5" hidden="1" x14ac:dyDescent="0.25">
      <c r="A49" s="2" t="s">
        <v>511</v>
      </c>
      <c r="B49" s="2" t="s">
        <v>90</v>
      </c>
      <c r="C49" s="2" t="str">
        <f>VLOOKUP(B49,ListTrans!$A$2:$C$124,3,FALSE)</f>
        <v>11803: Fixed deposit receipt issued</v>
      </c>
      <c r="D49" s="2" t="s">
        <v>290</v>
      </c>
      <c r="E49" s="2" t="s">
        <v>330</v>
      </c>
    </row>
    <row r="50" spans="1:5" hidden="1" x14ac:dyDescent="0.25">
      <c r="A50" s="2" t="s">
        <v>511</v>
      </c>
      <c r="B50" s="2" t="s">
        <v>92</v>
      </c>
      <c r="C50" s="2" t="str">
        <f>VLOOKUP(B50,ListTrans!$A$2:$C$124,3,FALSE)</f>
        <v>1140: Interest payment by cash</v>
      </c>
      <c r="D50" s="2" t="s">
        <v>313</v>
      </c>
      <c r="E50" s="2" t="s">
        <v>331</v>
      </c>
    </row>
    <row r="51" spans="1:5" hidden="1" x14ac:dyDescent="0.25">
      <c r="A51" s="2" t="s">
        <v>511</v>
      </c>
      <c r="B51" s="2" t="s">
        <v>92</v>
      </c>
      <c r="C51" s="2" t="str">
        <f>VLOOKUP(B51,ListTrans!$A$2:$C$124,3,FALSE)</f>
        <v>1140: Interest payment by cash</v>
      </c>
      <c r="D51" s="2" t="s">
        <v>288</v>
      </c>
      <c r="E51" s="2" t="s">
        <v>332</v>
      </c>
    </row>
    <row r="52" spans="1:5" hidden="1" x14ac:dyDescent="0.25">
      <c r="A52" s="2" t="s">
        <v>511</v>
      </c>
      <c r="B52" s="2" t="s">
        <v>92</v>
      </c>
      <c r="C52" s="2" t="str">
        <f>VLOOKUP(B52,ListTrans!$A$2:$C$124,3,FALSE)</f>
        <v>1140: Interest payment by cash</v>
      </c>
      <c r="D52" s="2" t="s">
        <v>290</v>
      </c>
      <c r="E52" s="2" t="s">
        <v>333</v>
      </c>
    </row>
    <row r="53" spans="1:5" hidden="1" x14ac:dyDescent="0.25">
      <c r="A53" s="2" t="s">
        <v>511</v>
      </c>
      <c r="B53" s="2" t="s">
        <v>94</v>
      </c>
      <c r="C53" s="2" t="str">
        <f>VLOOKUP(B53,ListTrans!$A$2:$C$124,3,FALSE)</f>
        <v>11801: Cheque book issued</v>
      </c>
      <c r="D53" s="2" t="s">
        <v>307</v>
      </c>
      <c r="E53" s="2" t="s">
        <v>334</v>
      </c>
    </row>
    <row r="54" spans="1:5" hidden="1" x14ac:dyDescent="0.25">
      <c r="A54" s="2" t="s">
        <v>511</v>
      </c>
      <c r="B54" s="2" t="s">
        <v>94</v>
      </c>
      <c r="C54" s="2" t="str">
        <f>VLOOKUP(B54,ListTrans!$A$2:$C$124,3,FALSE)</f>
        <v>11801: Cheque book issued</v>
      </c>
      <c r="D54" s="2" t="s">
        <v>327</v>
      </c>
      <c r="E54" s="2" t="s">
        <v>335</v>
      </c>
    </row>
    <row r="55" spans="1:5" hidden="1" x14ac:dyDescent="0.25">
      <c r="A55" s="2" t="s">
        <v>511</v>
      </c>
      <c r="B55" s="2" t="s">
        <v>94</v>
      </c>
      <c r="C55" s="2" t="str">
        <f>VLOOKUP(B55,ListTrans!$A$2:$C$124,3,FALSE)</f>
        <v>11801: Cheque book issued</v>
      </c>
      <c r="D55" s="2" t="s">
        <v>290</v>
      </c>
      <c r="E55" s="2" t="s">
        <v>336</v>
      </c>
    </row>
    <row r="56" spans="1:5" hidden="1" x14ac:dyDescent="0.25">
      <c r="A56" s="2" t="s">
        <v>511</v>
      </c>
      <c r="B56" s="2" t="s">
        <v>94</v>
      </c>
      <c r="C56" s="2" t="str">
        <f>VLOOKUP(B56,ListTrans!$A$2:$C$124,3,FALSE)</f>
        <v>11801: Cheque book issued</v>
      </c>
      <c r="D56" s="2" t="s">
        <v>290</v>
      </c>
      <c r="E56" s="2" t="s">
        <v>337</v>
      </c>
    </row>
    <row r="57" spans="1:5" hidden="1" x14ac:dyDescent="0.25">
      <c r="A57" s="2" t="s">
        <v>511</v>
      </c>
      <c r="B57" s="2" t="s">
        <v>94</v>
      </c>
      <c r="C57" s="2" t="str">
        <f>VLOOKUP(B57,ListTrans!$A$2:$C$124,3,FALSE)</f>
        <v>11801: Cheque book issued</v>
      </c>
      <c r="D57" s="2" t="s">
        <v>315</v>
      </c>
      <c r="E57" s="2" t="s">
        <v>338</v>
      </c>
    </row>
    <row r="58" spans="1:5" hidden="1" x14ac:dyDescent="0.25">
      <c r="A58" s="2" t="s">
        <v>511</v>
      </c>
      <c r="B58" s="2" t="s">
        <v>96</v>
      </c>
      <c r="C58" s="2" t="str">
        <f>VLOOKUP(B58,ListTrans!$A$2:$C$124,3,FALSE)</f>
        <v>1193: Close deposit account</v>
      </c>
      <c r="D58" s="2" t="s">
        <v>288</v>
      </c>
      <c r="E58" s="2" t="s">
        <v>332</v>
      </c>
    </row>
    <row r="59" spans="1:5" hidden="1" x14ac:dyDescent="0.25">
      <c r="A59" s="2" t="s">
        <v>511</v>
      </c>
      <c r="B59" s="2" t="s">
        <v>96</v>
      </c>
      <c r="C59" s="2" t="str">
        <f>VLOOKUP(B59,ListTrans!$A$2:$C$124,3,FALSE)</f>
        <v>1193: Close deposit account</v>
      </c>
      <c r="D59" s="2" t="s">
        <v>313</v>
      </c>
      <c r="E59" s="2" t="s">
        <v>331</v>
      </c>
    </row>
    <row r="60" spans="1:5" hidden="1" x14ac:dyDescent="0.25">
      <c r="A60" s="2" t="s">
        <v>511</v>
      </c>
      <c r="B60" s="2" t="s">
        <v>96</v>
      </c>
      <c r="C60" s="2" t="str">
        <f>VLOOKUP(B60,ListTrans!$A$2:$C$124,3,FALSE)</f>
        <v>1193: Close deposit account</v>
      </c>
      <c r="D60" s="2" t="s">
        <v>299</v>
      </c>
      <c r="E60" s="2" t="s">
        <v>339</v>
      </c>
    </row>
    <row r="61" spans="1:5" hidden="1" x14ac:dyDescent="0.25">
      <c r="A61" s="2" t="s">
        <v>511</v>
      </c>
      <c r="B61" s="2" t="s">
        <v>96</v>
      </c>
      <c r="C61" s="2" t="str">
        <f>VLOOKUP(B61,ListTrans!$A$2:$C$124,3,FALSE)</f>
        <v>1193: Close deposit account</v>
      </c>
      <c r="D61" s="2" t="s">
        <v>57</v>
      </c>
      <c r="E61" s="2" t="s">
        <v>58</v>
      </c>
    </row>
    <row r="62" spans="1:5" hidden="1" x14ac:dyDescent="0.25">
      <c r="A62" s="2" t="s">
        <v>511</v>
      </c>
      <c r="B62" s="2" t="s">
        <v>96</v>
      </c>
      <c r="C62" s="2" t="str">
        <f>VLOOKUP(B62,ListTrans!$A$2:$C$124,3,FALSE)</f>
        <v>1193: Close deposit account</v>
      </c>
      <c r="D62" s="2" t="s">
        <v>340</v>
      </c>
      <c r="E62" s="2" t="s">
        <v>341</v>
      </c>
    </row>
    <row r="63" spans="1:5" hidden="1" x14ac:dyDescent="0.25">
      <c r="A63" s="2" t="s">
        <v>511</v>
      </c>
      <c r="B63" s="2" t="s">
        <v>96</v>
      </c>
      <c r="C63" s="2" t="str">
        <f>VLOOKUP(B63,ListTrans!$A$2:$C$124,3,FALSE)</f>
        <v>1193: Close deposit account</v>
      </c>
      <c r="D63" s="2" t="s">
        <v>342</v>
      </c>
      <c r="E63" s="2" t="s">
        <v>343</v>
      </c>
    </row>
    <row r="64" spans="1:5" hidden="1" x14ac:dyDescent="0.25">
      <c r="A64" s="2" t="s">
        <v>511</v>
      </c>
      <c r="B64" s="2" t="s">
        <v>56</v>
      </c>
      <c r="C64" s="2" t="e">
        <f>VLOOKUP(B64,ListTrans!$A$2:$C$124,3,FALSE)</f>
        <v>#N/A</v>
      </c>
      <c r="D64" s="2" t="s">
        <v>57</v>
      </c>
      <c r="E64" s="2" t="s">
        <v>58</v>
      </c>
    </row>
    <row r="65" spans="1:5" hidden="1" x14ac:dyDescent="0.25">
      <c r="A65" s="2" t="s">
        <v>511</v>
      </c>
      <c r="B65" s="2" t="s">
        <v>173</v>
      </c>
      <c r="C65" s="2" t="str">
        <f>VLOOKUP(B65,ListTrans!$A$2:$C$124,3,FALSE)</f>
        <v>1195: Close OD Facility by Cash</v>
      </c>
      <c r="D65" s="2" t="s">
        <v>299</v>
      </c>
      <c r="E65" s="2" t="s">
        <v>300</v>
      </c>
    </row>
    <row r="66" spans="1:5" hidden="1" x14ac:dyDescent="0.25">
      <c r="A66" s="2" t="s">
        <v>511</v>
      </c>
      <c r="B66" s="2" t="s">
        <v>175</v>
      </c>
      <c r="C66" s="2" t="str">
        <f>VLOOKUP(B66,ListTrans!$A$2:$C$124,3,FALSE)</f>
        <v>1196: Close OD Facility by GL</v>
      </c>
      <c r="D66" s="2" t="s">
        <v>299</v>
      </c>
      <c r="E66" s="2" t="s">
        <v>300</v>
      </c>
    </row>
    <row r="67" spans="1:5" hidden="1" x14ac:dyDescent="0.25">
      <c r="A67" s="2" t="s">
        <v>511</v>
      </c>
      <c r="B67" s="2" t="s">
        <v>98</v>
      </c>
      <c r="C67" s="2" t="str">
        <f>VLOOKUP(B67,ListTrans!$A$2:$C$124,3,FALSE)</f>
        <v>FX deposit - cash</v>
      </c>
      <c r="D67" s="2" t="s">
        <v>286</v>
      </c>
      <c r="E67" s="2" t="s">
        <v>287</v>
      </c>
    </row>
    <row r="68" spans="1:5" hidden="1" x14ac:dyDescent="0.25">
      <c r="A68" s="2" t="s">
        <v>511</v>
      </c>
      <c r="B68" s="2" t="s">
        <v>98</v>
      </c>
      <c r="C68" s="2" t="str">
        <f>VLOOKUP(B68,ListTrans!$A$2:$C$124,3,FALSE)</f>
        <v>FX deposit - cash</v>
      </c>
      <c r="D68" s="2" t="s">
        <v>290</v>
      </c>
      <c r="E68" s="2" t="s">
        <v>291</v>
      </c>
    </row>
    <row r="69" spans="1:5" hidden="1" x14ac:dyDescent="0.25">
      <c r="A69" s="2" t="s">
        <v>511</v>
      </c>
      <c r="B69" s="2" t="s">
        <v>100</v>
      </c>
      <c r="C69" s="2" t="str">
        <f>VLOOKUP(B69,ListTrans!$A$2:$C$124,3,FALSE)</f>
        <v>11837: Change status of stock</v>
      </c>
      <c r="D69" s="2" t="s">
        <v>299</v>
      </c>
      <c r="E69" s="2" t="s">
        <v>344</v>
      </c>
    </row>
    <row r="70" spans="1:5" hidden="1" x14ac:dyDescent="0.25">
      <c r="A70" s="2" t="s">
        <v>511</v>
      </c>
      <c r="B70" s="2" t="s">
        <v>102</v>
      </c>
      <c r="C70" s="2" t="str">
        <f>VLOOKUP(B70,ListTrans!$A$2:$C$124,3,FALSE)</f>
        <v>1121: Cash withdrawal by cheque</v>
      </c>
      <c r="D70" s="2" t="s">
        <v>313</v>
      </c>
      <c r="E70" s="2" t="s">
        <v>331</v>
      </c>
    </row>
    <row r="71" spans="1:5" hidden="1" x14ac:dyDescent="0.25">
      <c r="A71" s="2" t="s">
        <v>511</v>
      </c>
      <c r="B71" s="2" t="s">
        <v>102</v>
      </c>
      <c r="C71" s="2" t="str">
        <f>VLOOKUP(B71,ListTrans!$A$2:$C$124,3,FALSE)</f>
        <v>1121: Cash withdrawal by cheque</v>
      </c>
      <c r="D71" s="2" t="s">
        <v>288</v>
      </c>
      <c r="E71" s="2" t="s">
        <v>332</v>
      </c>
    </row>
    <row r="72" spans="1:5" hidden="1" x14ac:dyDescent="0.25">
      <c r="A72" s="2" t="s">
        <v>511</v>
      </c>
      <c r="B72" s="2" t="s">
        <v>102</v>
      </c>
      <c r="C72" s="2" t="str">
        <f>VLOOKUP(B72,ListTrans!$A$2:$C$124,3,FALSE)</f>
        <v>1121: Cash withdrawal by cheque</v>
      </c>
      <c r="D72" s="2" t="s">
        <v>299</v>
      </c>
      <c r="E72" s="2" t="s">
        <v>345</v>
      </c>
    </row>
    <row r="73" spans="1:5" hidden="1" x14ac:dyDescent="0.25">
      <c r="A73" s="2" t="s">
        <v>511</v>
      </c>
      <c r="B73" s="2" t="s">
        <v>102</v>
      </c>
      <c r="C73" s="2" t="str">
        <f>VLOOKUP(B73,ListTrans!$A$2:$C$124,3,FALSE)</f>
        <v>1121: Cash withdrawal by cheque</v>
      </c>
      <c r="D73" s="2" t="s">
        <v>299</v>
      </c>
      <c r="E73" s="2" t="s">
        <v>346</v>
      </c>
    </row>
    <row r="74" spans="1:5" hidden="1" x14ac:dyDescent="0.25">
      <c r="A74" s="2" t="s">
        <v>511</v>
      </c>
      <c r="B74" s="2" t="s">
        <v>104</v>
      </c>
      <c r="C74" s="2" t="str">
        <f>VLOOKUP(B74,ListTrans!$A$2:$C$124,3,FALSE)</f>
        <v>1125: Misellaneous debit by cheque</v>
      </c>
      <c r="D74" s="2" t="s">
        <v>288</v>
      </c>
      <c r="E74" s="2" t="s">
        <v>347</v>
      </c>
    </row>
    <row r="75" spans="1:5" hidden="1" x14ac:dyDescent="0.25">
      <c r="A75" s="2" t="s">
        <v>511</v>
      </c>
      <c r="B75" s="2" t="s">
        <v>104</v>
      </c>
      <c r="C75" s="2" t="str">
        <f>VLOOKUP(B75,ListTrans!$A$2:$C$124,3,FALSE)</f>
        <v>1125: Misellaneous debit by cheque</v>
      </c>
      <c r="D75" s="2" t="s">
        <v>313</v>
      </c>
      <c r="E75" s="2" t="s">
        <v>348</v>
      </c>
    </row>
    <row r="76" spans="1:5" hidden="1" x14ac:dyDescent="0.25">
      <c r="A76" s="2" t="s">
        <v>511</v>
      </c>
      <c r="B76" s="2" t="s">
        <v>104</v>
      </c>
      <c r="C76" s="2" t="str">
        <f>VLOOKUP(B76,ListTrans!$A$2:$C$124,3,FALSE)</f>
        <v>1125: Misellaneous debit by cheque</v>
      </c>
      <c r="D76" s="2" t="s">
        <v>307</v>
      </c>
      <c r="E76" s="2" t="s">
        <v>349</v>
      </c>
    </row>
    <row r="77" spans="1:5" hidden="1" x14ac:dyDescent="0.25">
      <c r="A77" s="2" t="s">
        <v>511</v>
      </c>
      <c r="B77" s="2" t="s">
        <v>104</v>
      </c>
      <c r="C77" s="2" t="str">
        <f>VLOOKUP(B77,ListTrans!$A$2:$C$124,3,FALSE)</f>
        <v>1125: Misellaneous debit by cheque</v>
      </c>
      <c r="D77" s="2" t="s">
        <v>290</v>
      </c>
      <c r="E77" s="2" t="s">
        <v>350</v>
      </c>
    </row>
    <row r="78" spans="1:5" hidden="1" x14ac:dyDescent="0.25">
      <c r="A78" s="2" t="s">
        <v>511</v>
      </c>
      <c r="B78" s="2" t="s">
        <v>106</v>
      </c>
      <c r="C78" s="2" t="str">
        <f>VLOOKUP(B78,ListTrans!$A$2:$C$124,3,FALSE)</f>
        <v>1120: Cash withdrawal</v>
      </c>
      <c r="D78" s="2" t="s">
        <v>307</v>
      </c>
      <c r="E78" s="2" t="s">
        <v>351</v>
      </c>
    </row>
    <row r="79" spans="1:5" hidden="1" x14ac:dyDescent="0.25">
      <c r="A79" s="2" t="s">
        <v>511</v>
      </c>
      <c r="B79" s="2" t="s">
        <v>106</v>
      </c>
      <c r="C79" s="2" t="str">
        <f>VLOOKUP(B79,ListTrans!$A$2:$C$124,3,FALSE)</f>
        <v>1120: Cash withdrawal</v>
      </c>
      <c r="D79" s="2" t="s">
        <v>288</v>
      </c>
      <c r="E79" s="2" t="s">
        <v>332</v>
      </c>
    </row>
    <row r="80" spans="1:5" hidden="1" x14ac:dyDescent="0.25">
      <c r="A80" s="2" t="s">
        <v>511</v>
      </c>
      <c r="B80" s="2" t="s">
        <v>106</v>
      </c>
      <c r="C80" s="2" t="str">
        <f>VLOOKUP(B80,ListTrans!$A$2:$C$124,3,FALSE)</f>
        <v>1120: Cash withdrawal</v>
      </c>
      <c r="D80" s="2" t="s">
        <v>313</v>
      </c>
      <c r="E80" s="2" t="s">
        <v>331</v>
      </c>
    </row>
    <row r="81" spans="1:5" hidden="1" x14ac:dyDescent="0.25">
      <c r="A81" s="2" t="s">
        <v>511</v>
      </c>
      <c r="B81" s="2" t="s">
        <v>106</v>
      </c>
      <c r="C81" s="2" t="str">
        <f>VLOOKUP(B81,ListTrans!$A$2:$C$124,3,FALSE)</f>
        <v>1120: Cash withdrawal</v>
      </c>
      <c r="D81" s="2" t="s">
        <v>299</v>
      </c>
      <c r="E81" s="2" t="s">
        <v>352</v>
      </c>
    </row>
    <row r="82" spans="1:5" hidden="1" x14ac:dyDescent="0.25">
      <c r="A82" s="2" t="s">
        <v>511</v>
      </c>
      <c r="B82" s="2" t="s">
        <v>108</v>
      </c>
      <c r="C82" s="2" t="str">
        <f>VLOOKUP(B82,ListTrans!$A$2:$C$124,3,FALSE)</f>
        <v>1141: Interest payment to deposit account</v>
      </c>
      <c r="D82" s="2" t="s">
        <v>288</v>
      </c>
      <c r="E82" s="2" t="s">
        <v>353</v>
      </c>
    </row>
    <row r="83" spans="1:5" hidden="1" x14ac:dyDescent="0.25">
      <c r="A83" s="2" t="s">
        <v>511</v>
      </c>
      <c r="B83" s="2" t="s">
        <v>108</v>
      </c>
      <c r="C83" s="2" t="str">
        <f>VLOOKUP(B83,ListTrans!$A$2:$C$124,3,FALSE)</f>
        <v>1141: Interest payment to deposit account</v>
      </c>
      <c r="D83" s="2" t="s">
        <v>313</v>
      </c>
      <c r="E83" s="2" t="s">
        <v>354</v>
      </c>
    </row>
    <row r="84" spans="1:5" hidden="1" x14ac:dyDescent="0.25">
      <c r="A84" s="2" t="s">
        <v>511</v>
      </c>
      <c r="B84" s="2" t="s">
        <v>108</v>
      </c>
      <c r="C84" s="2" t="str">
        <f>VLOOKUP(B84,ListTrans!$A$2:$C$124,3,FALSE)</f>
        <v>1141: Interest payment to deposit account</v>
      </c>
      <c r="D84" s="2" t="s">
        <v>313</v>
      </c>
      <c r="E84" s="2" t="s">
        <v>355</v>
      </c>
    </row>
    <row r="85" spans="1:5" hidden="1" x14ac:dyDescent="0.25">
      <c r="A85" s="2" t="s">
        <v>511</v>
      </c>
      <c r="B85" s="2" t="s">
        <v>108</v>
      </c>
      <c r="C85" s="2" t="str">
        <f>VLOOKUP(B85,ListTrans!$A$2:$C$124,3,FALSE)</f>
        <v>1141: Interest payment to deposit account</v>
      </c>
      <c r="D85" s="2" t="s">
        <v>325</v>
      </c>
      <c r="E85" s="2" t="s">
        <v>356</v>
      </c>
    </row>
    <row r="86" spans="1:5" hidden="1" x14ac:dyDescent="0.25">
      <c r="A86" s="2" t="s">
        <v>511</v>
      </c>
      <c r="B86" s="2" t="s">
        <v>108</v>
      </c>
      <c r="C86" s="2" t="str">
        <f>VLOOKUP(B86,ListTrans!$A$2:$C$124,3,FALSE)</f>
        <v>1141: Interest payment to deposit account</v>
      </c>
      <c r="D86" s="2" t="s">
        <v>290</v>
      </c>
      <c r="E86" s="2" t="s">
        <v>357</v>
      </c>
    </row>
    <row r="87" spans="1:5" hidden="1" x14ac:dyDescent="0.25">
      <c r="A87" s="2" t="s">
        <v>511</v>
      </c>
      <c r="B87" s="2" t="s">
        <v>108</v>
      </c>
      <c r="C87" s="2" t="str">
        <f>VLOOKUP(B87,ListTrans!$A$2:$C$124,3,FALSE)</f>
        <v>1141: Interest payment to deposit account</v>
      </c>
      <c r="D87" s="2" t="s">
        <v>290</v>
      </c>
      <c r="E87" s="2" t="s">
        <v>358</v>
      </c>
    </row>
    <row r="88" spans="1:5" hidden="1" x14ac:dyDescent="0.25">
      <c r="A88" s="2" t="s">
        <v>511</v>
      </c>
      <c r="B88" s="2" t="s">
        <v>110</v>
      </c>
      <c r="C88" s="2" t="str">
        <f>VLOOKUP(B88,ListTrans!$A$2:$C$124,3,FALSE)</f>
        <v>1190: Close deposit account by deposit</v>
      </c>
      <c r="D88" s="2" t="s">
        <v>288</v>
      </c>
      <c r="E88" s="2" t="s">
        <v>359</v>
      </c>
    </row>
    <row r="89" spans="1:5" hidden="1" x14ac:dyDescent="0.25">
      <c r="A89" s="2" t="s">
        <v>511</v>
      </c>
      <c r="B89" s="2" t="s">
        <v>110</v>
      </c>
      <c r="C89" s="2" t="str">
        <f>VLOOKUP(B89,ListTrans!$A$2:$C$124,3,FALSE)</f>
        <v>1190: Close deposit account by deposit</v>
      </c>
      <c r="D89" s="2" t="s">
        <v>313</v>
      </c>
      <c r="E89" s="2" t="s">
        <v>360</v>
      </c>
    </row>
    <row r="90" spans="1:5" hidden="1" x14ac:dyDescent="0.25">
      <c r="A90" s="2" t="s">
        <v>511</v>
      </c>
      <c r="B90" s="2" t="s">
        <v>110</v>
      </c>
      <c r="C90" s="2" t="str">
        <f>VLOOKUP(B90,ListTrans!$A$2:$C$124,3,FALSE)</f>
        <v>1190: Close deposit account by deposit</v>
      </c>
      <c r="D90" s="2" t="s">
        <v>299</v>
      </c>
      <c r="E90" s="2" t="s">
        <v>339</v>
      </c>
    </row>
    <row r="91" spans="1:5" hidden="1" x14ac:dyDescent="0.25">
      <c r="A91" s="2" t="s">
        <v>511</v>
      </c>
      <c r="B91" s="2" t="s">
        <v>110</v>
      </c>
      <c r="C91" s="2" t="str">
        <f>VLOOKUP(B91,ListTrans!$A$2:$C$124,3,FALSE)</f>
        <v>1190: Close deposit account by deposit</v>
      </c>
      <c r="D91" s="2" t="s">
        <v>57</v>
      </c>
      <c r="E91" s="2" t="s">
        <v>58</v>
      </c>
    </row>
    <row r="92" spans="1:5" hidden="1" x14ac:dyDescent="0.25">
      <c r="A92" s="2" t="s">
        <v>511</v>
      </c>
      <c r="B92" s="2" t="s">
        <v>110</v>
      </c>
      <c r="C92" s="2" t="str">
        <f>VLOOKUP(B92,ListTrans!$A$2:$C$124,3,FALSE)</f>
        <v>1190: Close deposit account by deposit</v>
      </c>
      <c r="D92" s="2" t="s">
        <v>340</v>
      </c>
      <c r="E92" s="2" t="s">
        <v>341</v>
      </c>
    </row>
    <row r="93" spans="1:5" hidden="1" x14ac:dyDescent="0.25">
      <c r="A93" s="2" t="s">
        <v>511</v>
      </c>
      <c r="B93" s="2" t="s">
        <v>110</v>
      </c>
      <c r="C93" s="2" t="str">
        <f>VLOOKUP(B93,ListTrans!$A$2:$C$124,3,FALSE)</f>
        <v>1190: Close deposit account by deposit</v>
      </c>
      <c r="D93" s="2" t="s">
        <v>299</v>
      </c>
      <c r="E93" s="2" t="s">
        <v>361</v>
      </c>
    </row>
    <row r="94" spans="1:5" hidden="1" x14ac:dyDescent="0.25">
      <c r="A94" s="2" t="s">
        <v>511</v>
      </c>
      <c r="B94" s="2" t="s">
        <v>110</v>
      </c>
      <c r="C94" s="2" t="str">
        <f>VLOOKUP(B94,ListTrans!$A$2:$C$124,3,FALSE)</f>
        <v>1190: Close deposit account by deposit</v>
      </c>
      <c r="D94" s="2" t="s">
        <v>342</v>
      </c>
      <c r="E94" s="2" t="s">
        <v>343</v>
      </c>
    </row>
    <row r="95" spans="1:5" hidden="1" x14ac:dyDescent="0.25">
      <c r="A95" s="2" t="s">
        <v>511</v>
      </c>
      <c r="B95" s="2" t="s">
        <v>112</v>
      </c>
      <c r="C95" s="2" t="str">
        <f>VLOOKUP(B95,ListTrans!$A$2:$C$124,3,FALSE)</f>
        <v>FX deposit- deposit</v>
      </c>
      <c r="D95" s="2" t="s">
        <v>288</v>
      </c>
      <c r="E95" s="2" t="s">
        <v>362</v>
      </c>
    </row>
    <row r="96" spans="1:5" hidden="1" x14ac:dyDescent="0.25">
      <c r="A96" s="2" t="s">
        <v>511</v>
      </c>
      <c r="B96" s="2" t="s">
        <v>112</v>
      </c>
      <c r="C96" s="2" t="str">
        <f>VLOOKUP(B96,ListTrans!$A$2:$C$124,3,FALSE)</f>
        <v>FX deposit- deposit</v>
      </c>
      <c r="D96" s="2" t="s">
        <v>286</v>
      </c>
      <c r="E96" s="2" t="s">
        <v>363</v>
      </c>
    </row>
    <row r="97" spans="1:5" hidden="1" x14ac:dyDescent="0.25">
      <c r="A97" s="2" t="s">
        <v>511</v>
      </c>
      <c r="B97" s="2" t="s">
        <v>112</v>
      </c>
      <c r="C97" s="2" t="str">
        <f>VLOOKUP(B97,ListTrans!$A$2:$C$124,3,FALSE)</f>
        <v>FX deposit- deposit</v>
      </c>
      <c r="D97" s="2" t="s">
        <v>290</v>
      </c>
      <c r="E97" s="2" t="s">
        <v>364</v>
      </c>
    </row>
    <row r="98" spans="1:5" hidden="1" x14ac:dyDescent="0.25">
      <c r="A98" s="2" t="s">
        <v>511</v>
      </c>
      <c r="B98" s="2" t="s">
        <v>112</v>
      </c>
      <c r="C98" s="2" t="str">
        <f>VLOOKUP(B98,ListTrans!$A$2:$C$124,3,FALSE)</f>
        <v>FX deposit- deposit</v>
      </c>
      <c r="D98" s="2" t="s">
        <v>288</v>
      </c>
      <c r="E98" s="2" t="s">
        <v>365</v>
      </c>
    </row>
    <row r="99" spans="1:5" hidden="1" x14ac:dyDescent="0.25">
      <c r="A99" s="2" t="s">
        <v>511</v>
      </c>
      <c r="B99" s="2" t="s">
        <v>112</v>
      </c>
      <c r="C99" s="2" t="str">
        <f>VLOOKUP(B99,ListTrans!$A$2:$C$124,3,FALSE)</f>
        <v>FX deposit- deposit</v>
      </c>
      <c r="D99" s="2" t="s">
        <v>286</v>
      </c>
      <c r="E99" s="2" t="s">
        <v>366</v>
      </c>
    </row>
    <row r="100" spans="1:5" hidden="1" x14ac:dyDescent="0.25">
      <c r="A100" s="2" t="s">
        <v>511</v>
      </c>
      <c r="B100" s="2" t="s">
        <v>112</v>
      </c>
      <c r="C100" s="2" t="str">
        <f>VLOOKUP(B100,ListTrans!$A$2:$C$124,3,FALSE)</f>
        <v>FX deposit- deposit</v>
      </c>
      <c r="D100" s="2" t="s">
        <v>290</v>
      </c>
      <c r="E100" s="2" t="s">
        <v>367</v>
      </c>
    </row>
    <row r="101" spans="1:5" x14ac:dyDescent="0.25">
      <c r="A101" s="2" t="s">
        <v>512</v>
      </c>
      <c r="B101" s="2" t="s">
        <v>268</v>
      </c>
      <c r="C101" s="2" t="str">
        <f>VLOOKUP(B101,ListTrans!$A$2:$C$124,3,FALSE)</f>
        <v>FX deposit- deposit standing order</v>
      </c>
      <c r="D101" s="2" t="s">
        <v>288</v>
      </c>
      <c r="E101" s="2" t="s">
        <v>362</v>
      </c>
    </row>
    <row r="102" spans="1:5" x14ac:dyDescent="0.25">
      <c r="A102" s="2" t="s">
        <v>512</v>
      </c>
      <c r="B102" s="2" t="s">
        <v>268</v>
      </c>
      <c r="C102" s="2" t="str">
        <f>VLOOKUP(B102,ListTrans!$A$2:$C$124,3,FALSE)</f>
        <v>FX deposit- deposit standing order</v>
      </c>
      <c r="D102" s="2" t="s">
        <v>286</v>
      </c>
      <c r="E102" s="2" t="s">
        <v>363</v>
      </c>
    </row>
    <row r="103" spans="1:5" x14ac:dyDescent="0.25">
      <c r="A103" s="2" t="s">
        <v>512</v>
      </c>
      <c r="B103" s="2" t="s">
        <v>268</v>
      </c>
      <c r="C103" s="2" t="str">
        <f>VLOOKUP(B103,ListTrans!$A$2:$C$124,3,FALSE)</f>
        <v>FX deposit- deposit standing order</v>
      </c>
      <c r="D103" s="2" t="s">
        <v>290</v>
      </c>
      <c r="E103" s="2" t="s">
        <v>364</v>
      </c>
    </row>
    <row r="104" spans="1:5" x14ac:dyDescent="0.25">
      <c r="A104" s="2" t="s">
        <v>512</v>
      </c>
      <c r="B104" s="2" t="s">
        <v>268</v>
      </c>
      <c r="C104" s="2" t="str">
        <f>VLOOKUP(B104,ListTrans!$A$2:$C$124,3,FALSE)</f>
        <v>FX deposit- deposit standing order</v>
      </c>
      <c r="D104" s="2" t="s">
        <v>288</v>
      </c>
      <c r="E104" s="2" t="s">
        <v>365</v>
      </c>
    </row>
    <row r="105" spans="1:5" x14ac:dyDescent="0.25">
      <c r="A105" s="2" t="s">
        <v>512</v>
      </c>
      <c r="B105" s="2" t="s">
        <v>268</v>
      </c>
      <c r="C105" s="2" t="str">
        <f>VLOOKUP(B105,ListTrans!$A$2:$C$124,3,FALSE)</f>
        <v>FX deposit- deposit standing order</v>
      </c>
      <c r="D105" s="2" t="s">
        <v>286</v>
      </c>
      <c r="E105" s="2" t="s">
        <v>366</v>
      </c>
    </row>
    <row r="106" spans="1:5" x14ac:dyDescent="0.25">
      <c r="A106" s="2" t="s">
        <v>512</v>
      </c>
      <c r="B106" s="2" t="s">
        <v>268</v>
      </c>
      <c r="C106" s="2" t="str">
        <f>VLOOKUP(B106,ListTrans!$A$2:$C$124,3,FALSE)</f>
        <v>FX deposit- deposit standing order</v>
      </c>
      <c r="D106" s="2" t="s">
        <v>290</v>
      </c>
      <c r="E106" s="2" t="s">
        <v>367</v>
      </c>
    </row>
    <row r="107" spans="1:5" hidden="1" x14ac:dyDescent="0.25">
      <c r="A107" s="2" t="s">
        <v>511</v>
      </c>
      <c r="B107" s="2" t="s">
        <v>114</v>
      </c>
      <c r="C107" s="2" t="str">
        <f>VLOOKUP(B107,ListTrans!$A$2:$C$124,3,FALSE)</f>
        <v>1180:Hold balance</v>
      </c>
      <c r="D107" s="2" t="s">
        <v>299</v>
      </c>
      <c r="E107" s="2" t="s">
        <v>352</v>
      </c>
    </row>
    <row r="108" spans="1:5" hidden="1" x14ac:dyDescent="0.25">
      <c r="A108" s="2" t="s">
        <v>511</v>
      </c>
      <c r="B108" s="2" t="s">
        <v>116</v>
      </c>
      <c r="C108" s="2" t="str">
        <f>VLOOKUP(B108,ListTrans!$A$2:$C$124,3,FALSE)</f>
        <v>11851:Release hold balance</v>
      </c>
      <c r="D108" s="2" t="s">
        <v>290</v>
      </c>
      <c r="E108" s="2" t="s">
        <v>368</v>
      </c>
    </row>
    <row r="109" spans="1:5" hidden="1" x14ac:dyDescent="0.25">
      <c r="A109" s="2" t="s">
        <v>511</v>
      </c>
      <c r="B109" s="2" t="s">
        <v>158</v>
      </c>
      <c r="C109" s="2" t="str">
        <f>VLOOKUP(B109,ListTrans!$A$2:$C$124,3,FALSE)</f>
        <v>11804: Fixed deposit book issue</v>
      </c>
      <c r="D109" s="2" t="s">
        <v>325</v>
      </c>
      <c r="E109" s="2" t="s">
        <v>369</v>
      </c>
    </row>
    <row r="110" spans="1:5" hidden="1" x14ac:dyDescent="0.25">
      <c r="A110" s="2" t="s">
        <v>511</v>
      </c>
      <c r="B110" s="2" t="s">
        <v>158</v>
      </c>
      <c r="C110" s="2" t="str">
        <f>VLOOKUP(B110,ListTrans!$A$2:$C$124,3,FALSE)</f>
        <v>11804: Fixed deposit book issue</v>
      </c>
      <c r="D110" s="2" t="s">
        <v>327</v>
      </c>
      <c r="E110" s="2" t="s">
        <v>370</v>
      </c>
    </row>
    <row r="111" spans="1:5" hidden="1" x14ac:dyDescent="0.25">
      <c r="A111" s="2" t="s">
        <v>511</v>
      </c>
      <c r="B111" s="2" t="s">
        <v>158</v>
      </c>
      <c r="C111" s="2" t="str">
        <f>VLOOKUP(B111,ListTrans!$A$2:$C$124,3,FALSE)</f>
        <v>11804: Fixed deposit book issue</v>
      </c>
      <c r="D111" s="2" t="s">
        <v>299</v>
      </c>
      <c r="E111" s="2" t="s">
        <v>329</v>
      </c>
    </row>
    <row r="112" spans="1:5" hidden="1" x14ac:dyDescent="0.25">
      <c r="A112" s="2" t="s">
        <v>511</v>
      </c>
      <c r="B112" s="2" t="s">
        <v>158</v>
      </c>
      <c r="C112" s="2" t="str">
        <f>VLOOKUP(B112,ListTrans!$A$2:$C$124,3,FALSE)</f>
        <v>11804: Fixed deposit book issue</v>
      </c>
      <c r="D112" s="2" t="s">
        <v>290</v>
      </c>
      <c r="E112" s="2" t="s">
        <v>330</v>
      </c>
    </row>
    <row r="113" spans="1:5" hidden="1" x14ac:dyDescent="0.25">
      <c r="A113" s="2" t="s">
        <v>511</v>
      </c>
      <c r="B113" s="2" t="s">
        <v>118</v>
      </c>
      <c r="C113" s="2" t="str">
        <f>VLOOKUP(B113,ListTrans!$A$2:$C$124,3,FALSE)</f>
        <v>1185: Fee collection by transfer</v>
      </c>
      <c r="D113" s="2" t="s">
        <v>290</v>
      </c>
      <c r="E113" s="2" t="s">
        <v>291</v>
      </c>
    </row>
    <row r="114" spans="1:5" hidden="1" x14ac:dyDescent="0.25">
      <c r="A114" s="2" t="s">
        <v>511</v>
      </c>
      <c r="B114" s="2" t="s">
        <v>120</v>
      </c>
      <c r="C114" s="2" t="str">
        <f>VLOOKUP(B114,ListTrans!$A$2:$C$124,3,FALSE)</f>
        <v>1184: Fee collection by cash for DD</v>
      </c>
      <c r="D114" s="2" t="s">
        <v>290</v>
      </c>
      <c r="E114" s="2" t="s">
        <v>291</v>
      </c>
    </row>
    <row r="115" spans="1:5" x14ac:dyDescent="0.25">
      <c r="A115" s="2" t="s">
        <v>512</v>
      </c>
      <c r="B115" s="2" t="s">
        <v>183</v>
      </c>
      <c r="C115" s="2" t="str">
        <f>VLOOKUP(B115,ListTrans!$A$2:$C$124,3,FALSE)</f>
        <v>Fund transfer</v>
      </c>
      <c r="D115" s="2" t="s">
        <v>302</v>
      </c>
      <c r="E115" s="2" t="s">
        <v>303</v>
      </c>
    </row>
    <row r="116" spans="1:5" x14ac:dyDescent="0.25">
      <c r="A116" s="2" t="s">
        <v>512</v>
      </c>
      <c r="B116" s="2" t="s">
        <v>183</v>
      </c>
      <c r="C116" s="2" t="str">
        <f>VLOOKUP(B116,ListTrans!$A$2:$C$124,3,FALSE)</f>
        <v>Fund transfer</v>
      </c>
      <c r="D116" s="2" t="s">
        <v>304</v>
      </c>
      <c r="E116" s="2" t="s">
        <v>305</v>
      </c>
    </row>
    <row r="117" spans="1:5" x14ac:dyDescent="0.25">
      <c r="A117" s="2" t="s">
        <v>512</v>
      </c>
      <c r="B117" s="2" t="s">
        <v>183</v>
      </c>
      <c r="C117" s="2" t="str">
        <f>VLOOKUP(B117,ListTrans!$A$2:$C$124,3,FALSE)</f>
        <v>Fund transfer</v>
      </c>
      <c r="D117" s="2" t="s">
        <v>288</v>
      </c>
      <c r="E117" s="2" t="s">
        <v>371</v>
      </c>
    </row>
    <row r="118" spans="1:5" x14ac:dyDescent="0.25">
      <c r="A118" s="2" t="s">
        <v>512</v>
      </c>
      <c r="B118" s="2" t="s">
        <v>183</v>
      </c>
      <c r="C118" s="2" t="str">
        <f>VLOOKUP(B118,ListTrans!$A$2:$C$124,3,FALSE)</f>
        <v>Fund transfer</v>
      </c>
      <c r="D118" s="2" t="s">
        <v>286</v>
      </c>
      <c r="E118" s="2" t="s">
        <v>287</v>
      </c>
    </row>
    <row r="119" spans="1:5" x14ac:dyDescent="0.25">
      <c r="A119" s="2" t="s">
        <v>512</v>
      </c>
      <c r="B119" s="2" t="s">
        <v>183</v>
      </c>
      <c r="C119" s="2" t="str">
        <f>VLOOKUP(B119,ListTrans!$A$2:$C$124,3,FALSE)</f>
        <v>Fund transfer</v>
      </c>
      <c r="D119" s="2" t="s">
        <v>290</v>
      </c>
      <c r="E119" s="2" t="s">
        <v>291</v>
      </c>
    </row>
    <row r="120" spans="1:5" x14ac:dyDescent="0.25">
      <c r="A120" s="2" t="s">
        <v>512</v>
      </c>
      <c r="B120" s="2" t="s">
        <v>278</v>
      </c>
      <c r="C120" s="2" t="str">
        <f>VLOOKUP(B120,ListTrans!$A$2:$C$124,3,FALSE)</f>
        <v>Fund transfer cross currency</v>
      </c>
      <c r="D120" s="2" t="s">
        <v>304</v>
      </c>
      <c r="E120" s="2" t="s">
        <v>372</v>
      </c>
    </row>
    <row r="121" spans="1:5" x14ac:dyDescent="0.25">
      <c r="A121" s="2" t="s">
        <v>512</v>
      </c>
      <c r="B121" s="2" t="s">
        <v>187</v>
      </c>
      <c r="C121" s="2" t="str">
        <f>VLOOKUP(B121,ListTrans!$A$2:$C$124,3,FALSE)</f>
        <v>Fund transfer Paygate</v>
      </c>
      <c r="D121" s="2" t="s">
        <v>304</v>
      </c>
      <c r="E121" s="2" t="s">
        <v>305</v>
      </c>
    </row>
    <row r="122" spans="1:5" x14ac:dyDescent="0.25">
      <c r="A122" s="2" t="s">
        <v>512</v>
      </c>
      <c r="B122" s="2" t="s">
        <v>187</v>
      </c>
      <c r="C122" s="2" t="str">
        <f>VLOOKUP(B122,ListTrans!$A$2:$C$124,3,FALSE)</f>
        <v>Fund transfer Paygate</v>
      </c>
      <c r="D122" s="2" t="s">
        <v>288</v>
      </c>
      <c r="E122" s="2" t="s">
        <v>371</v>
      </c>
    </row>
    <row r="123" spans="1:5" x14ac:dyDescent="0.25">
      <c r="A123" s="2" t="s">
        <v>512</v>
      </c>
      <c r="B123" s="2" t="s">
        <v>187</v>
      </c>
      <c r="C123" s="2" t="str">
        <f>VLOOKUP(B123,ListTrans!$A$2:$C$124,3,FALSE)</f>
        <v>Fund transfer Paygate</v>
      </c>
      <c r="D123" s="2" t="s">
        <v>286</v>
      </c>
      <c r="E123" s="2" t="s">
        <v>287</v>
      </c>
    </row>
    <row r="124" spans="1:5" x14ac:dyDescent="0.25">
      <c r="A124" s="2" t="s">
        <v>512</v>
      </c>
      <c r="B124" s="2" t="s">
        <v>187</v>
      </c>
      <c r="C124" s="2" t="str">
        <f>VLOOKUP(B124,ListTrans!$A$2:$C$124,3,FALSE)</f>
        <v>Fund transfer Paygate</v>
      </c>
      <c r="D124" s="2" t="s">
        <v>290</v>
      </c>
      <c r="E124" s="2" t="s">
        <v>291</v>
      </c>
    </row>
    <row r="125" spans="1:5" x14ac:dyDescent="0.25">
      <c r="A125" s="2" t="s">
        <v>512</v>
      </c>
      <c r="B125" s="2" t="s">
        <v>164</v>
      </c>
      <c r="C125" s="2" t="str">
        <f>VLOOKUP(B125,ListTrans!$A$2:$C$124,3,FALSE)</f>
        <v>DPT_GET_ACCOUNT_INFO</v>
      </c>
      <c r="D125" s="2" t="s">
        <v>49</v>
      </c>
      <c r="E125" s="2" t="s">
        <v>373</v>
      </c>
    </row>
    <row r="126" spans="1:5" x14ac:dyDescent="0.25">
      <c r="A126" s="2" t="s">
        <v>512</v>
      </c>
      <c r="B126" s="2" t="s">
        <v>179</v>
      </c>
      <c r="C126" s="2" t="str">
        <f>VLOOKUP(B126,ListTrans!$A$2:$C$124,3,FALSE)</f>
        <v>Get deposit balance inquiry for CardZone</v>
      </c>
      <c r="D126" s="2" t="s">
        <v>325</v>
      </c>
      <c r="E126" s="2" t="s">
        <v>374</v>
      </c>
    </row>
    <row r="127" spans="1:5" x14ac:dyDescent="0.25">
      <c r="A127" s="2" t="s">
        <v>512</v>
      </c>
      <c r="B127" s="2" t="s">
        <v>251</v>
      </c>
      <c r="C127" s="2" t="str">
        <f>VLOOKUP(B127,ListTrans!$A$2:$C$124,3,FALSE)</f>
        <v>Get deposit balance inquiry for CardZone</v>
      </c>
      <c r="D127" s="2" t="s">
        <v>325</v>
      </c>
      <c r="E127" s="2" t="s">
        <v>374</v>
      </c>
    </row>
    <row r="128" spans="1:5" x14ac:dyDescent="0.25">
      <c r="A128" s="2" t="s">
        <v>512</v>
      </c>
      <c r="B128" s="2" t="s">
        <v>251</v>
      </c>
      <c r="C128" s="2" t="str">
        <f>VLOOKUP(B128,ListTrans!$A$2:$C$124,3,FALSE)</f>
        <v>Get deposit balance inquiry for CardZone</v>
      </c>
      <c r="D128" s="2" t="s">
        <v>375</v>
      </c>
      <c r="E128" s="2" t="s">
        <v>376</v>
      </c>
    </row>
    <row r="129" spans="1:5" x14ac:dyDescent="0.25">
      <c r="A129" s="2" t="s">
        <v>512</v>
      </c>
      <c r="B129" s="2" t="s">
        <v>177</v>
      </c>
      <c r="C129" s="2" t="str">
        <f>VLOOKUP(B129,ListTrans!$A$2:$C$124,3,FALSE)</f>
        <v>Get Account Statement for CardZone</v>
      </c>
      <c r="D129" s="2" t="s">
        <v>325</v>
      </c>
      <c r="E129" s="2" t="s">
        <v>374</v>
      </c>
    </row>
    <row r="130" spans="1:5" x14ac:dyDescent="0.25">
      <c r="A130" s="2" t="s">
        <v>512</v>
      </c>
      <c r="B130" s="2" t="s">
        <v>250</v>
      </c>
      <c r="C130" s="2" t="str">
        <f>VLOOKUP(B130,ListTrans!$A$2:$C$124,3,FALSE)</f>
        <v>Get Account Statement for CardZone</v>
      </c>
      <c r="D130" s="2" t="s">
        <v>325</v>
      </c>
      <c r="E130" s="2" t="s">
        <v>374</v>
      </c>
    </row>
    <row r="131" spans="1:5" hidden="1" x14ac:dyDescent="0.25">
      <c r="A131" s="2" t="s">
        <v>511</v>
      </c>
      <c r="B131" s="2" t="s">
        <v>122</v>
      </c>
      <c r="C131" s="2" t="str">
        <f>VLOOKUP(B131,ListTrans!$A$2:$C$124,3,FALSE)</f>
        <v>1169: Adjust deposit interest</v>
      </c>
      <c r="D131" s="2" t="s">
        <v>377</v>
      </c>
      <c r="E131" s="2" t="s">
        <v>378</v>
      </c>
    </row>
    <row r="132" spans="1:5" hidden="1" x14ac:dyDescent="0.25">
      <c r="A132" s="2" t="s">
        <v>511</v>
      </c>
      <c r="B132" s="2" t="s">
        <v>122</v>
      </c>
      <c r="C132" s="2" t="str">
        <f>VLOOKUP(B132,ListTrans!$A$2:$C$124,3,FALSE)</f>
        <v>1169: Adjust deposit interest</v>
      </c>
      <c r="D132" s="2" t="s">
        <v>299</v>
      </c>
      <c r="E132" s="2" t="s">
        <v>379</v>
      </c>
    </row>
    <row r="133" spans="1:5" hidden="1" x14ac:dyDescent="0.25">
      <c r="A133" s="2" t="s">
        <v>511</v>
      </c>
      <c r="B133" s="2" t="s">
        <v>122</v>
      </c>
      <c r="C133" s="2" t="str">
        <f>VLOOKUP(B133,ListTrans!$A$2:$C$124,3,FALSE)</f>
        <v>1169: Adjust deposit interest</v>
      </c>
      <c r="D133" s="2" t="s">
        <v>380</v>
      </c>
      <c r="E133" s="2" t="s">
        <v>381</v>
      </c>
    </row>
    <row r="134" spans="1:5" hidden="1" x14ac:dyDescent="0.25">
      <c r="A134" s="2" t="s">
        <v>511</v>
      </c>
      <c r="B134" s="2" t="s">
        <v>122</v>
      </c>
      <c r="C134" s="2" t="str">
        <f>VLOOKUP(B134,ListTrans!$A$2:$C$124,3,FALSE)</f>
        <v>1169: Adjust deposit interest</v>
      </c>
      <c r="D134" s="2" t="s">
        <v>299</v>
      </c>
      <c r="E134" s="2" t="s">
        <v>382</v>
      </c>
    </row>
    <row r="135" spans="1:5" hidden="1" x14ac:dyDescent="0.25">
      <c r="A135" s="2" t="s">
        <v>511</v>
      </c>
      <c r="B135" s="2" t="s">
        <v>122</v>
      </c>
      <c r="C135" s="2" t="str">
        <f>VLOOKUP(B135,ListTrans!$A$2:$C$124,3,FALSE)</f>
        <v>1169: Adjust deposit interest</v>
      </c>
      <c r="D135" s="2" t="s">
        <v>299</v>
      </c>
      <c r="E135" s="2" t="s">
        <v>300</v>
      </c>
    </row>
    <row r="136" spans="1:5" hidden="1" x14ac:dyDescent="0.25">
      <c r="A136" s="2" t="s">
        <v>513</v>
      </c>
      <c r="B136" s="2" t="s">
        <v>165</v>
      </c>
      <c r="C136" s="2" t="str">
        <f>VLOOKUP(B136,ListTrans!$A$2:$C$124,3,FALSE)</f>
        <v>Insert deposit catalog</v>
      </c>
      <c r="D136" s="2" t="s">
        <v>383</v>
      </c>
      <c r="E136" s="2" t="s">
        <v>384</v>
      </c>
    </row>
    <row r="137" spans="1:5" hidden="1" x14ac:dyDescent="0.25">
      <c r="A137" s="2" t="s">
        <v>511</v>
      </c>
      <c r="B137" s="2" t="s">
        <v>283</v>
      </c>
      <c r="C137" s="2" t="str">
        <f>VLOOKUP(B137,ListTrans!$A$2:$C$124,3,FALSE)</f>
        <v>Payment Interest For Prepaid Fixed Deposit</v>
      </c>
      <c r="D137" s="2" t="s">
        <v>385</v>
      </c>
      <c r="E137" s="2" t="s">
        <v>386</v>
      </c>
    </row>
    <row r="138" spans="1:5" hidden="1" x14ac:dyDescent="0.25">
      <c r="A138" s="2" t="s">
        <v>511</v>
      </c>
      <c r="B138" s="2" t="s">
        <v>283</v>
      </c>
      <c r="C138" s="2" t="str">
        <f>VLOOKUP(B138,ListTrans!$A$2:$C$124,3,FALSE)</f>
        <v>Payment Interest For Prepaid Fixed Deposit</v>
      </c>
      <c r="D138" s="2" t="s">
        <v>385</v>
      </c>
      <c r="E138" s="2" t="s">
        <v>387</v>
      </c>
    </row>
    <row r="139" spans="1:5" hidden="1" x14ac:dyDescent="0.25">
      <c r="A139" s="2" t="s">
        <v>511</v>
      </c>
      <c r="B139" s="2" t="s">
        <v>283</v>
      </c>
      <c r="C139" s="2" t="str">
        <f>VLOOKUP(B139,ListTrans!$A$2:$C$124,3,FALSE)</f>
        <v>Payment Interest For Prepaid Fixed Deposit</v>
      </c>
      <c r="D139" s="2" t="s">
        <v>388</v>
      </c>
      <c r="E139" s="2" t="s">
        <v>389</v>
      </c>
    </row>
    <row r="140" spans="1:5" hidden="1" x14ac:dyDescent="0.25">
      <c r="A140" s="2" t="s">
        <v>511</v>
      </c>
      <c r="B140" s="2" t="s">
        <v>283</v>
      </c>
      <c r="C140" s="2" t="str">
        <f>VLOOKUP(B140,ListTrans!$A$2:$C$124,3,FALSE)</f>
        <v>Payment Interest For Prepaid Fixed Deposit</v>
      </c>
      <c r="D140" s="2" t="s">
        <v>390</v>
      </c>
      <c r="E140" s="2" t="s">
        <v>391</v>
      </c>
    </row>
    <row r="141" spans="1:5" hidden="1" x14ac:dyDescent="0.25">
      <c r="A141" s="2" t="s">
        <v>511</v>
      </c>
      <c r="B141" s="2" t="s">
        <v>283</v>
      </c>
      <c r="C141" s="2" t="str">
        <f>VLOOKUP(B141,ListTrans!$A$2:$C$124,3,FALSE)</f>
        <v>Payment Interest For Prepaid Fixed Deposit</v>
      </c>
      <c r="D141" s="2" t="s">
        <v>392</v>
      </c>
      <c r="E141" s="2" t="s">
        <v>393</v>
      </c>
    </row>
    <row r="142" spans="1:5" hidden="1" x14ac:dyDescent="0.25">
      <c r="A142" s="2" t="s">
        <v>511</v>
      </c>
      <c r="B142" s="2" t="s">
        <v>124</v>
      </c>
      <c r="C142" s="2" t="str">
        <f>VLOOKUP(B142,ListTrans!$A$2:$C$124,3,FALSE)</f>
        <v>1112: Miscellaneous deposit</v>
      </c>
      <c r="D142" s="2" t="s">
        <v>313</v>
      </c>
      <c r="E142" s="2" t="s">
        <v>394</v>
      </c>
    </row>
    <row r="143" spans="1:5" hidden="1" x14ac:dyDescent="0.25">
      <c r="A143" s="2" t="s">
        <v>511</v>
      </c>
      <c r="B143" s="2" t="s">
        <v>124</v>
      </c>
      <c r="C143" s="2" t="str">
        <f>VLOOKUP(B143,ListTrans!$A$2:$C$124,3,FALSE)</f>
        <v>1112: Miscellaneous deposit</v>
      </c>
      <c r="D143" s="2" t="s">
        <v>288</v>
      </c>
      <c r="E143" s="2" t="s">
        <v>395</v>
      </c>
    </row>
    <row r="144" spans="1:5" hidden="1" x14ac:dyDescent="0.25">
      <c r="A144" s="2" t="s">
        <v>511</v>
      </c>
      <c r="B144" s="2" t="s">
        <v>124</v>
      </c>
      <c r="C144" s="2" t="str">
        <f>VLOOKUP(B144,ListTrans!$A$2:$C$124,3,FALSE)</f>
        <v>1112: Miscellaneous deposit</v>
      </c>
      <c r="D144" s="2" t="s">
        <v>307</v>
      </c>
      <c r="E144" s="2" t="s">
        <v>396</v>
      </c>
    </row>
    <row r="145" spans="1:5" hidden="1" x14ac:dyDescent="0.25">
      <c r="A145" s="2" t="s">
        <v>511</v>
      </c>
      <c r="B145" s="2" t="s">
        <v>124</v>
      </c>
      <c r="C145" s="2" t="str">
        <f>VLOOKUP(B145,ListTrans!$A$2:$C$124,3,FALSE)</f>
        <v>1112: Miscellaneous deposit</v>
      </c>
      <c r="D145" s="2" t="s">
        <v>377</v>
      </c>
      <c r="E145" s="2" t="s">
        <v>397</v>
      </c>
    </row>
    <row r="146" spans="1:5" hidden="1" x14ac:dyDescent="0.25">
      <c r="A146" s="2" t="s">
        <v>511</v>
      </c>
      <c r="B146" s="2" t="s">
        <v>124</v>
      </c>
      <c r="C146" s="2" t="str">
        <f>VLOOKUP(B146,ListTrans!$A$2:$C$124,3,FALSE)</f>
        <v>1112: Miscellaneous deposit</v>
      </c>
      <c r="D146" s="2" t="s">
        <v>290</v>
      </c>
      <c r="E146" s="2" t="s">
        <v>398</v>
      </c>
    </row>
    <row r="147" spans="1:5" hidden="1" x14ac:dyDescent="0.25">
      <c r="A147" s="2" t="s">
        <v>511</v>
      </c>
      <c r="B147" s="2" t="s">
        <v>124</v>
      </c>
      <c r="C147" s="2" t="str">
        <f>VLOOKUP(B147,ListTrans!$A$2:$C$124,3,FALSE)</f>
        <v>1112: Miscellaneous deposit</v>
      </c>
      <c r="D147" s="2" t="s">
        <v>315</v>
      </c>
      <c r="E147" s="2" t="s">
        <v>316</v>
      </c>
    </row>
    <row r="148" spans="1:5" x14ac:dyDescent="0.25">
      <c r="A148" s="2" t="s">
        <v>512</v>
      </c>
      <c r="B148" s="2" t="s">
        <v>226</v>
      </c>
      <c r="C148" s="2" t="str">
        <f>VLOOKUP(B148,ListTrans!$A$2:$C$124,3,FALSE)</f>
        <v>Miscellaneous deposit CardZone 2 Fee</v>
      </c>
      <c r="D148" s="2" t="s">
        <v>399</v>
      </c>
      <c r="E148" s="2" t="s">
        <v>400</v>
      </c>
    </row>
    <row r="149" spans="1:5" x14ac:dyDescent="0.25">
      <c r="A149" s="2" t="s">
        <v>512</v>
      </c>
      <c r="B149" s="2" t="s">
        <v>226</v>
      </c>
      <c r="C149" s="2" t="str">
        <f>VLOOKUP(B149,ListTrans!$A$2:$C$124,3,FALSE)</f>
        <v>Miscellaneous deposit CardZone 2 Fee</v>
      </c>
      <c r="D149" s="2" t="s">
        <v>290</v>
      </c>
      <c r="E149" s="2" t="s">
        <v>401</v>
      </c>
    </row>
    <row r="150" spans="1:5" x14ac:dyDescent="0.25">
      <c r="A150" s="2" t="s">
        <v>512</v>
      </c>
      <c r="B150" s="2" t="s">
        <v>253</v>
      </c>
      <c r="C150" s="2" t="str">
        <f>VLOOKUP(B150,ListTrans!$A$2:$C$124,3,FALSE)</f>
        <v>Miscellaneous deposit CardZone</v>
      </c>
      <c r="D150" s="2" t="s">
        <v>402</v>
      </c>
      <c r="E150" s="2" t="s">
        <v>403</v>
      </c>
    </row>
    <row r="151" spans="1:5" x14ac:dyDescent="0.25">
      <c r="A151" s="2" t="s">
        <v>512</v>
      </c>
      <c r="B151" s="2" t="s">
        <v>253</v>
      </c>
      <c r="C151" s="2" t="str">
        <f>VLOOKUP(B151,ListTrans!$A$2:$C$124,3,FALSE)</f>
        <v>Miscellaneous deposit CardZone</v>
      </c>
      <c r="D151" s="2" t="s">
        <v>404</v>
      </c>
      <c r="E151" s="2" t="s">
        <v>405</v>
      </c>
    </row>
    <row r="152" spans="1:5" x14ac:dyDescent="0.25">
      <c r="A152" s="2" t="s">
        <v>512</v>
      </c>
      <c r="B152" s="2" t="s">
        <v>242</v>
      </c>
      <c r="C152" s="2" t="str">
        <f>VLOOKUP(B152,ListTrans!$A$2:$C$124,3,FALSE)</f>
        <v>Miscellaneous deposit IBFT Cardzone</v>
      </c>
      <c r="D152" s="2" t="s">
        <v>404</v>
      </c>
      <c r="E152" s="2" t="s">
        <v>405</v>
      </c>
    </row>
    <row r="153" spans="1:5" x14ac:dyDescent="0.25">
      <c r="A153" s="2" t="s">
        <v>512</v>
      </c>
      <c r="B153" s="2" t="s">
        <v>242</v>
      </c>
      <c r="C153" s="2" t="str">
        <f>VLOOKUP(B153,ListTrans!$A$2:$C$124,3,FALSE)</f>
        <v>Miscellaneous deposit IBFT Cardzone</v>
      </c>
      <c r="D153" s="2" t="s">
        <v>402</v>
      </c>
      <c r="E153" s="2" t="s">
        <v>406</v>
      </c>
    </row>
    <row r="154" spans="1:5" x14ac:dyDescent="0.25">
      <c r="A154" s="2" t="s">
        <v>512</v>
      </c>
      <c r="B154" s="2" t="s">
        <v>242</v>
      </c>
      <c r="C154" s="2" t="str">
        <f>VLOOKUP(B154,ListTrans!$A$2:$C$124,3,FALSE)</f>
        <v>Miscellaneous deposit IBFT Cardzone</v>
      </c>
      <c r="D154" s="2" t="s">
        <v>399</v>
      </c>
      <c r="E154" s="2" t="s">
        <v>407</v>
      </c>
    </row>
    <row r="155" spans="1:5" x14ac:dyDescent="0.25">
      <c r="A155" s="2" t="s">
        <v>512</v>
      </c>
      <c r="B155" s="2" t="s">
        <v>203</v>
      </c>
      <c r="C155" s="2" t="str">
        <f>VLOOKUP(B155,ListTrans!$A$2:$C$124,3,FALSE)</f>
        <v>Miscellaneous deposit CardZone</v>
      </c>
      <c r="D155" s="2" t="s">
        <v>399</v>
      </c>
      <c r="E155" s="2" t="s">
        <v>400</v>
      </c>
    </row>
    <row r="156" spans="1:5" x14ac:dyDescent="0.25">
      <c r="A156" s="2" t="s">
        <v>512</v>
      </c>
      <c r="B156" s="2" t="s">
        <v>203</v>
      </c>
      <c r="C156" s="2" t="str">
        <f>VLOOKUP(B156,ListTrans!$A$2:$C$124,3,FALSE)</f>
        <v>Miscellaneous deposit CardZone</v>
      </c>
      <c r="D156" s="2" t="s">
        <v>290</v>
      </c>
      <c r="E156" s="2" t="s">
        <v>401</v>
      </c>
    </row>
    <row r="157" spans="1:5" x14ac:dyDescent="0.25">
      <c r="A157" s="2" t="s">
        <v>512</v>
      </c>
      <c r="B157" s="2" t="s">
        <v>197</v>
      </c>
      <c r="C157" s="2" t="str">
        <f>VLOOKUP(B157,ListTrans!$A$2:$C$124,3,FALSE)</f>
        <v>Miscellaneous deposit IBFT Cardzone</v>
      </c>
      <c r="D157" s="2" t="s">
        <v>399</v>
      </c>
      <c r="E157" s="2" t="s">
        <v>408</v>
      </c>
    </row>
    <row r="158" spans="1:5" x14ac:dyDescent="0.25">
      <c r="A158" s="2" t="s">
        <v>512</v>
      </c>
      <c r="B158" s="2" t="s">
        <v>262</v>
      </c>
      <c r="C158" s="2" t="str">
        <f>VLOOKUP(B158,ListTrans!$A$2:$C$124,3,FALSE)</f>
        <v>Cardless Withdrawl</v>
      </c>
      <c r="D158" s="2" t="s">
        <v>399</v>
      </c>
      <c r="E158" s="2" t="s">
        <v>407</v>
      </c>
    </row>
    <row r="159" spans="1:5" x14ac:dyDescent="0.25">
      <c r="A159" s="2" t="s">
        <v>512</v>
      </c>
      <c r="B159" s="2" t="s">
        <v>262</v>
      </c>
      <c r="C159" s="2" t="str">
        <f>VLOOKUP(B159,ListTrans!$A$2:$C$124,3,FALSE)</f>
        <v>Cardless Withdrawl</v>
      </c>
      <c r="D159" s="2" t="s">
        <v>402</v>
      </c>
      <c r="E159" s="2" t="s">
        <v>406</v>
      </c>
    </row>
    <row r="160" spans="1:5" x14ac:dyDescent="0.25">
      <c r="A160" s="2" t="s">
        <v>512</v>
      </c>
      <c r="B160" s="2" t="s">
        <v>262</v>
      </c>
      <c r="C160" s="2" t="str">
        <f>VLOOKUP(B160,ListTrans!$A$2:$C$124,3,FALSE)</f>
        <v>Cardless Withdrawl</v>
      </c>
      <c r="D160" s="2" t="s">
        <v>404</v>
      </c>
      <c r="E160" s="2" t="s">
        <v>405</v>
      </c>
    </row>
    <row r="161" spans="1:5" x14ac:dyDescent="0.25">
      <c r="A161" s="2" t="s">
        <v>512</v>
      </c>
      <c r="B161" s="2" t="s">
        <v>246</v>
      </c>
      <c r="C161" s="2" t="str">
        <f>VLOOKUP(B161,ListTrans!$A$2:$C$124,3,FALSE)</f>
        <v>Withdraw off us</v>
      </c>
      <c r="D161" s="2" t="s">
        <v>404</v>
      </c>
      <c r="E161" s="2" t="s">
        <v>405</v>
      </c>
    </row>
    <row r="162" spans="1:5" x14ac:dyDescent="0.25">
      <c r="A162" s="2" t="s">
        <v>512</v>
      </c>
      <c r="B162" s="2" t="s">
        <v>246</v>
      </c>
      <c r="C162" s="2" t="str">
        <f>VLOOKUP(B162,ListTrans!$A$2:$C$124,3,FALSE)</f>
        <v>Withdraw off us</v>
      </c>
      <c r="D162" s="2" t="s">
        <v>402</v>
      </c>
      <c r="E162" s="2" t="s">
        <v>403</v>
      </c>
    </row>
    <row r="163" spans="1:5" x14ac:dyDescent="0.25">
      <c r="A163" s="2" t="s">
        <v>512</v>
      </c>
      <c r="B163" s="2" t="s">
        <v>246</v>
      </c>
      <c r="C163" s="2" t="str">
        <f>VLOOKUP(B163,ListTrans!$A$2:$C$124,3,FALSE)</f>
        <v>Withdraw off us</v>
      </c>
      <c r="D163" s="2" t="s">
        <v>399</v>
      </c>
      <c r="E163" s="2" t="s">
        <v>400</v>
      </c>
    </row>
    <row r="164" spans="1:5" x14ac:dyDescent="0.25">
      <c r="A164" s="2" t="s">
        <v>512</v>
      </c>
      <c r="B164" s="2" t="s">
        <v>246</v>
      </c>
      <c r="C164" s="2" t="str">
        <f>VLOOKUP(B164,ListTrans!$A$2:$C$124,3,FALSE)</f>
        <v>Withdraw off us</v>
      </c>
      <c r="D164" s="2" t="s">
        <v>290</v>
      </c>
      <c r="E164" s="2" t="s">
        <v>401</v>
      </c>
    </row>
    <row r="165" spans="1:5" x14ac:dyDescent="0.25">
      <c r="A165" s="2" t="s">
        <v>512</v>
      </c>
      <c r="B165" s="2" t="s">
        <v>246</v>
      </c>
      <c r="C165" s="2" t="str">
        <f>VLOOKUP(B165,ListTrans!$A$2:$C$124,3,FALSE)</f>
        <v>Withdraw off us</v>
      </c>
      <c r="D165" s="2" t="s">
        <v>385</v>
      </c>
      <c r="E165" s="2" t="s">
        <v>409</v>
      </c>
    </row>
    <row r="166" spans="1:5" x14ac:dyDescent="0.25">
      <c r="A166" s="2" t="s">
        <v>512</v>
      </c>
      <c r="B166" s="2" t="s">
        <v>213</v>
      </c>
      <c r="C166" s="2" t="str">
        <f>VLOOKUP(B166,ListTrans!$A$2:$C$124,3,FALSE)</f>
        <v>1122: Miscellaneous deposit Momoney</v>
      </c>
      <c r="D166" s="2" t="s">
        <v>410</v>
      </c>
      <c r="E166" s="2" t="s">
        <v>411</v>
      </c>
    </row>
    <row r="167" spans="1:5" x14ac:dyDescent="0.25">
      <c r="A167" s="2" t="s">
        <v>512</v>
      </c>
      <c r="B167" s="2" t="s">
        <v>213</v>
      </c>
      <c r="C167" s="2" t="str">
        <f>VLOOKUP(B167,ListTrans!$A$2:$C$124,3,FALSE)</f>
        <v>1122: Miscellaneous deposit Momoney</v>
      </c>
      <c r="D167" s="2" t="s">
        <v>385</v>
      </c>
      <c r="E167" s="2" t="s">
        <v>412</v>
      </c>
    </row>
    <row r="168" spans="1:5" x14ac:dyDescent="0.25">
      <c r="A168" s="2" t="s">
        <v>512</v>
      </c>
      <c r="B168" s="2" t="s">
        <v>213</v>
      </c>
      <c r="C168" s="2" t="str">
        <f>VLOOKUP(B168,ListTrans!$A$2:$C$124,3,FALSE)</f>
        <v>1122: Miscellaneous deposit Momoney</v>
      </c>
      <c r="D168" s="2" t="s">
        <v>404</v>
      </c>
      <c r="E168" s="2" t="s">
        <v>413</v>
      </c>
    </row>
    <row r="169" spans="1:5" x14ac:dyDescent="0.25">
      <c r="A169" s="2" t="s">
        <v>512</v>
      </c>
      <c r="B169" s="2" t="s">
        <v>256</v>
      </c>
      <c r="C169" s="2" t="str">
        <f>VLOOKUP(B169,ListTrans!$A$2:$C$124,3,FALSE)</f>
        <v>Miscellaneousdeposit void on us</v>
      </c>
      <c r="D169" s="2" t="s">
        <v>404</v>
      </c>
      <c r="E169" s="2" t="s">
        <v>405</v>
      </c>
    </row>
    <row r="170" spans="1:5" x14ac:dyDescent="0.25">
      <c r="A170" s="2" t="s">
        <v>512</v>
      </c>
      <c r="B170" s="2" t="s">
        <v>256</v>
      </c>
      <c r="C170" s="2" t="str">
        <f>VLOOKUP(B170,ListTrans!$A$2:$C$124,3,FALSE)</f>
        <v>Miscellaneousdeposit void on us</v>
      </c>
      <c r="D170" s="2" t="s">
        <v>402</v>
      </c>
      <c r="E170" s="2" t="s">
        <v>406</v>
      </c>
    </row>
    <row r="171" spans="1:5" x14ac:dyDescent="0.25">
      <c r="A171" s="2" t="s">
        <v>512</v>
      </c>
      <c r="B171" s="2" t="s">
        <v>256</v>
      </c>
      <c r="C171" s="2" t="str">
        <f>VLOOKUP(B171,ListTrans!$A$2:$C$124,3,FALSE)</f>
        <v>Miscellaneousdeposit void on us</v>
      </c>
      <c r="D171" s="2" t="s">
        <v>399</v>
      </c>
      <c r="E171" s="2" t="s">
        <v>407</v>
      </c>
    </row>
    <row r="172" spans="1:5" x14ac:dyDescent="0.25">
      <c r="A172" s="2" t="s">
        <v>512</v>
      </c>
      <c r="B172" s="2" t="s">
        <v>255</v>
      </c>
      <c r="C172" s="2" t="str">
        <f>VLOOKUP(B172,ListTrans!$A$2:$C$124,3,FALSE)</f>
        <v>Miscellaneous deposit VOID1 CardZone</v>
      </c>
      <c r="D172" s="2" t="s">
        <v>399</v>
      </c>
      <c r="E172" s="2" t="s">
        <v>407</v>
      </c>
    </row>
    <row r="173" spans="1:5" x14ac:dyDescent="0.25">
      <c r="A173" s="2" t="s">
        <v>512</v>
      </c>
      <c r="B173" s="2" t="s">
        <v>255</v>
      </c>
      <c r="C173" s="2" t="str">
        <f>VLOOKUP(B173,ListTrans!$A$2:$C$124,3,FALSE)</f>
        <v>Miscellaneous deposit VOID1 CardZone</v>
      </c>
      <c r="D173" s="2" t="s">
        <v>402</v>
      </c>
      <c r="E173" s="2" t="s">
        <v>406</v>
      </c>
    </row>
    <row r="174" spans="1:5" x14ac:dyDescent="0.25">
      <c r="A174" s="2" t="s">
        <v>512</v>
      </c>
      <c r="B174" s="2" t="s">
        <v>255</v>
      </c>
      <c r="C174" s="2" t="s">
        <v>524</v>
      </c>
      <c r="D174" s="2" t="s">
        <v>404</v>
      </c>
      <c r="E174" s="2" t="s">
        <v>405</v>
      </c>
    </row>
    <row r="175" spans="1:5" x14ac:dyDescent="0.25">
      <c r="A175" s="2" t="s">
        <v>512</v>
      </c>
      <c r="B175" s="2" t="s">
        <v>207</v>
      </c>
      <c r="C175" s="2" t="s">
        <v>524</v>
      </c>
      <c r="D175" s="2" t="s">
        <v>399</v>
      </c>
      <c r="E175" s="2" t="s">
        <v>407</v>
      </c>
    </row>
    <row r="176" spans="1:5" x14ac:dyDescent="0.25">
      <c r="A176" s="2" t="s">
        <v>512</v>
      </c>
      <c r="B176" s="2" t="s">
        <v>209</v>
      </c>
      <c r="C176" s="2" t="s">
        <v>525</v>
      </c>
      <c r="D176" s="2" t="s">
        <v>399</v>
      </c>
      <c r="E176" s="2" t="s">
        <v>407</v>
      </c>
    </row>
    <row r="177" spans="1:5" hidden="1" x14ac:dyDescent="0.25">
      <c r="A177" s="2" t="s">
        <v>511</v>
      </c>
      <c r="B177" s="2" t="s">
        <v>126</v>
      </c>
      <c r="C177" s="2" t="s">
        <v>526</v>
      </c>
      <c r="D177" s="2" t="s">
        <v>307</v>
      </c>
      <c r="E177" s="2" t="s">
        <v>414</v>
      </c>
    </row>
    <row r="178" spans="1:5" hidden="1" x14ac:dyDescent="0.25">
      <c r="A178" s="2" t="s">
        <v>511</v>
      </c>
      <c r="B178" s="2" t="s">
        <v>126</v>
      </c>
      <c r="C178" s="2" t="s">
        <v>526</v>
      </c>
      <c r="D178" s="2" t="s">
        <v>313</v>
      </c>
      <c r="E178" s="2" t="s">
        <v>348</v>
      </c>
    </row>
    <row r="179" spans="1:5" hidden="1" x14ac:dyDescent="0.25">
      <c r="A179" s="2" t="s">
        <v>511</v>
      </c>
      <c r="B179" s="2" t="s">
        <v>126</v>
      </c>
      <c r="C179" s="2" t="s">
        <v>526</v>
      </c>
      <c r="D179" s="2" t="s">
        <v>290</v>
      </c>
      <c r="E179" s="2" t="s">
        <v>415</v>
      </c>
    </row>
    <row r="180" spans="1:5" hidden="1" x14ac:dyDescent="0.25">
      <c r="A180" s="2" t="s">
        <v>511</v>
      </c>
      <c r="B180" s="2" t="s">
        <v>128</v>
      </c>
      <c r="C180" s="2" t="s">
        <v>527</v>
      </c>
      <c r="D180" s="2" t="s">
        <v>288</v>
      </c>
      <c r="E180" s="2" t="s">
        <v>359</v>
      </c>
    </row>
    <row r="181" spans="1:5" hidden="1" x14ac:dyDescent="0.25">
      <c r="A181" s="2" t="s">
        <v>511</v>
      </c>
      <c r="B181" s="2" t="s">
        <v>128</v>
      </c>
      <c r="C181" s="2" t="s">
        <v>527</v>
      </c>
      <c r="D181" s="2" t="s">
        <v>313</v>
      </c>
      <c r="E181" s="2" t="s">
        <v>360</v>
      </c>
    </row>
    <row r="182" spans="1:5" hidden="1" x14ac:dyDescent="0.25">
      <c r="A182" s="2" t="s">
        <v>511</v>
      </c>
      <c r="B182" s="2" t="s">
        <v>128</v>
      </c>
      <c r="C182" s="2" t="s">
        <v>527</v>
      </c>
      <c r="D182" s="2" t="s">
        <v>299</v>
      </c>
      <c r="E182" s="2" t="s">
        <v>339</v>
      </c>
    </row>
    <row r="183" spans="1:5" hidden="1" x14ac:dyDescent="0.25">
      <c r="A183" s="2" t="s">
        <v>511</v>
      </c>
      <c r="B183" s="2" t="s">
        <v>128</v>
      </c>
      <c r="C183" s="2" t="s">
        <v>527</v>
      </c>
      <c r="D183" s="2" t="s">
        <v>57</v>
      </c>
      <c r="E183" s="2" t="s">
        <v>58</v>
      </c>
    </row>
    <row r="184" spans="1:5" hidden="1" x14ac:dyDescent="0.25">
      <c r="A184" s="2" t="s">
        <v>511</v>
      </c>
      <c r="B184" s="2" t="s">
        <v>128</v>
      </c>
      <c r="C184" s="2" t="s">
        <v>527</v>
      </c>
      <c r="D184" s="2" t="s">
        <v>340</v>
      </c>
      <c r="E184" s="2" t="s">
        <v>341</v>
      </c>
    </row>
    <row r="185" spans="1:5" hidden="1" x14ac:dyDescent="0.25">
      <c r="A185" s="2" t="s">
        <v>511</v>
      </c>
      <c r="B185" s="2" t="s">
        <v>128</v>
      </c>
      <c r="C185" s="2" t="s">
        <v>527</v>
      </c>
      <c r="D185" s="2" t="s">
        <v>342</v>
      </c>
      <c r="E185" s="2" t="s">
        <v>343</v>
      </c>
    </row>
    <row r="186" spans="1:5" hidden="1" x14ac:dyDescent="0.25">
      <c r="A186" s="2" t="s">
        <v>511</v>
      </c>
      <c r="B186" s="2" t="s">
        <v>272</v>
      </c>
      <c r="C186" s="2" t="s">
        <v>528</v>
      </c>
      <c r="D186" s="2" t="s">
        <v>416</v>
      </c>
      <c r="E186" s="2" t="s">
        <v>417</v>
      </c>
    </row>
    <row r="187" spans="1:5" hidden="1" x14ac:dyDescent="0.25">
      <c r="A187" s="2" t="s">
        <v>511</v>
      </c>
      <c r="B187" s="2" t="s">
        <v>272</v>
      </c>
      <c r="C187" s="2" t="s">
        <v>528</v>
      </c>
      <c r="D187" s="2" t="s">
        <v>418</v>
      </c>
      <c r="E187" s="2" t="s">
        <v>419</v>
      </c>
    </row>
    <row r="188" spans="1:5" hidden="1" x14ac:dyDescent="0.25">
      <c r="A188" s="2" t="s">
        <v>511</v>
      </c>
      <c r="B188" s="2" t="s">
        <v>272</v>
      </c>
      <c r="C188" s="2" t="s">
        <v>528</v>
      </c>
      <c r="D188" s="2" t="s">
        <v>392</v>
      </c>
      <c r="E188" s="2" t="s">
        <v>420</v>
      </c>
    </row>
    <row r="189" spans="1:5" hidden="1" x14ac:dyDescent="0.25">
      <c r="A189" s="2" t="s">
        <v>511</v>
      </c>
      <c r="B189" s="2" t="s">
        <v>272</v>
      </c>
      <c r="C189" s="2" t="s">
        <v>528</v>
      </c>
      <c r="D189" s="2" t="s">
        <v>392</v>
      </c>
      <c r="E189" s="2" t="s">
        <v>421</v>
      </c>
    </row>
    <row r="190" spans="1:5" hidden="1" x14ac:dyDescent="0.25">
      <c r="A190" s="2" t="s">
        <v>511</v>
      </c>
      <c r="B190" s="2" t="s">
        <v>130</v>
      </c>
      <c r="C190" s="2" t="s">
        <v>529</v>
      </c>
      <c r="D190" s="2" t="s">
        <v>313</v>
      </c>
      <c r="E190" s="2" t="s">
        <v>348</v>
      </c>
    </row>
    <row r="191" spans="1:5" hidden="1" x14ac:dyDescent="0.25">
      <c r="A191" s="2" t="s">
        <v>511</v>
      </c>
      <c r="B191" s="2" t="s">
        <v>130</v>
      </c>
      <c r="C191" s="2" t="s">
        <v>529</v>
      </c>
      <c r="D191" s="2" t="s">
        <v>288</v>
      </c>
      <c r="E191" s="2" t="s">
        <v>347</v>
      </c>
    </row>
    <row r="192" spans="1:5" hidden="1" x14ac:dyDescent="0.25">
      <c r="A192" s="2" t="s">
        <v>511</v>
      </c>
      <c r="B192" s="2" t="s">
        <v>130</v>
      </c>
      <c r="C192" s="2" t="s">
        <v>529</v>
      </c>
      <c r="D192" s="2" t="s">
        <v>307</v>
      </c>
      <c r="E192" s="2" t="s">
        <v>422</v>
      </c>
    </row>
    <row r="193" spans="1:5" hidden="1" x14ac:dyDescent="0.25">
      <c r="A193" s="2" t="s">
        <v>511</v>
      </c>
      <c r="B193" s="2" t="s">
        <v>130</v>
      </c>
      <c r="C193" s="2" t="s">
        <v>529</v>
      </c>
      <c r="D193" s="2" t="s">
        <v>299</v>
      </c>
      <c r="E193" s="2" t="s">
        <v>300</v>
      </c>
    </row>
    <row r="194" spans="1:5" x14ac:dyDescent="0.25">
      <c r="A194" s="2" t="s">
        <v>512</v>
      </c>
      <c r="B194" s="2" t="s">
        <v>228</v>
      </c>
      <c r="C194" s="2" t="s">
        <v>530</v>
      </c>
      <c r="D194" s="2" t="s">
        <v>399</v>
      </c>
      <c r="E194" s="2" t="s">
        <v>400</v>
      </c>
    </row>
    <row r="195" spans="1:5" x14ac:dyDescent="0.25">
      <c r="A195" s="2" t="s">
        <v>512</v>
      </c>
      <c r="B195" s="2" t="s">
        <v>228</v>
      </c>
      <c r="C195" s="2" t="s">
        <v>530</v>
      </c>
      <c r="D195" s="2" t="s">
        <v>299</v>
      </c>
      <c r="E195" s="2" t="s">
        <v>382</v>
      </c>
    </row>
    <row r="196" spans="1:5" x14ac:dyDescent="0.25">
      <c r="A196" s="2" t="s">
        <v>512</v>
      </c>
      <c r="B196" s="2" t="s">
        <v>228</v>
      </c>
      <c r="C196" s="2" t="s">
        <v>530</v>
      </c>
      <c r="D196" s="2" t="s">
        <v>286</v>
      </c>
      <c r="E196" s="2" t="s">
        <v>287</v>
      </c>
    </row>
    <row r="197" spans="1:5" x14ac:dyDescent="0.25">
      <c r="A197" s="2" t="s">
        <v>512</v>
      </c>
      <c r="B197" s="2" t="s">
        <v>228</v>
      </c>
      <c r="C197" s="2" t="s">
        <v>530</v>
      </c>
      <c r="D197" s="2" t="s">
        <v>290</v>
      </c>
      <c r="E197" s="2" t="s">
        <v>423</v>
      </c>
    </row>
    <row r="198" spans="1:5" x14ac:dyDescent="0.25">
      <c r="A198" s="2" t="s">
        <v>512</v>
      </c>
      <c r="B198" s="2" t="s">
        <v>230</v>
      </c>
      <c r="C198" s="2" t="s">
        <v>531</v>
      </c>
      <c r="D198" s="2" t="s">
        <v>399</v>
      </c>
      <c r="E198" s="2" t="s">
        <v>400</v>
      </c>
    </row>
    <row r="199" spans="1:5" x14ac:dyDescent="0.25">
      <c r="A199" s="2" t="s">
        <v>512</v>
      </c>
      <c r="B199" s="2" t="s">
        <v>230</v>
      </c>
      <c r="C199" s="2" t="s">
        <v>531</v>
      </c>
      <c r="D199" s="2" t="s">
        <v>299</v>
      </c>
      <c r="E199" s="2" t="s">
        <v>382</v>
      </c>
    </row>
    <row r="200" spans="1:5" x14ac:dyDescent="0.25">
      <c r="A200" s="2" t="s">
        <v>512</v>
      </c>
      <c r="B200" s="2" t="s">
        <v>230</v>
      </c>
      <c r="C200" s="2" t="s">
        <v>531</v>
      </c>
      <c r="D200" s="2" t="s">
        <v>286</v>
      </c>
      <c r="E200" s="2" t="s">
        <v>287</v>
      </c>
    </row>
    <row r="201" spans="1:5" x14ac:dyDescent="0.25">
      <c r="A201" s="2" t="s">
        <v>512</v>
      </c>
      <c r="B201" s="2" t="s">
        <v>230</v>
      </c>
      <c r="C201" s="2" t="s">
        <v>531</v>
      </c>
      <c r="D201" s="2" t="s">
        <v>290</v>
      </c>
      <c r="E201" s="2" t="s">
        <v>423</v>
      </c>
    </row>
    <row r="202" spans="1:5" x14ac:dyDescent="0.25">
      <c r="A202" s="2" t="s">
        <v>512</v>
      </c>
      <c r="B202" s="2" t="s">
        <v>241</v>
      </c>
      <c r="C202" s="2" t="s">
        <v>532</v>
      </c>
      <c r="D202" s="2" t="s">
        <v>399</v>
      </c>
      <c r="E202" s="2" t="s">
        <v>407</v>
      </c>
    </row>
    <row r="203" spans="1:5" x14ac:dyDescent="0.25">
      <c r="A203" s="2" t="s">
        <v>512</v>
      </c>
      <c r="B203" s="2" t="s">
        <v>241</v>
      </c>
      <c r="C203" s="2" t="s">
        <v>532</v>
      </c>
      <c r="D203" s="2" t="s">
        <v>402</v>
      </c>
      <c r="E203" s="2" t="s">
        <v>424</v>
      </c>
    </row>
    <row r="204" spans="1:5" x14ac:dyDescent="0.25">
      <c r="A204" s="2" t="s">
        <v>512</v>
      </c>
      <c r="B204" s="2" t="s">
        <v>241</v>
      </c>
      <c r="C204" s="2" t="s">
        <v>532</v>
      </c>
      <c r="D204" s="2" t="s">
        <v>404</v>
      </c>
      <c r="E204" s="2" t="s">
        <v>425</v>
      </c>
    </row>
    <row r="205" spans="1:5" x14ac:dyDescent="0.25">
      <c r="A205" s="2" t="s">
        <v>512</v>
      </c>
      <c r="B205" s="2" t="s">
        <v>240</v>
      </c>
      <c r="C205" s="2" t="s">
        <v>533</v>
      </c>
      <c r="D205" s="2" t="s">
        <v>404</v>
      </c>
      <c r="E205" s="2" t="s">
        <v>425</v>
      </c>
    </row>
    <row r="206" spans="1:5" x14ac:dyDescent="0.25">
      <c r="A206" s="2" t="s">
        <v>512</v>
      </c>
      <c r="B206" s="2" t="s">
        <v>240</v>
      </c>
      <c r="C206" s="2" t="s">
        <v>533</v>
      </c>
      <c r="D206" s="2" t="s">
        <v>402</v>
      </c>
      <c r="E206" s="2" t="s">
        <v>426</v>
      </c>
    </row>
    <row r="207" spans="1:5" x14ac:dyDescent="0.25">
      <c r="A207" s="2" t="s">
        <v>512</v>
      </c>
      <c r="B207" s="2" t="s">
        <v>240</v>
      </c>
      <c r="C207" s="2" t="s">
        <v>533</v>
      </c>
      <c r="D207" s="2" t="s">
        <v>399</v>
      </c>
      <c r="E207" s="2" t="s">
        <v>427</v>
      </c>
    </row>
    <row r="208" spans="1:5" x14ac:dyDescent="0.25">
      <c r="A208" s="2" t="s">
        <v>512</v>
      </c>
      <c r="B208" s="2" t="s">
        <v>240</v>
      </c>
      <c r="C208" s="2" t="s">
        <v>533</v>
      </c>
      <c r="D208" s="2" t="s">
        <v>299</v>
      </c>
      <c r="E208" s="2" t="s">
        <v>382</v>
      </c>
    </row>
    <row r="209" spans="1:5" x14ac:dyDescent="0.25">
      <c r="A209" s="2" t="s">
        <v>512</v>
      </c>
      <c r="B209" s="2" t="s">
        <v>240</v>
      </c>
      <c r="C209" s="2" t="s">
        <v>533</v>
      </c>
      <c r="D209" s="2" t="s">
        <v>385</v>
      </c>
      <c r="E209" s="2" t="s">
        <v>428</v>
      </c>
    </row>
    <row r="210" spans="1:5" x14ac:dyDescent="0.25">
      <c r="A210" s="2" t="s">
        <v>512</v>
      </c>
      <c r="B210" s="2" t="s">
        <v>240</v>
      </c>
      <c r="C210" s="2" t="s">
        <v>533</v>
      </c>
      <c r="D210" s="2" t="s">
        <v>410</v>
      </c>
      <c r="E210" s="2" t="s">
        <v>429</v>
      </c>
    </row>
    <row r="211" spans="1:5" x14ac:dyDescent="0.25">
      <c r="A211" s="2" t="s">
        <v>512</v>
      </c>
      <c r="B211" s="2" t="s">
        <v>240</v>
      </c>
      <c r="C211" s="2" t="s">
        <v>533</v>
      </c>
      <c r="D211" s="2" t="s">
        <v>286</v>
      </c>
      <c r="E211" s="2" t="s">
        <v>287</v>
      </c>
    </row>
    <row r="212" spans="1:5" x14ac:dyDescent="0.25">
      <c r="A212" s="2" t="s">
        <v>512</v>
      </c>
      <c r="B212" s="2" t="s">
        <v>240</v>
      </c>
      <c r="C212" s="2" t="s">
        <v>533</v>
      </c>
      <c r="D212" s="2" t="s">
        <v>290</v>
      </c>
      <c r="E212" s="2" t="s">
        <v>423</v>
      </c>
    </row>
    <row r="213" spans="1:5" x14ac:dyDescent="0.25">
      <c r="A213" s="2" t="s">
        <v>512</v>
      </c>
      <c r="B213" s="2" t="s">
        <v>259</v>
      </c>
      <c r="C213" s="2" t="s">
        <v>534</v>
      </c>
      <c r="D213" s="2" t="s">
        <v>399</v>
      </c>
      <c r="E213" s="2" t="s">
        <v>407</v>
      </c>
    </row>
    <row r="214" spans="1:5" x14ac:dyDescent="0.25">
      <c r="A214" s="2" t="s">
        <v>512</v>
      </c>
      <c r="B214" s="2" t="s">
        <v>259</v>
      </c>
      <c r="C214" s="2" t="s">
        <v>534</v>
      </c>
      <c r="D214" s="2" t="s">
        <v>402</v>
      </c>
      <c r="E214" s="2" t="s">
        <v>424</v>
      </c>
    </row>
    <row r="215" spans="1:5" x14ac:dyDescent="0.25">
      <c r="A215" s="2" t="s">
        <v>512</v>
      </c>
      <c r="B215" s="2" t="s">
        <v>259</v>
      </c>
      <c r="C215" s="2" t="s">
        <v>534</v>
      </c>
      <c r="D215" s="2" t="s">
        <v>404</v>
      </c>
      <c r="E215" s="2" t="s">
        <v>425</v>
      </c>
    </row>
    <row r="216" spans="1:5" x14ac:dyDescent="0.25">
      <c r="A216" s="2" t="s">
        <v>512</v>
      </c>
      <c r="B216" s="2" t="s">
        <v>252</v>
      </c>
      <c r="C216" s="2" t="s">
        <v>535</v>
      </c>
      <c r="D216" s="2" t="s">
        <v>404</v>
      </c>
      <c r="E216" s="2" t="s">
        <v>425</v>
      </c>
    </row>
    <row r="217" spans="1:5" x14ac:dyDescent="0.25">
      <c r="A217" s="2" t="s">
        <v>512</v>
      </c>
      <c r="B217" s="2" t="s">
        <v>252</v>
      </c>
      <c r="C217" s="2" t="s">
        <v>535</v>
      </c>
      <c r="D217" s="2" t="s">
        <v>402</v>
      </c>
      <c r="E217" s="2" t="s">
        <v>426</v>
      </c>
    </row>
    <row r="218" spans="1:5" x14ac:dyDescent="0.25">
      <c r="A218" s="2" t="s">
        <v>512</v>
      </c>
      <c r="B218" s="2" t="s">
        <v>252</v>
      </c>
      <c r="C218" s="2" t="s">
        <v>535</v>
      </c>
      <c r="D218" s="2" t="s">
        <v>399</v>
      </c>
      <c r="E218" s="2" t="s">
        <v>430</v>
      </c>
    </row>
    <row r="219" spans="1:5" x14ac:dyDescent="0.25">
      <c r="A219" s="2" t="s">
        <v>512</v>
      </c>
      <c r="B219" s="2" t="s">
        <v>252</v>
      </c>
      <c r="C219" s="2" t="s">
        <v>535</v>
      </c>
      <c r="D219" s="2" t="s">
        <v>299</v>
      </c>
      <c r="E219" s="2" t="s">
        <v>382</v>
      </c>
    </row>
    <row r="220" spans="1:5" x14ac:dyDescent="0.25">
      <c r="A220" s="2" t="s">
        <v>512</v>
      </c>
      <c r="B220" s="2" t="s">
        <v>252</v>
      </c>
      <c r="C220" s="2" t="s">
        <v>535</v>
      </c>
      <c r="D220" s="2" t="s">
        <v>385</v>
      </c>
      <c r="E220" s="2" t="s">
        <v>428</v>
      </c>
    </row>
    <row r="221" spans="1:5" x14ac:dyDescent="0.25">
      <c r="A221" s="2" t="s">
        <v>512</v>
      </c>
      <c r="B221" s="2" t="s">
        <v>252</v>
      </c>
      <c r="C221" s="2" t="s">
        <v>535</v>
      </c>
      <c r="D221" s="2" t="s">
        <v>410</v>
      </c>
      <c r="E221" s="2" t="s">
        <v>429</v>
      </c>
    </row>
    <row r="222" spans="1:5" x14ac:dyDescent="0.25">
      <c r="A222" s="2" t="s">
        <v>512</v>
      </c>
      <c r="B222" s="2" t="s">
        <v>252</v>
      </c>
      <c r="C222" s="2" t="s">
        <v>535</v>
      </c>
      <c r="D222" s="2" t="s">
        <v>286</v>
      </c>
      <c r="E222" s="2" t="s">
        <v>287</v>
      </c>
    </row>
    <row r="223" spans="1:5" x14ac:dyDescent="0.25">
      <c r="A223" s="2" t="s">
        <v>512</v>
      </c>
      <c r="B223" s="2" t="s">
        <v>252</v>
      </c>
      <c r="C223" s="2" t="s">
        <v>535</v>
      </c>
      <c r="D223" s="2" t="s">
        <v>290</v>
      </c>
      <c r="E223" s="2" t="s">
        <v>423</v>
      </c>
    </row>
    <row r="224" spans="1:5" x14ac:dyDescent="0.25">
      <c r="A224" s="2" t="s">
        <v>512</v>
      </c>
      <c r="B224" s="2" t="s">
        <v>201</v>
      </c>
      <c r="C224" s="2" t="s">
        <v>535</v>
      </c>
      <c r="D224" s="2" t="s">
        <v>399</v>
      </c>
      <c r="E224" s="2" t="s">
        <v>400</v>
      </c>
    </row>
    <row r="225" spans="1:5" x14ac:dyDescent="0.25">
      <c r="A225" s="2" t="s">
        <v>512</v>
      </c>
      <c r="B225" s="2" t="s">
        <v>201</v>
      </c>
      <c r="C225" s="2" t="s">
        <v>535</v>
      </c>
      <c r="D225" s="2" t="s">
        <v>299</v>
      </c>
      <c r="E225" s="2" t="s">
        <v>382</v>
      </c>
    </row>
    <row r="226" spans="1:5" x14ac:dyDescent="0.25">
      <c r="A226" s="2" t="s">
        <v>512</v>
      </c>
      <c r="B226" s="2" t="s">
        <v>201</v>
      </c>
      <c r="C226" s="2" t="s">
        <v>535</v>
      </c>
      <c r="D226" s="2" t="s">
        <v>286</v>
      </c>
      <c r="E226" s="2" t="s">
        <v>287</v>
      </c>
    </row>
    <row r="227" spans="1:5" x14ac:dyDescent="0.25">
      <c r="A227" s="2" t="s">
        <v>512</v>
      </c>
      <c r="B227" s="2" t="s">
        <v>201</v>
      </c>
      <c r="C227" s="2" t="s">
        <v>535</v>
      </c>
      <c r="D227" s="2" t="s">
        <v>290</v>
      </c>
      <c r="E227" s="2" t="s">
        <v>423</v>
      </c>
    </row>
    <row r="228" spans="1:5" x14ac:dyDescent="0.25">
      <c r="A228" s="2" t="s">
        <v>512</v>
      </c>
      <c r="B228" s="2" t="s">
        <v>217</v>
      </c>
      <c r="C228" s="2" t="s">
        <v>536</v>
      </c>
      <c r="D228" s="2" t="s">
        <v>286</v>
      </c>
      <c r="E228" s="2" t="s">
        <v>431</v>
      </c>
    </row>
    <row r="229" spans="1:5" x14ac:dyDescent="0.25">
      <c r="A229" s="2" t="s">
        <v>512</v>
      </c>
      <c r="B229" s="2" t="s">
        <v>217</v>
      </c>
      <c r="C229" s="2" t="s">
        <v>536</v>
      </c>
      <c r="D229" s="2" t="s">
        <v>404</v>
      </c>
      <c r="E229" s="2" t="s">
        <v>432</v>
      </c>
    </row>
    <row r="230" spans="1:5" x14ac:dyDescent="0.25">
      <c r="A230" s="2" t="s">
        <v>512</v>
      </c>
      <c r="B230" s="2" t="s">
        <v>217</v>
      </c>
      <c r="C230" s="2" t="s">
        <v>536</v>
      </c>
      <c r="D230" s="2" t="s">
        <v>288</v>
      </c>
      <c r="E230" s="2" t="s">
        <v>433</v>
      </c>
    </row>
    <row r="231" spans="1:5" x14ac:dyDescent="0.25">
      <c r="A231" s="2" t="s">
        <v>512</v>
      </c>
      <c r="B231" s="2" t="s">
        <v>217</v>
      </c>
      <c r="C231" s="2" t="s">
        <v>536</v>
      </c>
      <c r="D231" s="2" t="s">
        <v>290</v>
      </c>
      <c r="E231" s="2" t="s">
        <v>434</v>
      </c>
    </row>
    <row r="232" spans="1:5" x14ac:dyDescent="0.25">
      <c r="A232" s="2" t="s">
        <v>512</v>
      </c>
      <c r="B232" s="2" t="s">
        <v>217</v>
      </c>
      <c r="C232" s="2" t="s">
        <v>536</v>
      </c>
      <c r="D232" s="2" t="s">
        <v>385</v>
      </c>
      <c r="E232" s="2" t="s">
        <v>435</v>
      </c>
    </row>
    <row r="233" spans="1:5" x14ac:dyDescent="0.25">
      <c r="A233" s="2" t="s">
        <v>512</v>
      </c>
      <c r="B233" s="2" t="s">
        <v>217</v>
      </c>
      <c r="C233" s="2" t="s">
        <v>536</v>
      </c>
      <c r="D233" s="2" t="s">
        <v>410</v>
      </c>
      <c r="E233" s="2" t="s">
        <v>436</v>
      </c>
    </row>
    <row r="234" spans="1:5" x14ac:dyDescent="0.25">
      <c r="A234" s="2" t="s">
        <v>512</v>
      </c>
      <c r="B234" s="2" t="s">
        <v>217</v>
      </c>
      <c r="C234" s="2" t="s">
        <v>536</v>
      </c>
      <c r="D234" s="2" t="s">
        <v>437</v>
      </c>
      <c r="E234" s="2" t="s">
        <v>438</v>
      </c>
    </row>
    <row r="235" spans="1:5" x14ac:dyDescent="0.25">
      <c r="A235" s="2" t="s">
        <v>512</v>
      </c>
      <c r="B235" s="2" t="s">
        <v>236</v>
      </c>
      <c r="C235" s="2" t="s">
        <v>537</v>
      </c>
      <c r="D235" s="2" t="s">
        <v>404</v>
      </c>
      <c r="E235" s="2" t="s">
        <v>425</v>
      </c>
    </row>
    <row r="236" spans="1:5" x14ac:dyDescent="0.25">
      <c r="A236" s="2" t="s">
        <v>512</v>
      </c>
      <c r="B236" s="2" t="s">
        <v>236</v>
      </c>
      <c r="C236" s="2" t="s">
        <v>537</v>
      </c>
      <c r="D236" s="2" t="s">
        <v>402</v>
      </c>
      <c r="E236" s="2" t="s">
        <v>424</v>
      </c>
    </row>
    <row r="237" spans="1:5" x14ac:dyDescent="0.25">
      <c r="A237" s="2" t="s">
        <v>512</v>
      </c>
      <c r="B237" s="2" t="s">
        <v>236</v>
      </c>
      <c r="C237" s="2" t="s">
        <v>537</v>
      </c>
      <c r="D237" s="2" t="s">
        <v>399</v>
      </c>
      <c r="E237" s="2" t="s">
        <v>427</v>
      </c>
    </row>
    <row r="238" spans="1:5" x14ac:dyDescent="0.25">
      <c r="A238" s="2" t="s">
        <v>512</v>
      </c>
      <c r="B238" s="2" t="s">
        <v>258</v>
      </c>
      <c r="C238" s="2" t="s">
        <v>538</v>
      </c>
      <c r="D238" s="2" t="s">
        <v>399</v>
      </c>
      <c r="E238" s="2" t="s">
        <v>407</v>
      </c>
    </row>
    <row r="239" spans="1:5" x14ac:dyDescent="0.25">
      <c r="A239" s="2" t="s">
        <v>512</v>
      </c>
      <c r="B239" s="2" t="s">
        <v>258</v>
      </c>
      <c r="C239" s="2" t="s">
        <v>538</v>
      </c>
      <c r="D239" s="2" t="s">
        <v>402</v>
      </c>
      <c r="E239" s="2" t="s">
        <v>406</v>
      </c>
    </row>
    <row r="240" spans="1:5" x14ac:dyDescent="0.25">
      <c r="A240" s="2" t="s">
        <v>512</v>
      </c>
      <c r="B240" s="2" t="s">
        <v>258</v>
      </c>
      <c r="C240" s="2" t="s">
        <v>538</v>
      </c>
      <c r="D240" s="2" t="s">
        <v>404</v>
      </c>
      <c r="E240" s="2" t="s">
        <v>405</v>
      </c>
    </row>
    <row r="241" spans="1:5" x14ac:dyDescent="0.25">
      <c r="A241" s="2" t="s">
        <v>512</v>
      </c>
      <c r="B241" s="2" t="s">
        <v>195</v>
      </c>
      <c r="C241" s="2" t="s">
        <v>532</v>
      </c>
      <c r="D241" s="2" t="s">
        <v>399</v>
      </c>
      <c r="E241" s="2" t="s">
        <v>408</v>
      </c>
    </row>
    <row r="242" spans="1:5" x14ac:dyDescent="0.25">
      <c r="A242" s="2" t="s">
        <v>512</v>
      </c>
      <c r="B242" s="2" t="s">
        <v>260</v>
      </c>
      <c r="C242" s="2" t="s">
        <v>539</v>
      </c>
      <c r="D242" s="2" t="s">
        <v>402</v>
      </c>
      <c r="E242" s="2" t="s">
        <v>439</v>
      </c>
    </row>
    <row r="243" spans="1:5" x14ac:dyDescent="0.25">
      <c r="A243" s="2" t="s">
        <v>512</v>
      </c>
      <c r="B243" s="2" t="s">
        <v>260</v>
      </c>
      <c r="C243" s="2" t="s">
        <v>539</v>
      </c>
      <c r="D243" s="2" t="s">
        <v>399</v>
      </c>
      <c r="E243" s="2" t="s">
        <v>400</v>
      </c>
    </row>
    <row r="244" spans="1:5" x14ac:dyDescent="0.25">
      <c r="A244" s="2" t="s">
        <v>512</v>
      </c>
      <c r="B244" s="2" t="s">
        <v>260</v>
      </c>
      <c r="C244" s="2" t="s">
        <v>539</v>
      </c>
      <c r="D244" s="2" t="s">
        <v>404</v>
      </c>
      <c r="E244" s="2" t="s">
        <v>425</v>
      </c>
    </row>
    <row r="245" spans="1:5" x14ac:dyDescent="0.25">
      <c r="A245" s="2" t="s">
        <v>512</v>
      </c>
      <c r="B245" s="2" t="s">
        <v>260</v>
      </c>
      <c r="C245" s="2" t="s">
        <v>539</v>
      </c>
      <c r="D245" s="2" t="s">
        <v>299</v>
      </c>
      <c r="E245" s="2" t="s">
        <v>382</v>
      </c>
    </row>
    <row r="246" spans="1:5" x14ac:dyDescent="0.25">
      <c r="A246" s="2" t="s">
        <v>512</v>
      </c>
      <c r="B246" s="2" t="s">
        <v>260</v>
      </c>
      <c r="C246" s="2" t="s">
        <v>539</v>
      </c>
      <c r="D246" s="2" t="s">
        <v>385</v>
      </c>
      <c r="E246" s="2" t="s">
        <v>428</v>
      </c>
    </row>
    <row r="247" spans="1:5" x14ac:dyDescent="0.25">
      <c r="A247" s="2" t="s">
        <v>512</v>
      </c>
      <c r="B247" s="2" t="s">
        <v>260</v>
      </c>
      <c r="C247" s="2" t="s">
        <v>539</v>
      </c>
      <c r="D247" s="2" t="s">
        <v>410</v>
      </c>
      <c r="E247" s="2" t="s">
        <v>429</v>
      </c>
    </row>
    <row r="248" spans="1:5" x14ac:dyDescent="0.25">
      <c r="A248" s="2" t="s">
        <v>512</v>
      </c>
      <c r="B248" s="2" t="s">
        <v>260</v>
      </c>
      <c r="C248" s="2" t="s">
        <v>539</v>
      </c>
      <c r="D248" s="2" t="s">
        <v>286</v>
      </c>
      <c r="E248" s="2" t="s">
        <v>287</v>
      </c>
    </row>
    <row r="249" spans="1:5" x14ac:dyDescent="0.25">
      <c r="A249" s="2" t="s">
        <v>512</v>
      </c>
      <c r="B249" s="2" t="s">
        <v>260</v>
      </c>
      <c r="C249" s="2" t="s">
        <v>539</v>
      </c>
      <c r="D249" s="2" t="s">
        <v>290</v>
      </c>
      <c r="E249" s="2" t="s">
        <v>423</v>
      </c>
    </row>
    <row r="250" spans="1:5" x14ac:dyDescent="0.25">
      <c r="A250" s="2" t="s">
        <v>512</v>
      </c>
      <c r="B250" s="2" t="s">
        <v>211</v>
      </c>
      <c r="C250" s="2" t="s">
        <v>540</v>
      </c>
      <c r="D250" s="2" t="s">
        <v>410</v>
      </c>
      <c r="E250" s="2" t="s">
        <v>440</v>
      </c>
    </row>
    <row r="251" spans="1:5" x14ac:dyDescent="0.25">
      <c r="A251" s="2" t="s">
        <v>512</v>
      </c>
      <c r="B251" s="2" t="s">
        <v>211</v>
      </c>
      <c r="C251" s="2" t="s">
        <v>540</v>
      </c>
      <c r="D251" s="2" t="s">
        <v>385</v>
      </c>
      <c r="E251" s="2" t="s">
        <v>441</v>
      </c>
    </row>
    <row r="252" spans="1:5" x14ac:dyDescent="0.25">
      <c r="A252" s="2" t="s">
        <v>512</v>
      </c>
      <c r="B252" s="2" t="s">
        <v>211</v>
      </c>
      <c r="C252" s="2" t="s">
        <v>540</v>
      </c>
      <c r="D252" s="2" t="s">
        <v>404</v>
      </c>
      <c r="E252" s="2" t="s">
        <v>442</v>
      </c>
    </row>
    <row r="253" spans="1:5" x14ac:dyDescent="0.25">
      <c r="A253" s="2" t="s">
        <v>512</v>
      </c>
      <c r="B253" s="2" t="s">
        <v>215</v>
      </c>
      <c r="C253" s="2" t="s">
        <v>534</v>
      </c>
      <c r="D253" s="2" t="s">
        <v>399</v>
      </c>
      <c r="E253" s="2" t="s">
        <v>407</v>
      </c>
    </row>
    <row r="254" spans="1:5" x14ac:dyDescent="0.25">
      <c r="A254" s="2" t="s">
        <v>512</v>
      </c>
      <c r="B254" s="2" t="s">
        <v>238</v>
      </c>
      <c r="C254" s="2" t="s">
        <v>541</v>
      </c>
      <c r="D254" s="2" t="s">
        <v>399</v>
      </c>
      <c r="E254" s="2" t="s">
        <v>427</v>
      </c>
    </row>
    <row r="255" spans="1:5" x14ac:dyDescent="0.25">
      <c r="A255" s="2" t="s">
        <v>512</v>
      </c>
      <c r="B255" s="2" t="s">
        <v>238</v>
      </c>
      <c r="C255" s="2" t="s">
        <v>541</v>
      </c>
      <c r="D255" s="2" t="s">
        <v>402</v>
      </c>
      <c r="E255" s="2" t="s">
        <v>424</v>
      </c>
    </row>
    <row r="256" spans="1:5" x14ac:dyDescent="0.25">
      <c r="A256" s="2" t="s">
        <v>512</v>
      </c>
      <c r="B256" s="2" t="s">
        <v>238</v>
      </c>
      <c r="C256" s="2" t="s">
        <v>541</v>
      </c>
      <c r="D256" s="2" t="s">
        <v>404</v>
      </c>
      <c r="E256" s="2" t="s">
        <v>425</v>
      </c>
    </row>
    <row r="257" spans="1:5" x14ac:dyDescent="0.25">
      <c r="A257" s="2" t="s">
        <v>512</v>
      </c>
      <c r="B257" s="2" t="s">
        <v>234</v>
      </c>
      <c r="C257" s="2" t="s">
        <v>542</v>
      </c>
      <c r="D257" s="2" t="s">
        <v>404</v>
      </c>
      <c r="E257" s="2" t="s">
        <v>425</v>
      </c>
    </row>
    <row r="258" spans="1:5" x14ac:dyDescent="0.25">
      <c r="A258" s="2" t="s">
        <v>512</v>
      </c>
      <c r="B258" s="2" t="s">
        <v>234</v>
      </c>
      <c r="C258" s="2" t="s">
        <v>542</v>
      </c>
      <c r="D258" s="2" t="s">
        <v>402</v>
      </c>
      <c r="E258" s="2" t="s">
        <v>424</v>
      </c>
    </row>
    <row r="259" spans="1:5" x14ac:dyDescent="0.25">
      <c r="A259" s="2" t="s">
        <v>512</v>
      </c>
      <c r="B259" s="2" t="s">
        <v>234</v>
      </c>
      <c r="C259" s="2" t="s">
        <v>542</v>
      </c>
      <c r="D259" s="2" t="s">
        <v>399</v>
      </c>
      <c r="E259" s="2" t="s">
        <v>427</v>
      </c>
    </row>
    <row r="260" spans="1:5" x14ac:dyDescent="0.25">
      <c r="A260" s="2" t="s">
        <v>512</v>
      </c>
      <c r="B260" s="2" t="s">
        <v>232</v>
      </c>
      <c r="C260" s="2" t="s">
        <v>543</v>
      </c>
      <c r="D260" s="2" t="s">
        <v>399</v>
      </c>
      <c r="E260" s="2" t="s">
        <v>427</v>
      </c>
    </row>
    <row r="261" spans="1:5" x14ac:dyDescent="0.25">
      <c r="A261" s="2" t="s">
        <v>512</v>
      </c>
      <c r="B261" s="2" t="s">
        <v>232</v>
      </c>
      <c r="C261" s="2" t="s">
        <v>543</v>
      </c>
      <c r="D261" s="2" t="s">
        <v>402</v>
      </c>
      <c r="E261" s="2" t="s">
        <v>424</v>
      </c>
    </row>
    <row r="262" spans="1:5" x14ac:dyDescent="0.25">
      <c r="A262" s="2" t="s">
        <v>512</v>
      </c>
      <c r="B262" s="2" t="s">
        <v>232</v>
      </c>
      <c r="C262" s="2" t="s">
        <v>543</v>
      </c>
      <c r="D262" s="2" t="s">
        <v>404</v>
      </c>
      <c r="E262" s="2" t="s">
        <v>425</v>
      </c>
    </row>
    <row r="263" spans="1:5" x14ac:dyDescent="0.25">
      <c r="A263" s="2" t="s">
        <v>512</v>
      </c>
      <c r="B263" s="2" t="s">
        <v>189</v>
      </c>
      <c r="C263" s="2" t="s">
        <v>544</v>
      </c>
      <c r="D263" s="2" t="s">
        <v>399</v>
      </c>
      <c r="E263" s="2" t="s">
        <v>408</v>
      </c>
    </row>
    <row r="264" spans="1:5" x14ac:dyDescent="0.25">
      <c r="A264" s="2" t="s">
        <v>512</v>
      </c>
      <c r="B264" s="2" t="s">
        <v>191</v>
      </c>
      <c r="C264" s="2" t="s">
        <v>545</v>
      </c>
      <c r="D264" s="2" t="s">
        <v>399</v>
      </c>
      <c r="E264" s="2" t="s">
        <v>408</v>
      </c>
    </row>
    <row r="265" spans="1:5" x14ac:dyDescent="0.25">
      <c r="A265" s="2" t="s">
        <v>512</v>
      </c>
      <c r="B265" s="2" t="s">
        <v>193</v>
      </c>
      <c r="C265" s="2" t="s">
        <v>533</v>
      </c>
      <c r="D265" s="2" t="s">
        <v>399</v>
      </c>
      <c r="E265" s="2" t="s">
        <v>408</v>
      </c>
    </row>
    <row r="266" spans="1:5" hidden="1" x14ac:dyDescent="0.25">
      <c r="A266" s="2" t="s">
        <v>511</v>
      </c>
      <c r="B266" s="2" t="s">
        <v>169</v>
      </c>
      <c r="C266" s="2" t="s">
        <v>546</v>
      </c>
      <c r="D266" s="2" t="s">
        <v>290</v>
      </c>
      <c r="E266" s="2" t="s">
        <v>443</v>
      </c>
    </row>
    <row r="267" spans="1:5" hidden="1" x14ac:dyDescent="0.25">
      <c r="A267" s="2" t="s">
        <v>511</v>
      </c>
      <c r="B267" s="2" t="s">
        <v>168</v>
      </c>
      <c r="C267" s="2" t="s">
        <v>547</v>
      </c>
      <c r="D267" s="2" t="s">
        <v>444</v>
      </c>
      <c r="E267" s="2" t="s">
        <v>445</v>
      </c>
    </row>
    <row r="268" spans="1:5" hidden="1" x14ac:dyDescent="0.25">
      <c r="A268" s="2" t="s">
        <v>511</v>
      </c>
      <c r="B268" s="2" t="s">
        <v>168</v>
      </c>
      <c r="C268" s="2" t="s">
        <v>547</v>
      </c>
      <c r="D268" s="2" t="s">
        <v>444</v>
      </c>
      <c r="E268" s="2" t="s">
        <v>446</v>
      </c>
    </row>
    <row r="269" spans="1:5" hidden="1" x14ac:dyDescent="0.25">
      <c r="A269" s="2" t="s">
        <v>511</v>
      </c>
      <c r="B269" s="2" t="s">
        <v>168</v>
      </c>
      <c r="C269" s="2" t="s">
        <v>547</v>
      </c>
      <c r="D269" s="2" t="s">
        <v>444</v>
      </c>
      <c r="E269" s="2" t="s">
        <v>447</v>
      </c>
    </row>
    <row r="270" spans="1:5" hidden="1" x14ac:dyDescent="0.25">
      <c r="A270" s="2" t="s">
        <v>511</v>
      </c>
      <c r="B270" s="2" t="s">
        <v>132</v>
      </c>
      <c r="C270" s="2" t="s">
        <v>548</v>
      </c>
      <c r="D270" s="2" t="s">
        <v>377</v>
      </c>
      <c r="E270" s="2" t="s">
        <v>448</v>
      </c>
    </row>
    <row r="271" spans="1:5" hidden="1" x14ac:dyDescent="0.25">
      <c r="A271" s="2" t="s">
        <v>511</v>
      </c>
      <c r="B271" s="2" t="s">
        <v>132</v>
      </c>
      <c r="C271" s="2" t="s">
        <v>548</v>
      </c>
      <c r="D271" s="2" t="s">
        <v>315</v>
      </c>
      <c r="E271" s="2" t="s">
        <v>449</v>
      </c>
    </row>
    <row r="272" spans="1:5" hidden="1" x14ac:dyDescent="0.25">
      <c r="A272" s="2" t="s">
        <v>511</v>
      </c>
      <c r="B272" s="2" t="s">
        <v>274</v>
      </c>
      <c r="C272" s="2" t="s">
        <v>549</v>
      </c>
      <c r="D272" s="2" t="s">
        <v>418</v>
      </c>
      <c r="E272" s="2" t="s">
        <v>419</v>
      </c>
    </row>
    <row r="273" spans="1:5" hidden="1" x14ac:dyDescent="0.25">
      <c r="A273" s="2" t="s">
        <v>511</v>
      </c>
      <c r="B273" s="2" t="s">
        <v>274</v>
      </c>
      <c r="C273" s="2" t="s">
        <v>549</v>
      </c>
      <c r="D273" s="2" t="s">
        <v>385</v>
      </c>
      <c r="E273" s="2" t="s">
        <v>450</v>
      </c>
    </row>
    <row r="274" spans="1:5" hidden="1" x14ac:dyDescent="0.25">
      <c r="A274" s="2" t="s">
        <v>511</v>
      </c>
      <c r="B274" s="2" t="s">
        <v>274</v>
      </c>
      <c r="C274" s="2" t="s">
        <v>549</v>
      </c>
      <c r="D274" s="2" t="s">
        <v>392</v>
      </c>
      <c r="E274" s="2" t="s">
        <v>420</v>
      </c>
    </row>
    <row r="275" spans="1:5" hidden="1" x14ac:dyDescent="0.25">
      <c r="A275" s="2" t="s">
        <v>511</v>
      </c>
      <c r="B275" s="2" t="s">
        <v>274</v>
      </c>
      <c r="C275" s="2" t="s">
        <v>549</v>
      </c>
      <c r="D275" s="2" t="s">
        <v>410</v>
      </c>
      <c r="E275" s="2" t="s">
        <v>451</v>
      </c>
    </row>
    <row r="276" spans="1:5" x14ac:dyDescent="0.25">
      <c r="A276" s="2" t="s">
        <v>512</v>
      </c>
      <c r="B276" s="2" t="s">
        <v>219</v>
      </c>
      <c r="C276" s="2" t="s">
        <v>550</v>
      </c>
      <c r="D276" s="2" t="s">
        <v>288</v>
      </c>
      <c r="E276" s="2" t="s">
        <v>452</v>
      </c>
    </row>
    <row r="277" spans="1:5" x14ac:dyDescent="0.25">
      <c r="A277" s="2" t="s">
        <v>512</v>
      </c>
      <c r="B277" s="2" t="s">
        <v>219</v>
      </c>
      <c r="C277" s="2" t="s">
        <v>550</v>
      </c>
      <c r="D277" s="2" t="s">
        <v>286</v>
      </c>
      <c r="E277" s="2" t="s">
        <v>287</v>
      </c>
    </row>
    <row r="278" spans="1:5" x14ac:dyDescent="0.25">
      <c r="A278" s="2" t="s">
        <v>512</v>
      </c>
      <c r="B278" s="2" t="s">
        <v>219</v>
      </c>
      <c r="C278" s="2" t="s">
        <v>550</v>
      </c>
      <c r="D278" s="2" t="s">
        <v>290</v>
      </c>
      <c r="E278" s="2" t="s">
        <v>291</v>
      </c>
    </row>
    <row r="279" spans="1:5" x14ac:dyDescent="0.25">
      <c r="A279" s="2" t="s">
        <v>512</v>
      </c>
      <c r="B279" s="2" t="s">
        <v>221</v>
      </c>
      <c r="C279" s="2" t="s">
        <v>551</v>
      </c>
      <c r="D279" s="2" t="s">
        <v>288</v>
      </c>
      <c r="E279" s="2" t="s">
        <v>452</v>
      </c>
    </row>
    <row r="280" spans="1:5" x14ac:dyDescent="0.25">
      <c r="A280" s="2" t="s">
        <v>512</v>
      </c>
      <c r="B280" s="2" t="s">
        <v>221</v>
      </c>
      <c r="C280" s="2" t="s">
        <v>551</v>
      </c>
      <c r="D280" s="2" t="s">
        <v>286</v>
      </c>
      <c r="E280" s="2" t="s">
        <v>287</v>
      </c>
    </row>
    <row r="281" spans="1:5" x14ac:dyDescent="0.25">
      <c r="A281" s="2" t="s">
        <v>512</v>
      </c>
      <c r="B281" s="2" t="s">
        <v>221</v>
      </c>
      <c r="C281" s="2" t="s">
        <v>551</v>
      </c>
      <c r="D281" s="2" t="s">
        <v>290</v>
      </c>
      <c r="E281" s="2" t="s">
        <v>291</v>
      </c>
    </row>
    <row r="282" spans="1:5" x14ac:dyDescent="0.25">
      <c r="A282" s="2" t="s">
        <v>512</v>
      </c>
      <c r="B282" s="2" t="s">
        <v>223</v>
      </c>
      <c r="C282" s="2" t="s">
        <v>552</v>
      </c>
      <c r="D282" s="2" t="s">
        <v>288</v>
      </c>
      <c r="E282" s="2" t="s">
        <v>452</v>
      </c>
    </row>
    <row r="283" spans="1:5" x14ac:dyDescent="0.25">
      <c r="A283" s="2" t="s">
        <v>512</v>
      </c>
      <c r="B283" s="2" t="s">
        <v>223</v>
      </c>
      <c r="C283" s="2" t="s">
        <v>552</v>
      </c>
      <c r="D283" s="2" t="s">
        <v>286</v>
      </c>
      <c r="E283" s="2" t="s">
        <v>287</v>
      </c>
    </row>
    <row r="284" spans="1:5" x14ac:dyDescent="0.25">
      <c r="A284" s="2" t="s">
        <v>512</v>
      </c>
      <c r="B284" s="2" t="s">
        <v>223</v>
      </c>
      <c r="C284" s="2" t="s">
        <v>552</v>
      </c>
      <c r="D284" s="2" t="s">
        <v>290</v>
      </c>
      <c r="E284" s="2" t="s">
        <v>291</v>
      </c>
    </row>
    <row r="285" spans="1:5" hidden="1" x14ac:dyDescent="0.25">
      <c r="A285" s="2" t="s">
        <v>511</v>
      </c>
      <c r="B285" s="2" t="s">
        <v>156</v>
      </c>
      <c r="C285" s="2" t="s">
        <v>553</v>
      </c>
      <c r="D285" s="2" t="s">
        <v>307</v>
      </c>
      <c r="E285" s="2" t="s">
        <v>308</v>
      </c>
    </row>
    <row r="286" spans="1:5" hidden="1" x14ac:dyDescent="0.25">
      <c r="A286" s="2" t="s">
        <v>511</v>
      </c>
      <c r="B286" s="2" t="s">
        <v>156</v>
      </c>
      <c r="C286" s="2" t="s">
        <v>553</v>
      </c>
      <c r="D286" s="2" t="s">
        <v>299</v>
      </c>
      <c r="E286" s="2" t="s">
        <v>309</v>
      </c>
    </row>
    <row r="287" spans="1:5" hidden="1" x14ac:dyDescent="0.25">
      <c r="A287" s="2" t="s">
        <v>511</v>
      </c>
      <c r="B287" s="2" t="s">
        <v>160</v>
      </c>
      <c r="C287" s="2" t="s">
        <v>554</v>
      </c>
      <c r="D287" s="2" t="s">
        <v>307</v>
      </c>
      <c r="E287" s="2" t="s">
        <v>310</v>
      </c>
    </row>
    <row r="288" spans="1:5" hidden="1" x14ac:dyDescent="0.25">
      <c r="A288" s="2" t="s">
        <v>511</v>
      </c>
      <c r="B288" s="2" t="s">
        <v>160</v>
      </c>
      <c r="C288" s="2" t="s">
        <v>554</v>
      </c>
      <c r="D288" s="2" t="s">
        <v>299</v>
      </c>
      <c r="E288" s="2" t="s">
        <v>311</v>
      </c>
    </row>
    <row r="289" spans="1:5" hidden="1" x14ac:dyDescent="0.25">
      <c r="A289" s="2" t="s">
        <v>511</v>
      </c>
      <c r="B289" s="2" t="s">
        <v>154</v>
      </c>
      <c r="C289" s="2" t="s">
        <v>555</v>
      </c>
      <c r="D289" s="2" t="s">
        <v>307</v>
      </c>
      <c r="E289" s="2" t="s">
        <v>453</v>
      </c>
    </row>
    <row r="290" spans="1:5" hidden="1" x14ac:dyDescent="0.25">
      <c r="A290" s="2" t="s">
        <v>511</v>
      </c>
      <c r="B290" s="2" t="s">
        <v>154</v>
      </c>
      <c r="C290" s="2" t="s">
        <v>555</v>
      </c>
      <c r="D290" s="2" t="s">
        <v>299</v>
      </c>
      <c r="E290" s="2" t="s">
        <v>454</v>
      </c>
    </row>
    <row r="291" spans="1:5" hidden="1" x14ac:dyDescent="0.25">
      <c r="A291" s="2" t="s">
        <v>511</v>
      </c>
      <c r="B291" s="2" t="s">
        <v>44</v>
      </c>
      <c r="C291" s="8" t="s">
        <v>55</v>
      </c>
      <c r="D291" s="2" t="s">
        <v>53</v>
      </c>
      <c r="E291" s="2" t="s">
        <v>54</v>
      </c>
    </row>
    <row r="292" spans="1:5" hidden="1" x14ac:dyDescent="0.25">
      <c r="A292" s="2" t="s">
        <v>511</v>
      </c>
      <c r="B292" s="2" t="s">
        <v>134</v>
      </c>
      <c r="C292" s="2" t="s">
        <v>556</v>
      </c>
      <c r="D292" s="2" t="s">
        <v>290</v>
      </c>
      <c r="E292" s="2" t="s">
        <v>455</v>
      </c>
    </row>
    <row r="293" spans="1:5" hidden="1" x14ac:dyDescent="0.25">
      <c r="A293" s="2" t="s">
        <v>511</v>
      </c>
      <c r="B293" s="2" t="s">
        <v>171</v>
      </c>
      <c r="C293" s="2" t="s">
        <v>557</v>
      </c>
      <c r="D293" s="2" t="s">
        <v>299</v>
      </c>
      <c r="E293" s="2" t="s">
        <v>300</v>
      </c>
    </row>
    <row r="294" spans="1:5" hidden="1" x14ac:dyDescent="0.25">
      <c r="A294" s="2" t="s">
        <v>511</v>
      </c>
      <c r="B294" s="2" t="s">
        <v>136</v>
      </c>
      <c r="C294" s="2" t="s">
        <v>558</v>
      </c>
      <c r="D294" s="2" t="s">
        <v>290</v>
      </c>
      <c r="E294" s="2" t="s">
        <v>456</v>
      </c>
    </row>
    <row r="295" spans="1:5" hidden="1" x14ac:dyDescent="0.25">
      <c r="A295" s="2" t="s">
        <v>511</v>
      </c>
      <c r="B295" s="2" t="s">
        <v>162</v>
      </c>
      <c r="C295" s="2" t="s">
        <v>559</v>
      </c>
      <c r="D295" s="2" t="s">
        <v>307</v>
      </c>
      <c r="E295" s="2" t="s">
        <v>457</v>
      </c>
    </row>
    <row r="296" spans="1:5" hidden="1" x14ac:dyDescent="0.25">
      <c r="A296" s="2" t="s">
        <v>511</v>
      </c>
      <c r="B296" s="2" t="s">
        <v>162</v>
      </c>
      <c r="C296" s="2" t="s">
        <v>559</v>
      </c>
      <c r="D296" s="2" t="s">
        <v>299</v>
      </c>
      <c r="E296" s="2" t="s">
        <v>458</v>
      </c>
    </row>
    <row r="297" spans="1:5" hidden="1" x14ac:dyDescent="0.25">
      <c r="A297" s="2" t="s">
        <v>511</v>
      </c>
      <c r="B297" s="2" t="s">
        <v>138</v>
      </c>
      <c r="C297" s="2" t="s">
        <v>560</v>
      </c>
      <c r="D297" s="2" t="s">
        <v>327</v>
      </c>
      <c r="E297" s="2" t="s">
        <v>370</v>
      </c>
    </row>
    <row r="298" spans="1:5" hidden="1" x14ac:dyDescent="0.25">
      <c r="A298" s="2" t="s">
        <v>511</v>
      </c>
      <c r="B298" s="2" t="s">
        <v>138</v>
      </c>
      <c r="C298" s="2" t="s">
        <v>560</v>
      </c>
      <c r="D298" s="2" t="s">
        <v>299</v>
      </c>
      <c r="E298" s="2" t="s">
        <v>300</v>
      </c>
    </row>
    <row r="299" spans="1:5" hidden="1" x14ac:dyDescent="0.25">
      <c r="A299" s="2" t="s">
        <v>511</v>
      </c>
      <c r="B299" s="2" t="s">
        <v>138</v>
      </c>
      <c r="C299" s="2" t="s">
        <v>560</v>
      </c>
      <c r="D299" s="2" t="s">
        <v>299</v>
      </c>
      <c r="E299" s="2" t="s">
        <v>329</v>
      </c>
    </row>
    <row r="300" spans="1:5" hidden="1" x14ac:dyDescent="0.25">
      <c r="A300" s="2" t="s">
        <v>511</v>
      </c>
      <c r="B300" s="2" t="s">
        <v>138</v>
      </c>
      <c r="C300" s="2" t="s">
        <v>560</v>
      </c>
      <c r="D300" s="2" t="s">
        <v>290</v>
      </c>
      <c r="E300" s="2" t="s">
        <v>336</v>
      </c>
    </row>
    <row r="301" spans="1:5" hidden="1" x14ac:dyDescent="0.25">
      <c r="A301" s="2" t="s">
        <v>511</v>
      </c>
      <c r="B301" s="2" t="s">
        <v>276</v>
      </c>
      <c r="C301" s="2" t="s">
        <v>561</v>
      </c>
      <c r="D301" s="2" t="s">
        <v>418</v>
      </c>
      <c r="E301" s="2" t="s">
        <v>459</v>
      </c>
    </row>
    <row r="302" spans="1:5" hidden="1" x14ac:dyDescent="0.25">
      <c r="A302" s="2" t="s">
        <v>511</v>
      </c>
      <c r="B302" s="2" t="s">
        <v>276</v>
      </c>
      <c r="C302" s="2" t="s">
        <v>561</v>
      </c>
      <c r="D302" s="2" t="s">
        <v>404</v>
      </c>
      <c r="E302" s="2" t="s">
        <v>460</v>
      </c>
    </row>
    <row r="303" spans="1:5" hidden="1" x14ac:dyDescent="0.25">
      <c r="A303" s="2" t="s">
        <v>511</v>
      </c>
      <c r="B303" s="2" t="s">
        <v>276</v>
      </c>
      <c r="C303" s="2" t="s">
        <v>561</v>
      </c>
      <c r="D303" s="2" t="s">
        <v>404</v>
      </c>
      <c r="E303" s="2" t="s">
        <v>461</v>
      </c>
    </row>
    <row r="304" spans="1:5" hidden="1" x14ac:dyDescent="0.25">
      <c r="A304" s="2" t="s">
        <v>511</v>
      </c>
      <c r="B304" s="2" t="s">
        <v>276</v>
      </c>
      <c r="C304" s="2" t="s">
        <v>561</v>
      </c>
      <c r="D304" s="2" t="s">
        <v>404</v>
      </c>
      <c r="E304" s="2" t="s">
        <v>462</v>
      </c>
    </row>
    <row r="305" spans="1:5" hidden="1" x14ac:dyDescent="0.25">
      <c r="A305" s="2" t="s">
        <v>511</v>
      </c>
      <c r="B305" s="2" t="s">
        <v>140</v>
      </c>
      <c r="C305" s="2" t="s">
        <v>562</v>
      </c>
      <c r="D305" s="2" t="s">
        <v>313</v>
      </c>
      <c r="E305" s="2" t="s">
        <v>317</v>
      </c>
    </row>
    <row r="306" spans="1:5" hidden="1" x14ac:dyDescent="0.25">
      <c r="A306" s="2" t="s">
        <v>511</v>
      </c>
      <c r="B306" s="2" t="s">
        <v>140</v>
      </c>
      <c r="C306" s="2" t="s">
        <v>562</v>
      </c>
      <c r="D306" s="2" t="s">
        <v>307</v>
      </c>
      <c r="E306" s="2" t="s">
        <v>463</v>
      </c>
    </row>
    <row r="307" spans="1:5" hidden="1" x14ac:dyDescent="0.25">
      <c r="A307" s="2" t="s">
        <v>511</v>
      </c>
      <c r="B307" s="2" t="s">
        <v>140</v>
      </c>
      <c r="C307" s="2" t="s">
        <v>562</v>
      </c>
      <c r="D307" s="2" t="s">
        <v>288</v>
      </c>
      <c r="E307" s="2" t="s">
        <v>318</v>
      </c>
    </row>
    <row r="308" spans="1:5" hidden="1" x14ac:dyDescent="0.25">
      <c r="A308" s="2" t="s">
        <v>511</v>
      </c>
      <c r="B308" s="2" t="s">
        <v>140</v>
      </c>
      <c r="C308" s="2" t="s">
        <v>562</v>
      </c>
      <c r="D308" s="2" t="s">
        <v>288</v>
      </c>
      <c r="E308" s="2" t="s">
        <v>319</v>
      </c>
    </row>
    <row r="309" spans="1:5" hidden="1" x14ac:dyDescent="0.25">
      <c r="A309" s="2" t="s">
        <v>511</v>
      </c>
      <c r="B309" s="2" t="s">
        <v>140</v>
      </c>
      <c r="C309" s="2" t="s">
        <v>562</v>
      </c>
      <c r="D309" s="2" t="s">
        <v>313</v>
      </c>
      <c r="E309" s="2" t="s">
        <v>320</v>
      </c>
    </row>
    <row r="310" spans="1:5" hidden="1" x14ac:dyDescent="0.25">
      <c r="A310" s="2" t="s">
        <v>511</v>
      </c>
      <c r="B310" s="2" t="s">
        <v>140</v>
      </c>
      <c r="C310" s="2" t="s">
        <v>562</v>
      </c>
      <c r="D310" s="2" t="s">
        <v>290</v>
      </c>
      <c r="E310" s="2" t="s">
        <v>464</v>
      </c>
    </row>
    <row r="311" spans="1:5" hidden="1" x14ac:dyDescent="0.25">
      <c r="A311" s="2" t="s">
        <v>511</v>
      </c>
      <c r="B311" s="2" t="s">
        <v>140</v>
      </c>
      <c r="C311" s="2" t="s">
        <v>562</v>
      </c>
      <c r="D311" s="2" t="s">
        <v>290</v>
      </c>
      <c r="E311" s="2" t="s">
        <v>465</v>
      </c>
    </row>
    <row r="312" spans="1:5" hidden="1" x14ac:dyDescent="0.25">
      <c r="A312" s="2" t="s">
        <v>511</v>
      </c>
      <c r="B312" s="2" t="s">
        <v>140</v>
      </c>
      <c r="C312" s="2" t="s">
        <v>562</v>
      </c>
      <c r="D312" s="2" t="s">
        <v>290</v>
      </c>
      <c r="E312" s="2" t="s">
        <v>466</v>
      </c>
    </row>
    <row r="313" spans="1:5" hidden="1" x14ac:dyDescent="0.25">
      <c r="A313" s="2" t="s">
        <v>511</v>
      </c>
      <c r="B313" s="2" t="s">
        <v>140</v>
      </c>
      <c r="C313" s="2" t="s">
        <v>562</v>
      </c>
      <c r="D313" s="2" t="s">
        <v>315</v>
      </c>
      <c r="E313" s="2" t="s">
        <v>467</v>
      </c>
    </row>
    <row r="314" spans="1:5" hidden="1" x14ac:dyDescent="0.25">
      <c r="A314" s="2" t="s">
        <v>511</v>
      </c>
      <c r="B314" s="2" t="s">
        <v>140</v>
      </c>
      <c r="C314" s="2" t="s">
        <v>562</v>
      </c>
      <c r="D314" s="2" t="s">
        <v>468</v>
      </c>
      <c r="E314" s="2" t="s">
        <v>469</v>
      </c>
    </row>
    <row r="315" spans="1:5" x14ac:dyDescent="0.25">
      <c r="A315" s="2" t="s">
        <v>512</v>
      </c>
      <c r="B315" s="2" t="s">
        <v>254</v>
      </c>
      <c r="C315" s="2" t="s">
        <v>563</v>
      </c>
      <c r="D315" s="2" t="s">
        <v>404</v>
      </c>
      <c r="E315" s="2" t="s">
        <v>470</v>
      </c>
    </row>
    <row r="316" spans="1:5" x14ac:dyDescent="0.25">
      <c r="A316" s="2" t="s">
        <v>512</v>
      </c>
      <c r="B316" s="2" t="s">
        <v>254</v>
      </c>
      <c r="C316" s="2" t="s">
        <v>563</v>
      </c>
      <c r="D316" s="2" t="s">
        <v>399</v>
      </c>
      <c r="E316" s="2" t="s">
        <v>471</v>
      </c>
    </row>
    <row r="317" spans="1:5" x14ac:dyDescent="0.25">
      <c r="A317" s="2" t="s">
        <v>512</v>
      </c>
      <c r="B317" s="2" t="s">
        <v>254</v>
      </c>
      <c r="C317" s="2" t="s">
        <v>563</v>
      </c>
      <c r="D317" s="2" t="s">
        <v>402</v>
      </c>
      <c r="E317" s="2" t="s">
        <v>472</v>
      </c>
    </row>
    <row r="318" spans="1:5" x14ac:dyDescent="0.25">
      <c r="A318" s="2" t="s">
        <v>512</v>
      </c>
      <c r="B318" s="2" t="s">
        <v>254</v>
      </c>
      <c r="C318" s="2" t="s">
        <v>563</v>
      </c>
      <c r="D318" s="2" t="s">
        <v>402</v>
      </c>
      <c r="E318" s="2" t="s">
        <v>473</v>
      </c>
    </row>
    <row r="319" spans="1:5" x14ac:dyDescent="0.25">
      <c r="A319" s="2" t="s">
        <v>512</v>
      </c>
      <c r="B319" s="2" t="s">
        <v>254</v>
      </c>
      <c r="C319" s="2" t="s">
        <v>563</v>
      </c>
      <c r="D319" s="2" t="s">
        <v>399</v>
      </c>
      <c r="E319" s="2" t="s">
        <v>474</v>
      </c>
    </row>
    <row r="320" spans="1:5" x14ac:dyDescent="0.25">
      <c r="A320" s="2" t="s">
        <v>512</v>
      </c>
      <c r="B320" s="2" t="s">
        <v>254</v>
      </c>
      <c r="C320" s="2" t="s">
        <v>563</v>
      </c>
      <c r="D320" s="2" t="s">
        <v>404</v>
      </c>
      <c r="E320" s="2" t="s">
        <v>475</v>
      </c>
    </row>
    <row r="321" spans="1:5" x14ac:dyDescent="0.25">
      <c r="A321" s="2" t="s">
        <v>512</v>
      </c>
      <c r="B321" s="2" t="s">
        <v>243</v>
      </c>
      <c r="C321" s="2" t="s">
        <v>564</v>
      </c>
      <c r="D321" s="2" t="s">
        <v>404</v>
      </c>
      <c r="E321" s="2" t="s">
        <v>470</v>
      </c>
    </row>
    <row r="322" spans="1:5" x14ac:dyDescent="0.25">
      <c r="A322" s="2" t="s">
        <v>512</v>
      </c>
      <c r="B322" s="2" t="s">
        <v>243</v>
      </c>
      <c r="C322" s="2" t="s">
        <v>564</v>
      </c>
      <c r="D322" s="2" t="s">
        <v>402</v>
      </c>
      <c r="E322" s="2" t="s">
        <v>424</v>
      </c>
    </row>
    <row r="323" spans="1:5" x14ac:dyDescent="0.25">
      <c r="A323" s="2" t="s">
        <v>512</v>
      </c>
      <c r="B323" s="2" t="s">
        <v>243</v>
      </c>
      <c r="C323" s="2" t="s">
        <v>564</v>
      </c>
      <c r="D323" s="2" t="s">
        <v>399</v>
      </c>
      <c r="E323" s="2" t="s">
        <v>427</v>
      </c>
    </row>
    <row r="324" spans="1:5" x14ac:dyDescent="0.25">
      <c r="A324" s="2" t="s">
        <v>512</v>
      </c>
      <c r="B324" s="2" t="s">
        <v>243</v>
      </c>
      <c r="C324" s="2" t="s">
        <v>564</v>
      </c>
      <c r="D324" s="2" t="s">
        <v>399</v>
      </c>
      <c r="E324" s="2" t="s">
        <v>474</v>
      </c>
    </row>
    <row r="325" spans="1:5" x14ac:dyDescent="0.25">
      <c r="A325" s="2" t="s">
        <v>512</v>
      </c>
      <c r="B325" s="2" t="s">
        <v>243</v>
      </c>
      <c r="C325" s="2" t="s">
        <v>564</v>
      </c>
      <c r="D325" s="2" t="s">
        <v>402</v>
      </c>
      <c r="E325" s="2" t="s">
        <v>476</v>
      </c>
    </row>
    <row r="326" spans="1:5" x14ac:dyDescent="0.25">
      <c r="A326" s="2" t="s">
        <v>512</v>
      </c>
      <c r="B326" s="2" t="s">
        <v>243</v>
      </c>
      <c r="C326" s="2" t="s">
        <v>564</v>
      </c>
      <c r="D326" s="2" t="s">
        <v>404</v>
      </c>
      <c r="E326" s="2" t="s">
        <v>475</v>
      </c>
    </row>
    <row r="327" spans="1:5" x14ac:dyDescent="0.25">
      <c r="A327" s="2" t="s">
        <v>512</v>
      </c>
      <c r="B327" s="2" t="s">
        <v>205</v>
      </c>
      <c r="C327" s="2" t="s">
        <v>563</v>
      </c>
      <c r="D327" s="2" t="s">
        <v>399</v>
      </c>
      <c r="E327" s="2" t="s">
        <v>477</v>
      </c>
    </row>
    <row r="328" spans="1:5" x14ac:dyDescent="0.25">
      <c r="A328" s="2" t="s">
        <v>512</v>
      </c>
      <c r="B328" s="2" t="s">
        <v>205</v>
      </c>
      <c r="C328" s="2" t="s">
        <v>563</v>
      </c>
      <c r="D328" s="2" t="s">
        <v>399</v>
      </c>
      <c r="E328" s="2" t="s">
        <v>478</v>
      </c>
    </row>
    <row r="329" spans="1:5" x14ac:dyDescent="0.25">
      <c r="A329" s="2" t="s">
        <v>512</v>
      </c>
      <c r="B329" s="2" t="s">
        <v>225</v>
      </c>
      <c r="C329" s="2" t="s">
        <v>565</v>
      </c>
      <c r="D329" s="2" t="s">
        <v>479</v>
      </c>
      <c r="E329" s="2" t="s">
        <v>480</v>
      </c>
    </row>
    <row r="330" spans="1:5" x14ac:dyDescent="0.25">
      <c r="A330" s="2" t="s">
        <v>512</v>
      </c>
      <c r="B330" s="2" t="s">
        <v>225</v>
      </c>
      <c r="C330" s="2" t="s">
        <v>565</v>
      </c>
      <c r="D330" s="2" t="s">
        <v>481</v>
      </c>
      <c r="E330" s="2" t="s">
        <v>482</v>
      </c>
    </row>
    <row r="331" spans="1:5" x14ac:dyDescent="0.25">
      <c r="A331" s="2" t="s">
        <v>512</v>
      </c>
      <c r="B331" s="2" t="s">
        <v>225</v>
      </c>
      <c r="C331" s="2" t="s">
        <v>565</v>
      </c>
      <c r="D331" s="2" t="s">
        <v>410</v>
      </c>
      <c r="E331" s="2" t="s">
        <v>440</v>
      </c>
    </row>
    <row r="332" spans="1:5" x14ac:dyDescent="0.25">
      <c r="A332" s="2" t="s">
        <v>512</v>
      </c>
      <c r="B332" s="2" t="s">
        <v>225</v>
      </c>
      <c r="C332" s="2" t="s">
        <v>565</v>
      </c>
      <c r="D332" s="2" t="s">
        <v>286</v>
      </c>
      <c r="E332" s="2" t="s">
        <v>363</v>
      </c>
    </row>
    <row r="333" spans="1:5" x14ac:dyDescent="0.25">
      <c r="A333" s="2" t="s">
        <v>512</v>
      </c>
      <c r="B333" s="2" t="s">
        <v>225</v>
      </c>
      <c r="C333" s="2" t="s">
        <v>565</v>
      </c>
      <c r="D333" s="2" t="s">
        <v>290</v>
      </c>
      <c r="E333" s="2" t="s">
        <v>364</v>
      </c>
    </row>
    <row r="334" spans="1:5" x14ac:dyDescent="0.25">
      <c r="A334" s="2" t="s">
        <v>512</v>
      </c>
      <c r="B334" s="2" t="s">
        <v>225</v>
      </c>
      <c r="C334" s="2" t="s">
        <v>565</v>
      </c>
      <c r="D334" s="2" t="s">
        <v>53</v>
      </c>
      <c r="E334" s="2" t="s">
        <v>441</v>
      </c>
    </row>
    <row r="335" spans="1:5" x14ac:dyDescent="0.25">
      <c r="A335" s="2" t="s">
        <v>512</v>
      </c>
      <c r="B335" s="2" t="s">
        <v>225</v>
      </c>
      <c r="C335" s="2" t="s">
        <v>565</v>
      </c>
      <c r="D335" s="2" t="s">
        <v>385</v>
      </c>
      <c r="E335" s="2" t="s">
        <v>441</v>
      </c>
    </row>
    <row r="336" spans="1:5" x14ac:dyDescent="0.25">
      <c r="A336" s="2" t="s">
        <v>512</v>
      </c>
      <c r="B336" s="2" t="s">
        <v>225</v>
      </c>
      <c r="C336" s="2" t="s">
        <v>565</v>
      </c>
      <c r="D336" s="2" t="s">
        <v>410</v>
      </c>
      <c r="E336" s="2" t="s">
        <v>411</v>
      </c>
    </row>
    <row r="337" spans="1:5" x14ac:dyDescent="0.25">
      <c r="A337" s="2" t="s">
        <v>512</v>
      </c>
      <c r="B337" s="2" t="s">
        <v>225</v>
      </c>
      <c r="C337" s="2" t="s">
        <v>565</v>
      </c>
      <c r="D337" s="2" t="s">
        <v>286</v>
      </c>
      <c r="E337" s="2" t="s">
        <v>366</v>
      </c>
    </row>
    <row r="338" spans="1:5" x14ac:dyDescent="0.25">
      <c r="A338" s="2" t="s">
        <v>512</v>
      </c>
      <c r="B338" s="2" t="s">
        <v>225</v>
      </c>
      <c r="C338" s="2" t="s">
        <v>565</v>
      </c>
      <c r="D338" s="2" t="s">
        <v>290</v>
      </c>
      <c r="E338" s="2" t="s">
        <v>367</v>
      </c>
    </row>
    <row r="339" spans="1:5" x14ac:dyDescent="0.25">
      <c r="A339" s="2" t="s">
        <v>512</v>
      </c>
      <c r="B339" s="2" t="s">
        <v>225</v>
      </c>
      <c r="C339" s="2" t="s">
        <v>565</v>
      </c>
      <c r="D339" s="2" t="s">
        <v>53</v>
      </c>
      <c r="E339" s="2" t="s">
        <v>412</v>
      </c>
    </row>
    <row r="340" spans="1:5" x14ac:dyDescent="0.25">
      <c r="A340" s="2" t="s">
        <v>512</v>
      </c>
      <c r="B340" s="2" t="s">
        <v>225</v>
      </c>
      <c r="C340" s="2" t="s">
        <v>565</v>
      </c>
      <c r="D340" s="2" t="s">
        <v>385</v>
      </c>
      <c r="E340" s="2" t="s">
        <v>412</v>
      </c>
    </row>
    <row r="341" spans="1:5" x14ac:dyDescent="0.25">
      <c r="A341" s="2" t="s">
        <v>512</v>
      </c>
      <c r="B341" s="2" t="s">
        <v>225</v>
      </c>
      <c r="C341" s="2" t="s">
        <v>565</v>
      </c>
      <c r="D341" s="2" t="s">
        <v>404</v>
      </c>
      <c r="E341" s="2" t="s">
        <v>483</v>
      </c>
    </row>
    <row r="342" spans="1:5" x14ac:dyDescent="0.25">
      <c r="A342" s="2" t="s">
        <v>512</v>
      </c>
      <c r="B342" s="2" t="s">
        <v>225</v>
      </c>
      <c r="C342" s="2" t="s">
        <v>565</v>
      </c>
      <c r="D342" s="2" t="s">
        <v>404</v>
      </c>
      <c r="E342" s="2" t="s">
        <v>484</v>
      </c>
    </row>
    <row r="343" spans="1:5" x14ac:dyDescent="0.25">
      <c r="A343" s="2" t="s">
        <v>512</v>
      </c>
      <c r="B343" s="2" t="s">
        <v>199</v>
      </c>
      <c r="C343" s="2" t="s">
        <v>564</v>
      </c>
      <c r="D343" s="2" t="s">
        <v>399</v>
      </c>
      <c r="E343" s="2" t="s">
        <v>408</v>
      </c>
    </row>
    <row r="344" spans="1:5" x14ac:dyDescent="0.25">
      <c r="A344" s="2" t="s">
        <v>512</v>
      </c>
      <c r="B344" s="2" t="s">
        <v>199</v>
      </c>
      <c r="C344" s="2" t="s">
        <v>564</v>
      </c>
      <c r="D344" s="2" t="s">
        <v>399</v>
      </c>
      <c r="E344" s="2" t="s">
        <v>478</v>
      </c>
    </row>
    <row r="345" spans="1:5" x14ac:dyDescent="0.25">
      <c r="A345" s="2" t="s">
        <v>512</v>
      </c>
      <c r="B345" s="2" t="s">
        <v>248</v>
      </c>
      <c r="C345" s="2" t="s">
        <v>566</v>
      </c>
      <c r="D345" s="2" t="s">
        <v>402</v>
      </c>
      <c r="E345" s="2" t="s">
        <v>424</v>
      </c>
    </row>
    <row r="346" spans="1:5" x14ac:dyDescent="0.25">
      <c r="A346" s="2" t="s">
        <v>512</v>
      </c>
      <c r="B346" s="2" t="s">
        <v>248</v>
      </c>
      <c r="C346" s="2" t="s">
        <v>566</v>
      </c>
      <c r="D346" s="2" t="s">
        <v>404</v>
      </c>
      <c r="E346" s="2" t="s">
        <v>470</v>
      </c>
    </row>
    <row r="347" spans="1:5" x14ac:dyDescent="0.25">
      <c r="A347" s="2" t="s">
        <v>512</v>
      </c>
      <c r="B347" s="2" t="s">
        <v>248</v>
      </c>
      <c r="C347" s="2" t="s">
        <v>566</v>
      </c>
      <c r="D347" s="2" t="s">
        <v>404</v>
      </c>
      <c r="E347" s="2" t="s">
        <v>475</v>
      </c>
    </row>
    <row r="348" spans="1:5" x14ac:dyDescent="0.25">
      <c r="A348" s="2" t="s">
        <v>512</v>
      </c>
      <c r="B348" s="2" t="s">
        <v>248</v>
      </c>
      <c r="C348" s="2" t="s">
        <v>566</v>
      </c>
      <c r="D348" s="2" t="s">
        <v>402</v>
      </c>
      <c r="E348" s="2" t="s">
        <v>476</v>
      </c>
    </row>
    <row r="349" spans="1:5" x14ac:dyDescent="0.25">
      <c r="A349" s="2" t="s">
        <v>512</v>
      </c>
      <c r="B349" s="2" t="s">
        <v>244</v>
      </c>
      <c r="C349" s="2" t="s">
        <v>567</v>
      </c>
      <c r="D349" s="2" t="s">
        <v>402</v>
      </c>
      <c r="E349" s="2" t="s">
        <v>424</v>
      </c>
    </row>
    <row r="350" spans="1:5" x14ac:dyDescent="0.25">
      <c r="A350" s="2" t="s">
        <v>512</v>
      </c>
      <c r="B350" s="2" t="s">
        <v>244</v>
      </c>
      <c r="C350" s="2" t="s">
        <v>567</v>
      </c>
      <c r="D350" s="2" t="s">
        <v>399</v>
      </c>
      <c r="E350" s="2" t="s">
        <v>427</v>
      </c>
    </row>
    <row r="351" spans="1:5" x14ac:dyDescent="0.25">
      <c r="A351" s="2" t="s">
        <v>512</v>
      </c>
      <c r="B351" s="2" t="s">
        <v>244</v>
      </c>
      <c r="C351" s="2" t="s">
        <v>567</v>
      </c>
      <c r="D351" s="2" t="s">
        <v>404</v>
      </c>
      <c r="E351" s="2" t="s">
        <v>470</v>
      </c>
    </row>
    <row r="352" spans="1:5" x14ac:dyDescent="0.25">
      <c r="A352" s="2" t="s">
        <v>512</v>
      </c>
      <c r="B352" s="2" t="s">
        <v>244</v>
      </c>
      <c r="C352" s="2" t="s">
        <v>567</v>
      </c>
      <c r="D352" s="2" t="s">
        <v>404</v>
      </c>
      <c r="E352" s="2" t="s">
        <v>475</v>
      </c>
    </row>
    <row r="353" spans="1:5" x14ac:dyDescent="0.25">
      <c r="A353" s="2" t="s">
        <v>512</v>
      </c>
      <c r="B353" s="2" t="s">
        <v>244</v>
      </c>
      <c r="C353" s="2" t="s">
        <v>567</v>
      </c>
      <c r="D353" s="2" t="s">
        <v>399</v>
      </c>
      <c r="E353" s="2" t="s">
        <v>474</v>
      </c>
    </row>
    <row r="354" spans="1:5" x14ac:dyDescent="0.25">
      <c r="A354" s="2" t="s">
        <v>512</v>
      </c>
      <c r="B354" s="2" t="s">
        <v>244</v>
      </c>
      <c r="C354" s="2" t="s">
        <v>567</v>
      </c>
      <c r="D354" s="2" t="s">
        <v>402</v>
      </c>
      <c r="E354" s="2" t="s">
        <v>473</v>
      </c>
    </row>
    <row r="355" spans="1:5" x14ac:dyDescent="0.25">
      <c r="A355" s="2" t="s">
        <v>512</v>
      </c>
      <c r="B355" s="2" t="s">
        <v>181</v>
      </c>
      <c r="C355" s="2" t="s">
        <v>565</v>
      </c>
      <c r="D355" s="2" t="s">
        <v>481</v>
      </c>
      <c r="E355" s="2" t="s">
        <v>482</v>
      </c>
    </row>
    <row r="356" spans="1:5" x14ac:dyDescent="0.25">
      <c r="A356" s="2" t="s">
        <v>512</v>
      </c>
      <c r="B356" s="2" t="s">
        <v>181</v>
      </c>
      <c r="C356" s="2" t="s">
        <v>565</v>
      </c>
      <c r="D356" s="2" t="s">
        <v>479</v>
      </c>
      <c r="E356" s="2" t="s">
        <v>480</v>
      </c>
    </row>
    <row r="357" spans="1:5" x14ac:dyDescent="0.25">
      <c r="A357" s="2" t="s">
        <v>512</v>
      </c>
      <c r="B357" s="2" t="s">
        <v>181</v>
      </c>
      <c r="C357" s="2" t="s">
        <v>565</v>
      </c>
      <c r="D357" s="2" t="s">
        <v>286</v>
      </c>
      <c r="E357" s="2" t="s">
        <v>363</v>
      </c>
    </row>
    <row r="358" spans="1:5" x14ac:dyDescent="0.25">
      <c r="A358" s="2" t="s">
        <v>512</v>
      </c>
      <c r="B358" s="2" t="s">
        <v>181</v>
      </c>
      <c r="C358" s="2" t="s">
        <v>565</v>
      </c>
      <c r="D358" s="2" t="s">
        <v>410</v>
      </c>
      <c r="E358" s="2" t="s">
        <v>440</v>
      </c>
    </row>
    <row r="359" spans="1:5" x14ac:dyDescent="0.25">
      <c r="A359" s="2" t="s">
        <v>512</v>
      </c>
      <c r="B359" s="2" t="s">
        <v>181</v>
      </c>
      <c r="C359" s="2" t="s">
        <v>565</v>
      </c>
      <c r="D359" s="2" t="s">
        <v>53</v>
      </c>
      <c r="E359" s="2" t="s">
        <v>441</v>
      </c>
    </row>
    <row r="360" spans="1:5" x14ac:dyDescent="0.25">
      <c r="A360" s="2" t="s">
        <v>512</v>
      </c>
      <c r="B360" s="2" t="s">
        <v>181</v>
      </c>
      <c r="C360" s="2" t="s">
        <v>565</v>
      </c>
      <c r="D360" s="2" t="s">
        <v>385</v>
      </c>
      <c r="E360" s="2" t="s">
        <v>441</v>
      </c>
    </row>
    <row r="361" spans="1:5" x14ac:dyDescent="0.25">
      <c r="A361" s="2" t="s">
        <v>512</v>
      </c>
      <c r="B361" s="2" t="s">
        <v>181</v>
      </c>
      <c r="C361" s="2" t="s">
        <v>565</v>
      </c>
      <c r="D361" s="2" t="s">
        <v>290</v>
      </c>
      <c r="E361" s="2" t="s">
        <v>364</v>
      </c>
    </row>
    <row r="362" spans="1:5" x14ac:dyDescent="0.25">
      <c r="A362" s="2" t="s">
        <v>512</v>
      </c>
      <c r="B362" s="2" t="s">
        <v>181</v>
      </c>
      <c r="C362" s="2" t="s">
        <v>565</v>
      </c>
      <c r="D362" s="2" t="s">
        <v>286</v>
      </c>
      <c r="E362" s="2" t="s">
        <v>366</v>
      </c>
    </row>
    <row r="363" spans="1:5" x14ac:dyDescent="0.25">
      <c r="A363" s="2" t="s">
        <v>512</v>
      </c>
      <c r="B363" s="2" t="s">
        <v>181</v>
      </c>
      <c r="C363" s="2" t="s">
        <v>565</v>
      </c>
      <c r="D363" s="2" t="s">
        <v>410</v>
      </c>
      <c r="E363" s="2" t="s">
        <v>411</v>
      </c>
    </row>
    <row r="364" spans="1:5" x14ac:dyDescent="0.25">
      <c r="A364" s="2" t="s">
        <v>512</v>
      </c>
      <c r="B364" s="2" t="s">
        <v>181</v>
      </c>
      <c r="C364" s="2" t="s">
        <v>565</v>
      </c>
      <c r="D364" s="2" t="s">
        <v>53</v>
      </c>
      <c r="E364" s="2" t="s">
        <v>412</v>
      </c>
    </row>
    <row r="365" spans="1:5" x14ac:dyDescent="0.25">
      <c r="A365" s="2" t="s">
        <v>512</v>
      </c>
      <c r="B365" s="2" t="s">
        <v>181</v>
      </c>
      <c r="C365" s="2" t="s">
        <v>565</v>
      </c>
      <c r="D365" s="2" t="s">
        <v>385</v>
      </c>
      <c r="E365" s="2" t="s">
        <v>412</v>
      </c>
    </row>
    <row r="366" spans="1:5" x14ac:dyDescent="0.25">
      <c r="A366" s="2" t="s">
        <v>512</v>
      </c>
      <c r="B366" s="2" t="s">
        <v>181</v>
      </c>
      <c r="C366" s="2" t="s">
        <v>565</v>
      </c>
      <c r="D366" s="2" t="s">
        <v>290</v>
      </c>
      <c r="E366" s="2" t="s">
        <v>367</v>
      </c>
    </row>
    <row r="367" spans="1:5" x14ac:dyDescent="0.25">
      <c r="A367" s="2" t="s">
        <v>512</v>
      </c>
      <c r="B367" s="2" t="s">
        <v>181</v>
      </c>
      <c r="C367" s="2" t="s">
        <v>565</v>
      </c>
      <c r="D367" s="2" t="s">
        <v>404</v>
      </c>
      <c r="E367" s="2" t="s">
        <v>483</v>
      </c>
    </row>
    <row r="368" spans="1:5" x14ac:dyDescent="0.25">
      <c r="A368" s="2" t="s">
        <v>512</v>
      </c>
      <c r="B368" s="2" t="s">
        <v>181</v>
      </c>
      <c r="C368" s="2" t="s">
        <v>565</v>
      </c>
      <c r="D368" s="2" t="s">
        <v>404</v>
      </c>
      <c r="E368" s="2" t="s">
        <v>484</v>
      </c>
    </row>
    <row r="369" spans="1:5" hidden="1" x14ac:dyDescent="0.25">
      <c r="A369" s="2" t="s">
        <v>513</v>
      </c>
      <c r="B369" s="2" t="s">
        <v>166</v>
      </c>
      <c r="C369" s="2" t="s">
        <v>517</v>
      </c>
      <c r="D369" s="2" t="s">
        <v>444</v>
      </c>
      <c r="E369" s="2" t="s">
        <v>485</v>
      </c>
    </row>
    <row r="370" spans="1:5" hidden="1" x14ac:dyDescent="0.25">
      <c r="A370" s="2" t="s">
        <v>513</v>
      </c>
      <c r="B370" s="2" t="s">
        <v>166</v>
      </c>
      <c r="C370" s="2" t="s">
        <v>517</v>
      </c>
      <c r="D370" s="2" t="s">
        <v>444</v>
      </c>
      <c r="E370" s="2" t="s">
        <v>486</v>
      </c>
    </row>
    <row r="371" spans="1:5" hidden="1" x14ac:dyDescent="0.25">
      <c r="A371" s="2" t="s">
        <v>513</v>
      </c>
      <c r="B371" s="2" t="s">
        <v>166</v>
      </c>
      <c r="C371" s="2" t="s">
        <v>517</v>
      </c>
      <c r="D371" s="2" t="s">
        <v>444</v>
      </c>
      <c r="E371" s="2" t="s">
        <v>487</v>
      </c>
    </row>
    <row r="372" spans="1:5" hidden="1" x14ac:dyDescent="0.25">
      <c r="A372" s="2" t="s">
        <v>513</v>
      </c>
      <c r="B372" s="2" t="s">
        <v>167</v>
      </c>
      <c r="C372" s="2" t="s">
        <v>516</v>
      </c>
      <c r="D372" s="2" t="s">
        <v>383</v>
      </c>
      <c r="E372" s="2" t="s">
        <v>384</v>
      </c>
    </row>
    <row r="373" spans="1:5" hidden="1" x14ac:dyDescent="0.25">
      <c r="A373" s="2" t="s">
        <v>513</v>
      </c>
      <c r="B373" s="2" t="s">
        <v>59</v>
      </c>
      <c r="C373" s="2" t="s">
        <v>568</v>
      </c>
      <c r="D373" s="2" t="s">
        <v>488</v>
      </c>
      <c r="E373" s="2" t="s">
        <v>489</v>
      </c>
    </row>
    <row r="374" spans="1:5" hidden="1" x14ac:dyDescent="0.25">
      <c r="A374" s="2" t="s">
        <v>511</v>
      </c>
      <c r="B374" s="2" t="s">
        <v>281</v>
      </c>
      <c r="C374" s="2" t="s">
        <v>569</v>
      </c>
      <c r="D374" s="2" t="s">
        <v>385</v>
      </c>
      <c r="E374" s="2" t="s">
        <v>450</v>
      </c>
    </row>
    <row r="375" spans="1:5" hidden="1" x14ac:dyDescent="0.25">
      <c r="A375" s="2" t="s">
        <v>511</v>
      </c>
      <c r="B375" s="2" t="s">
        <v>281</v>
      </c>
      <c r="C375" s="2" t="s">
        <v>569</v>
      </c>
      <c r="D375" s="2" t="s">
        <v>410</v>
      </c>
      <c r="E375" s="2" t="s">
        <v>451</v>
      </c>
    </row>
    <row r="376" spans="1:5" hidden="1" x14ac:dyDescent="0.25">
      <c r="A376" s="2" t="s">
        <v>511</v>
      </c>
      <c r="B376" s="2" t="s">
        <v>281</v>
      </c>
      <c r="C376" s="2" t="s">
        <v>569</v>
      </c>
      <c r="D376" s="2" t="s">
        <v>490</v>
      </c>
      <c r="E376" s="2" t="s">
        <v>491</v>
      </c>
    </row>
    <row r="377" spans="1:5" hidden="1" x14ac:dyDescent="0.25">
      <c r="A377" s="2" t="s">
        <v>511</v>
      </c>
      <c r="B377" s="2" t="s">
        <v>270</v>
      </c>
      <c r="C377" s="2" t="s">
        <v>570</v>
      </c>
      <c r="D377" s="2" t="s">
        <v>286</v>
      </c>
      <c r="E377" s="9" t="s">
        <v>509</v>
      </c>
    </row>
    <row r="378" spans="1:5" hidden="1" x14ac:dyDescent="0.25">
      <c r="A378" s="2" t="s">
        <v>511</v>
      </c>
      <c r="B378" s="2" t="s">
        <v>142</v>
      </c>
      <c r="C378" s="2" t="s">
        <v>571</v>
      </c>
      <c r="D378" s="2" t="s">
        <v>286</v>
      </c>
      <c r="E378" s="2" t="s">
        <v>492</v>
      </c>
    </row>
    <row r="379" spans="1:5" hidden="1" x14ac:dyDescent="0.25">
      <c r="A379" s="2" t="s">
        <v>511</v>
      </c>
      <c r="B379" s="2" t="s">
        <v>142</v>
      </c>
      <c r="C379" s="2" t="s">
        <v>571</v>
      </c>
      <c r="D379" s="2" t="s">
        <v>292</v>
      </c>
      <c r="E379" s="2" t="s">
        <v>493</v>
      </c>
    </row>
    <row r="380" spans="1:5" hidden="1" x14ac:dyDescent="0.25">
      <c r="A380" s="2" t="s">
        <v>511</v>
      </c>
      <c r="B380" s="2" t="s">
        <v>142</v>
      </c>
      <c r="C380" s="2" t="s">
        <v>571</v>
      </c>
      <c r="D380" s="2" t="s">
        <v>292</v>
      </c>
      <c r="E380" s="2" t="s">
        <v>494</v>
      </c>
    </row>
    <row r="381" spans="1:5" hidden="1" x14ac:dyDescent="0.25">
      <c r="A381" s="2" t="s">
        <v>511</v>
      </c>
      <c r="B381" s="2" t="s">
        <v>144</v>
      </c>
      <c r="C381" s="2" t="s">
        <v>572</v>
      </c>
      <c r="D381" s="2" t="s">
        <v>286</v>
      </c>
      <c r="E381" s="2" t="s">
        <v>495</v>
      </c>
    </row>
    <row r="382" spans="1:5" hidden="1" x14ac:dyDescent="0.25">
      <c r="A382" s="2" t="s">
        <v>511</v>
      </c>
      <c r="B382" s="2" t="s">
        <v>144</v>
      </c>
      <c r="C382" s="2" t="s">
        <v>572</v>
      </c>
      <c r="D382" s="2" t="s">
        <v>292</v>
      </c>
      <c r="E382" s="2" t="s">
        <v>496</v>
      </c>
    </row>
    <row r="383" spans="1:5" hidden="1" x14ac:dyDescent="0.25">
      <c r="A383" s="2" t="s">
        <v>511</v>
      </c>
      <c r="B383" s="2" t="s">
        <v>144</v>
      </c>
      <c r="C383" s="2" t="s">
        <v>572</v>
      </c>
      <c r="D383" s="2" t="s">
        <v>292</v>
      </c>
      <c r="E383" s="2" t="s">
        <v>497</v>
      </c>
    </row>
    <row r="384" spans="1:5" hidden="1" x14ac:dyDescent="0.25">
      <c r="A384" s="2" t="s">
        <v>511</v>
      </c>
      <c r="B384" s="2" t="s">
        <v>146</v>
      </c>
      <c r="C384" s="2" t="s">
        <v>573</v>
      </c>
      <c r="D384" s="2" t="s">
        <v>286</v>
      </c>
      <c r="E384" s="2" t="s">
        <v>498</v>
      </c>
    </row>
    <row r="385" spans="1:5" hidden="1" x14ac:dyDescent="0.25">
      <c r="A385" s="2" t="s">
        <v>511</v>
      </c>
      <c r="B385" s="2" t="s">
        <v>146</v>
      </c>
      <c r="C385" s="2" t="s">
        <v>573</v>
      </c>
      <c r="D385" s="2" t="s">
        <v>290</v>
      </c>
      <c r="E385" s="2" t="s">
        <v>499</v>
      </c>
    </row>
    <row r="386" spans="1:5" hidden="1" x14ac:dyDescent="0.25">
      <c r="A386" s="2" t="s">
        <v>511</v>
      </c>
      <c r="B386" s="2" t="s">
        <v>148</v>
      </c>
      <c r="C386" s="2" t="s">
        <v>574</v>
      </c>
      <c r="D386" s="2" t="s">
        <v>286</v>
      </c>
      <c r="E386" s="2" t="s">
        <v>500</v>
      </c>
    </row>
    <row r="387" spans="1:5" hidden="1" x14ac:dyDescent="0.25">
      <c r="A387" s="2" t="s">
        <v>511</v>
      </c>
      <c r="B387" s="2" t="s">
        <v>148</v>
      </c>
      <c r="C387" s="2" t="s">
        <v>574</v>
      </c>
      <c r="D387" s="2" t="s">
        <v>290</v>
      </c>
      <c r="E387" s="2" t="s">
        <v>501</v>
      </c>
    </row>
    <row r="388" spans="1:5" hidden="1" x14ac:dyDescent="0.25">
      <c r="A388" s="2" t="s">
        <v>511</v>
      </c>
      <c r="B388" s="2" t="s">
        <v>150</v>
      </c>
      <c r="C388" s="2" t="s">
        <v>575</v>
      </c>
      <c r="D388" s="2" t="s">
        <v>286</v>
      </c>
      <c r="E388" s="2" t="s">
        <v>502</v>
      </c>
    </row>
    <row r="389" spans="1:5" hidden="1" x14ac:dyDescent="0.25">
      <c r="A389" s="2" t="s">
        <v>511</v>
      </c>
      <c r="B389" s="2" t="s">
        <v>150</v>
      </c>
      <c r="C389" s="2" t="s">
        <v>575</v>
      </c>
      <c r="D389" s="2" t="s">
        <v>290</v>
      </c>
      <c r="E389" s="2" t="s">
        <v>503</v>
      </c>
    </row>
    <row r="390" spans="1:5" hidden="1" x14ac:dyDescent="0.25">
      <c r="A390" s="2" t="s">
        <v>511</v>
      </c>
      <c r="B390" s="2" t="s">
        <v>152</v>
      </c>
      <c r="C390" s="2" t="s">
        <v>576</v>
      </c>
      <c r="D390" s="2" t="s">
        <v>286</v>
      </c>
      <c r="E390" s="2" t="s">
        <v>504</v>
      </c>
    </row>
    <row r="391" spans="1:5" hidden="1" x14ac:dyDescent="0.25">
      <c r="A391" s="2" t="s">
        <v>511</v>
      </c>
      <c r="B391" s="2" t="s">
        <v>152</v>
      </c>
      <c r="C391" s="2" t="s">
        <v>576</v>
      </c>
      <c r="D391" s="2" t="s">
        <v>290</v>
      </c>
      <c r="E391" s="2" t="s">
        <v>505</v>
      </c>
    </row>
    <row r="392" spans="1:5" hidden="1" x14ac:dyDescent="0.25">
      <c r="A392" s="2" t="s">
        <v>511</v>
      </c>
      <c r="B392" s="2" t="s">
        <v>46</v>
      </c>
      <c r="C392" s="2" t="s">
        <v>48</v>
      </c>
      <c r="D392" s="2" t="s">
        <v>49</v>
      </c>
      <c r="E392" s="2" t="s">
        <v>50</v>
      </c>
    </row>
    <row r="393" spans="1:5" hidden="1" x14ac:dyDescent="0.25">
      <c r="A393" s="2" t="s">
        <v>511</v>
      </c>
      <c r="B393" s="2" t="s">
        <v>46</v>
      </c>
      <c r="C393" s="2" t="s">
        <v>48</v>
      </c>
      <c r="D393" s="2" t="s">
        <v>49</v>
      </c>
      <c r="E393" s="2" t="s">
        <v>52</v>
      </c>
    </row>
    <row r="394" spans="1:5" hidden="1" x14ac:dyDescent="0.25">
      <c r="A394" s="2" t="s">
        <v>511</v>
      </c>
      <c r="B394" s="2" t="s">
        <v>45</v>
      </c>
      <c r="C394" s="2" t="s">
        <v>47</v>
      </c>
      <c r="D394" s="2" t="s">
        <v>49</v>
      </c>
      <c r="E394" s="2" t="s">
        <v>50</v>
      </c>
    </row>
    <row r="395" spans="1:5" hidden="1" x14ac:dyDescent="0.25">
      <c r="A395" s="2" t="s">
        <v>511</v>
      </c>
      <c r="B395" s="2" t="s">
        <v>45</v>
      </c>
      <c r="C395" s="2" t="s">
        <v>47</v>
      </c>
      <c r="D395" s="2" t="s">
        <v>49</v>
      </c>
      <c r="E395" s="2" t="s">
        <v>51</v>
      </c>
    </row>
    <row r="396" spans="1:5" hidden="1" x14ac:dyDescent="0.25">
      <c r="A396" s="2" t="s">
        <v>511</v>
      </c>
      <c r="B396" s="2" t="s">
        <v>506</v>
      </c>
      <c r="C396" s="2" t="s">
        <v>523</v>
      </c>
      <c r="D396" s="2" t="s">
        <v>507</v>
      </c>
      <c r="E396" s="2" t="s">
        <v>508</v>
      </c>
    </row>
  </sheetData>
  <autoFilter ref="A1:E396" xr:uid="{84665E38-300D-4A38-BC0F-E72D120ACB28}">
    <filterColumn colId="0">
      <filters>
        <filter val="API"/>
      </filters>
    </filterColumn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953E-7C09-4A3A-9159-86076A7D537B}">
  <dimension ref="B1:M58"/>
  <sheetViews>
    <sheetView topLeftCell="A7" workbookViewId="0">
      <selection activeCell="E58" sqref="E15:E58"/>
    </sheetView>
  </sheetViews>
  <sheetFormatPr defaultRowHeight="15" x14ac:dyDescent="0.25"/>
  <cols>
    <col min="3" max="3" width="10.28515625" bestFit="1" customWidth="1"/>
    <col min="4" max="4" width="38.140625" bestFit="1" customWidth="1"/>
    <col min="5" max="5" width="41.140625" bestFit="1" customWidth="1"/>
    <col min="6" max="6" width="70" bestFit="1" customWidth="1"/>
    <col min="8" max="8" width="9.140625" customWidth="1"/>
    <col min="9" max="9" width="10.7109375" customWidth="1"/>
  </cols>
  <sheetData>
    <row r="1" spans="2:13" x14ac:dyDescent="0.25">
      <c r="G1" t="s">
        <v>17</v>
      </c>
      <c r="H1" t="s">
        <v>19</v>
      </c>
      <c r="I1" t="s">
        <v>18</v>
      </c>
      <c r="J1" t="s">
        <v>20</v>
      </c>
      <c r="K1" t="s">
        <v>21</v>
      </c>
      <c r="L1" t="s">
        <v>22</v>
      </c>
      <c r="M1" t="s">
        <v>23</v>
      </c>
    </row>
    <row r="2" spans="2:13" x14ac:dyDescent="0.25">
      <c r="D2">
        <v>40</v>
      </c>
      <c r="E2" t="s">
        <v>16</v>
      </c>
      <c r="G2">
        <v>1</v>
      </c>
      <c r="H2">
        <v>4</v>
      </c>
      <c r="I2">
        <v>20</v>
      </c>
      <c r="J2">
        <v>1</v>
      </c>
      <c r="K2">
        <f>J2+$I$2</f>
        <v>21</v>
      </c>
      <c r="L2">
        <f t="shared" ref="L2:M2" si="0">K2+$I$2</f>
        <v>41</v>
      </c>
      <c r="M2">
        <f t="shared" si="0"/>
        <v>61</v>
      </c>
    </row>
    <row r="3" spans="2:13" x14ac:dyDescent="0.25">
      <c r="G3">
        <v>2</v>
      </c>
      <c r="H3">
        <v>4</v>
      </c>
      <c r="I3">
        <v>20</v>
      </c>
      <c r="J3">
        <f>M2+I3</f>
        <v>81</v>
      </c>
      <c r="K3">
        <f>J3+$I$3</f>
        <v>101</v>
      </c>
      <c r="L3">
        <f t="shared" ref="L3:M3" si="1">K3+$I$3</f>
        <v>121</v>
      </c>
      <c r="M3">
        <f t="shared" si="1"/>
        <v>141</v>
      </c>
    </row>
    <row r="4" spans="2:13" x14ac:dyDescent="0.25">
      <c r="G4">
        <v>3</v>
      </c>
      <c r="H4">
        <v>4</v>
      </c>
      <c r="I4">
        <v>20</v>
      </c>
      <c r="J4">
        <f t="shared" ref="J4:J12" si="2">M3+I4</f>
        <v>161</v>
      </c>
      <c r="K4">
        <f>J4+$I$3</f>
        <v>181</v>
      </c>
      <c r="L4">
        <f t="shared" ref="K4:M12" si="3">K4+$I$3</f>
        <v>201</v>
      </c>
      <c r="M4">
        <f t="shared" si="3"/>
        <v>221</v>
      </c>
    </row>
    <row r="5" spans="2:13" x14ac:dyDescent="0.25">
      <c r="G5">
        <v>4</v>
      </c>
      <c r="H5">
        <v>4</v>
      </c>
      <c r="I5">
        <v>20</v>
      </c>
      <c r="J5">
        <f t="shared" si="2"/>
        <v>241</v>
      </c>
      <c r="K5">
        <f t="shared" si="3"/>
        <v>261</v>
      </c>
      <c r="L5">
        <f t="shared" si="3"/>
        <v>281</v>
      </c>
      <c r="M5">
        <f t="shared" si="3"/>
        <v>301</v>
      </c>
    </row>
    <row r="6" spans="2:13" x14ac:dyDescent="0.25">
      <c r="G6">
        <v>5</v>
      </c>
      <c r="H6">
        <v>4</v>
      </c>
      <c r="I6">
        <v>20</v>
      </c>
      <c r="J6">
        <f t="shared" si="2"/>
        <v>321</v>
      </c>
      <c r="K6">
        <f t="shared" si="3"/>
        <v>341</v>
      </c>
      <c r="L6">
        <f t="shared" si="3"/>
        <v>361</v>
      </c>
      <c r="M6">
        <f t="shared" si="3"/>
        <v>381</v>
      </c>
    </row>
    <row r="7" spans="2:13" x14ac:dyDescent="0.25">
      <c r="G7">
        <v>6</v>
      </c>
      <c r="H7">
        <v>4</v>
      </c>
      <c r="I7">
        <v>20</v>
      </c>
      <c r="J7">
        <f t="shared" si="2"/>
        <v>401</v>
      </c>
      <c r="K7">
        <f t="shared" si="3"/>
        <v>421</v>
      </c>
      <c r="L7">
        <f t="shared" si="3"/>
        <v>441</v>
      </c>
      <c r="M7">
        <f t="shared" si="3"/>
        <v>461</v>
      </c>
    </row>
    <row r="8" spans="2:13" x14ac:dyDescent="0.25">
      <c r="G8">
        <v>7</v>
      </c>
      <c r="H8">
        <v>4</v>
      </c>
      <c r="I8">
        <v>20</v>
      </c>
      <c r="J8">
        <f t="shared" si="2"/>
        <v>481</v>
      </c>
      <c r="K8">
        <f t="shared" si="3"/>
        <v>501</v>
      </c>
      <c r="L8">
        <f t="shared" si="3"/>
        <v>521</v>
      </c>
      <c r="M8">
        <f t="shared" si="3"/>
        <v>541</v>
      </c>
    </row>
    <row r="9" spans="2:13" x14ac:dyDescent="0.25">
      <c r="G9">
        <v>8</v>
      </c>
      <c r="H9">
        <v>4</v>
      </c>
      <c r="I9">
        <v>20</v>
      </c>
      <c r="J9">
        <f t="shared" si="2"/>
        <v>561</v>
      </c>
      <c r="K9">
        <f t="shared" si="3"/>
        <v>581</v>
      </c>
      <c r="L9">
        <f t="shared" si="3"/>
        <v>601</v>
      </c>
      <c r="M9">
        <f t="shared" si="3"/>
        <v>621</v>
      </c>
    </row>
    <row r="10" spans="2:13" x14ac:dyDescent="0.25">
      <c r="G10">
        <v>9</v>
      </c>
      <c r="H10">
        <v>4</v>
      </c>
      <c r="I10">
        <v>20</v>
      </c>
      <c r="J10">
        <f t="shared" si="2"/>
        <v>641</v>
      </c>
      <c r="K10">
        <f t="shared" si="3"/>
        <v>661</v>
      </c>
      <c r="L10">
        <f t="shared" si="3"/>
        <v>681</v>
      </c>
      <c r="M10">
        <f t="shared" si="3"/>
        <v>701</v>
      </c>
    </row>
    <row r="11" spans="2:13" x14ac:dyDescent="0.25">
      <c r="E11" t="s">
        <v>34</v>
      </c>
      <c r="F11" s="7">
        <v>11</v>
      </c>
      <c r="G11">
        <v>10</v>
      </c>
      <c r="H11">
        <v>4</v>
      </c>
      <c r="I11">
        <v>20</v>
      </c>
      <c r="J11">
        <f t="shared" si="2"/>
        <v>721</v>
      </c>
      <c r="K11">
        <f t="shared" si="3"/>
        <v>741</v>
      </c>
      <c r="L11">
        <f t="shared" si="3"/>
        <v>761</v>
      </c>
      <c r="M11">
        <f t="shared" si="3"/>
        <v>781</v>
      </c>
    </row>
    <row r="12" spans="2:13" x14ac:dyDescent="0.25">
      <c r="E12" t="s">
        <v>35</v>
      </c>
      <c r="F12" s="7">
        <v>15</v>
      </c>
      <c r="G12">
        <v>11</v>
      </c>
      <c r="H12">
        <v>4</v>
      </c>
      <c r="I12">
        <v>20</v>
      </c>
      <c r="J12">
        <f t="shared" si="2"/>
        <v>801</v>
      </c>
      <c r="K12">
        <f t="shared" si="3"/>
        <v>821</v>
      </c>
      <c r="L12">
        <f t="shared" si="3"/>
        <v>841</v>
      </c>
      <c r="M12">
        <f t="shared" si="3"/>
        <v>861</v>
      </c>
    </row>
    <row r="13" spans="2:13" x14ac:dyDescent="0.25">
      <c r="D13" t="s">
        <v>30</v>
      </c>
      <c r="E13" t="s">
        <v>29</v>
      </c>
      <c r="F13" t="s">
        <v>33</v>
      </c>
      <c r="G13" t="str">
        <f>".py %1 %2"""</f>
        <v>.py %1 %2"</v>
      </c>
    </row>
    <row r="14" spans="2:13" x14ac:dyDescent="0.25">
      <c r="B14" s="6" t="s">
        <v>25</v>
      </c>
      <c r="C14" s="6" t="s">
        <v>17</v>
      </c>
      <c r="D14" s="6" t="s">
        <v>27</v>
      </c>
      <c r="E14" s="6" t="s">
        <v>28</v>
      </c>
      <c r="F14" s="6" t="s">
        <v>32</v>
      </c>
    </row>
    <row r="15" spans="2:13" x14ac:dyDescent="0.25">
      <c r="B15">
        <v>1</v>
      </c>
      <c r="C15" t="s">
        <v>1</v>
      </c>
      <c r="D15" t="str">
        <f>$D$13&amp;C15&amp;"_"&amp;B15</f>
        <v>test_account_information_cashier001_1</v>
      </c>
      <c r="E15" t="str">
        <f>$E$13&amp;D15</f>
        <v>run_test_account_information_cashier001_1</v>
      </c>
      <c r="F15" t="str">
        <f>$F$13&amp;E15&amp;$G$13</f>
        <v>start cmd /k "python run_test_account_information_cashier001_1.py %1 %2"</v>
      </c>
    </row>
    <row r="16" spans="2:13" x14ac:dyDescent="0.25">
      <c r="B16">
        <v>2</v>
      </c>
      <c r="C16" t="s">
        <v>1</v>
      </c>
      <c r="D16" t="str">
        <f t="shared" ref="D16:D58" si="4">$D$13&amp;C16&amp;"_"&amp;B16</f>
        <v>test_account_information_cashier001_2</v>
      </c>
      <c r="E16" t="str">
        <f t="shared" ref="E16:E58" si="5">$E$13&amp;D16</f>
        <v>run_test_account_information_cashier001_2</v>
      </c>
      <c r="F16" t="str">
        <f t="shared" ref="F16:F58" si="6">$F$13&amp;E16&amp;$G$13</f>
        <v>start cmd /k "python run_test_account_information_cashier001_2.py %1 %2"</v>
      </c>
    </row>
    <row r="17" spans="2:6" x14ac:dyDescent="0.25">
      <c r="B17">
        <v>3</v>
      </c>
      <c r="C17" t="s">
        <v>1</v>
      </c>
      <c r="D17" t="str">
        <f t="shared" si="4"/>
        <v>test_account_information_cashier001_3</v>
      </c>
      <c r="E17" t="str">
        <f t="shared" si="5"/>
        <v>run_test_account_information_cashier001_3</v>
      </c>
      <c r="F17" t="str">
        <f t="shared" si="6"/>
        <v>start cmd /k "python run_test_account_information_cashier001_3.py %1 %2"</v>
      </c>
    </row>
    <row r="18" spans="2:6" x14ac:dyDescent="0.25">
      <c r="B18">
        <v>4</v>
      </c>
      <c r="C18" t="s">
        <v>1</v>
      </c>
      <c r="D18" t="str">
        <f t="shared" si="4"/>
        <v>test_account_information_cashier001_4</v>
      </c>
      <c r="E18" t="str">
        <f t="shared" si="5"/>
        <v>run_test_account_information_cashier001_4</v>
      </c>
      <c r="F18" t="str">
        <f t="shared" si="6"/>
        <v>start cmd /k "python run_test_account_information_cashier001_4.py %1 %2"</v>
      </c>
    </row>
    <row r="19" spans="2:6" x14ac:dyDescent="0.25">
      <c r="B19">
        <v>5</v>
      </c>
      <c r="C19" t="s">
        <v>2</v>
      </c>
      <c r="D19" t="str">
        <f t="shared" si="4"/>
        <v>test_account_information_cashier002_5</v>
      </c>
      <c r="E19" t="str">
        <f t="shared" si="5"/>
        <v>run_test_account_information_cashier002_5</v>
      </c>
      <c r="F19" t="str">
        <f t="shared" si="6"/>
        <v>start cmd /k "python run_test_account_information_cashier002_5.py %1 %2"</v>
      </c>
    </row>
    <row r="20" spans="2:6" x14ac:dyDescent="0.25">
      <c r="B20">
        <v>6</v>
      </c>
      <c r="C20" t="s">
        <v>2</v>
      </c>
      <c r="D20" t="str">
        <f t="shared" si="4"/>
        <v>test_account_information_cashier002_6</v>
      </c>
      <c r="E20" t="str">
        <f t="shared" si="5"/>
        <v>run_test_account_information_cashier002_6</v>
      </c>
      <c r="F20" t="str">
        <f t="shared" si="6"/>
        <v>start cmd /k "python run_test_account_information_cashier002_6.py %1 %2"</v>
      </c>
    </row>
    <row r="21" spans="2:6" x14ac:dyDescent="0.25">
      <c r="B21">
        <v>7</v>
      </c>
      <c r="C21" t="s">
        <v>2</v>
      </c>
      <c r="D21" t="str">
        <f t="shared" si="4"/>
        <v>test_account_information_cashier002_7</v>
      </c>
      <c r="E21" t="str">
        <f t="shared" si="5"/>
        <v>run_test_account_information_cashier002_7</v>
      </c>
      <c r="F21" t="str">
        <f t="shared" si="6"/>
        <v>start cmd /k "python run_test_account_information_cashier002_7.py %1 %2"</v>
      </c>
    </row>
    <row r="22" spans="2:6" x14ac:dyDescent="0.25">
      <c r="B22">
        <v>8</v>
      </c>
      <c r="C22" t="s">
        <v>2</v>
      </c>
      <c r="D22" t="str">
        <f t="shared" si="4"/>
        <v>test_account_information_cashier002_8</v>
      </c>
      <c r="E22" t="str">
        <f t="shared" si="5"/>
        <v>run_test_account_information_cashier002_8</v>
      </c>
      <c r="F22" t="str">
        <f t="shared" si="6"/>
        <v>start cmd /k "python run_test_account_information_cashier002_8.py %1 %2"</v>
      </c>
    </row>
    <row r="23" spans="2:6" x14ac:dyDescent="0.25">
      <c r="B23">
        <v>9</v>
      </c>
      <c r="C23" t="s">
        <v>3</v>
      </c>
      <c r="D23" t="str">
        <f t="shared" si="4"/>
        <v>test_account_information_cashier003_9</v>
      </c>
      <c r="E23" t="str">
        <f t="shared" si="5"/>
        <v>run_test_account_information_cashier003_9</v>
      </c>
      <c r="F23" t="str">
        <f t="shared" si="6"/>
        <v>start cmd /k "python run_test_account_information_cashier003_9.py %1 %2"</v>
      </c>
    </row>
    <row r="24" spans="2:6" x14ac:dyDescent="0.25">
      <c r="B24">
        <v>10</v>
      </c>
      <c r="C24" t="s">
        <v>3</v>
      </c>
      <c r="D24" t="str">
        <f t="shared" si="4"/>
        <v>test_account_information_cashier003_10</v>
      </c>
      <c r="E24" t="str">
        <f t="shared" si="5"/>
        <v>run_test_account_information_cashier003_10</v>
      </c>
      <c r="F24" t="str">
        <f t="shared" si="6"/>
        <v>start cmd /k "python run_test_account_information_cashier003_10.py %1 %2"</v>
      </c>
    </row>
    <row r="25" spans="2:6" x14ac:dyDescent="0.25">
      <c r="B25">
        <v>11</v>
      </c>
      <c r="C25" t="s">
        <v>3</v>
      </c>
      <c r="D25" t="str">
        <f t="shared" si="4"/>
        <v>test_account_information_cashier003_11</v>
      </c>
      <c r="E25" t="str">
        <f t="shared" si="5"/>
        <v>run_test_account_information_cashier003_11</v>
      </c>
      <c r="F25" t="str">
        <f t="shared" si="6"/>
        <v>start cmd /k "python run_test_account_information_cashier003_11.py %1 %2"</v>
      </c>
    </row>
    <row r="26" spans="2:6" x14ac:dyDescent="0.25">
      <c r="B26">
        <v>12</v>
      </c>
      <c r="C26" t="s">
        <v>3</v>
      </c>
      <c r="D26" t="str">
        <f t="shared" si="4"/>
        <v>test_account_information_cashier003_12</v>
      </c>
      <c r="E26" t="str">
        <f t="shared" si="5"/>
        <v>run_test_account_information_cashier003_12</v>
      </c>
      <c r="F26" t="str">
        <f t="shared" si="6"/>
        <v>start cmd /k "python run_test_account_information_cashier003_12.py %1 %2"</v>
      </c>
    </row>
    <row r="27" spans="2:6" x14ac:dyDescent="0.25">
      <c r="B27">
        <v>13</v>
      </c>
      <c r="C27" t="s">
        <v>4</v>
      </c>
      <c r="D27" t="str">
        <f t="shared" si="4"/>
        <v>test_account_information_cashier004_13</v>
      </c>
      <c r="E27" t="str">
        <f t="shared" si="5"/>
        <v>run_test_account_information_cashier004_13</v>
      </c>
      <c r="F27" t="str">
        <f t="shared" si="6"/>
        <v>start cmd /k "python run_test_account_information_cashier004_13.py %1 %2"</v>
      </c>
    </row>
    <row r="28" spans="2:6" x14ac:dyDescent="0.25">
      <c r="B28">
        <v>14</v>
      </c>
      <c r="C28" t="s">
        <v>4</v>
      </c>
      <c r="D28" t="str">
        <f t="shared" si="4"/>
        <v>test_account_information_cashier004_14</v>
      </c>
      <c r="E28" t="str">
        <f t="shared" si="5"/>
        <v>run_test_account_information_cashier004_14</v>
      </c>
      <c r="F28" t="str">
        <f t="shared" si="6"/>
        <v>start cmd /k "python run_test_account_information_cashier004_14.py %1 %2"</v>
      </c>
    </row>
    <row r="29" spans="2:6" x14ac:dyDescent="0.25">
      <c r="B29">
        <v>15</v>
      </c>
      <c r="C29" t="s">
        <v>4</v>
      </c>
      <c r="D29" t="str">
        <f t="shared" si="4"/>
        <v>test_account_information_cashier004_15</v>
      </c>
      <c r="E29" t="str">
        <f t="shared" si="5"/>
        <v>run_test_account_information_cashier004_15</v>
      </c>
      <c r="F29" t="str">
        <f t="shared" si="6"/>
        <v>start cmd /k "python run_test_account_information_cashier004_15.py %1 %2"</v>
      </c>
    </row>
    <row r="30" spans="2:6" x14ac:dyDescent="0.25">
      <c r="B30">
        <v>16</v>
      </c>
      <c r="C30" t="s">
        <v>4</v>
      </c>
      <c r="D30" t="str">
        <f t="shared" si="4"/>
        <v>test_account_information_cashier004_16</v>
      </c>
      <c r="E30" t="str">
        <f t="shared" si="5"/>
        <v>run_test_account_information_cashier004_16</v>
      </c>
      <c r="F30" t="str">
        <f t="shared" si="6"/>
        <v>start cmd /k "python run_test_account_information_cashier004_16.py %1 %2"</v>
      </c>
    </row>
    <row r="31" spans="2:6" x14ac:dyDescent="0.25">
      <c r="B31">
        <v>17</v>
      </c>
      <c r="C31" t="s">
        <v>5</v>
      </c>
      <c r="D31" t="str">
        <f t="shared" si="4"/>
        <v>test_account_information_cashier005_17</v>
      </c>
      <c r="E31" t="str">
        <f t="shared" si="5"/>
        <v>run_test_account_information_cashier005_17</v>
      </c>
      <c r="F31" t="str">
        <f t="shared" si="6"/>
        <v>start cmd /k "python run_test_account_information_cashier005_17.py %1 %2"</v>
      </c>
    </row>
    <row r="32" spans="2:6" x14ac:dyDescent="0.25">
      <c r="B32">
        <v>18</v>
      </c>
      <c r="C32" t="s">
        <v>5</v>
      </c>
      <c r="D32" t="str">
        <f t="shared" si="4"/>
        <v>test_account_information_cashier005_18</v>
      </c>
      <c r="E32" t="str">
        <f t="shared" si="5"/>
        <v>run_test_account_information_cashier005_18</v>
      </c>
      <c r="F32" t="str">
        <f t="shared" si="6"/>
        <v>start cmd /k "python run_test_account_information_cashier005_18.py %1 %2"</v>
      </c>
    </row>
    <row r="33" spans="2:6" x14ac:dyDescent="0.25">
      <c r="B33">
        <v>19</v>
      </c>
      <c r="C33" t="s">
        <v>5</v>
      </c>
      <c r="D33" t="str">
        <f t="shared" si="4"/>
        <v>test_account_information_cashier005_19</v>
      </c>
      <c r="E33" t="str">
        <f t="shared" si="5"/>
        <v>run_test_account_information_cashier005_19</v>
      </c>
      <c r="F33" t="str">
        <f t="shared" si="6"/>
        <v>start cmd /k "python run_test_account_information_cashier005_19.py %1 %2"</v>
      </c>
    </row>
    <row r="34" spans="2:6" x14ac:dyDescent="0.25">
      <c r="B34">
        <v>20</v>
      </c>
      <c r="C34" t="s">
        <v>5</v>
      </c>
      <c r="D34" t="str">
        <f t="shared" si="4"/>
        <v>test_account_information_cashier005_20</v>
      </c>
      <c r="E34" t="str">
        <f t="shared" si="5"/>
        <v>run_test_account_information_cashier005_20</v>
      </c>
      <c r="F34" t="str">
        <f t="shared" si="6"/>
        <v>start cmd /k "python run_test_account_information_cashier005_20.py %1 %2"</v>
      </c>
    </row>
    <row r="35" spans="2:6" x14ac:dyDescent="0.25">
      <c r="B35">
        <v>21</v>
      </c>
      <c r="C35" t="s">
        <v>6</v>
      </c>
      <c r="D35" t="str">
        <f t="shared" si="4"/>
        <v>test_account_information_cashier006_21</v>
      </c>
      <c r="E35" t="str">
        <f t="shared" si="5"/>
        <v>run_test_account_information_cashier006_21</v>
      </c>
      <c r="F35" t="str">
        <f t="shared" si="6"/>
        <v>start cmd /k "python run_test_account_information_cashier006_21.py %1 %2"</v>
      </c>
    </row>
    <row r="36" spans="2:6" x14ac:dyDescent="0.25">
      <c r="B36">
        <v>22</v>
      </c>
      <c r="C36" t="s">
        <v>6</v>
      </c>
      <c r="D36" t="str">
        <f t="shared" si="4"/>
        <v>test_account_information_cashier006_22</v>
      </c>
      <c r="E36" t="str">
        <f t="shared" si="5"/>
        <v>run_test_account_information_cashier006_22</v>
      </c>
      <c r="F36" t="str">
        <f t="shared" si="6"/>
        <v>start cmd /k "python run_test_account_information_cashier006_22.py %1 %2"</v>
      </c>
    </row>
    <row r="37" spans="2:6" x14ac:dyDescent="0.25">
      <c r="B37">
        <v>23</v>
      </c>
      <c r="C37" t="s">
        <v>6</v>
      </c>
      <c r="D37" t="str">
        <f t="shared" si="4"/>
        <v>test_account_information_cashier006_23</v>
      </c>
      <c r="E37" t="str">
        <f t="shared" si="5"/>
        <v>run_test_account_information_cashier006_23</v>
      </c>
      <c r="F37" t="str">
        <f t="shared" si="6"/>
        <v>start cmd /k "python run_test_account_information_cashier006_23.py %1 %2"</v>
      </c>
    </row>
    <row r="38" spans="2:6" x14ac:dyDescent="0.25">
      <c r="B38">
        <v>24</v>
      </c>
      <c r="C38" t="s">
        <v>6</v>
      </c>
      <c r="D38" t="str">
        <f t="shared" si="4"/>
        <v>test_account_information_cashier006_24</v>
      </c>
      <c r="E38" t="str">
        <f t="shared" si="5"/>
        <v>run_test_account_information_cashier006_24</v>
      </c>
      <c r="F38" t="str">
        <f t="shared" si="6"/>
        <v>start cmd /k "python run_test_account_information_cashier006_24.py %1 %2"</v>
      </c>
    </row>
    <row r="39" spans="2:6" x14ac:dyDescent="0.25">
      <c r="B39">
        <v>25</v>
      </c>
      <c r="C39" t="s">
        <v>7</v>
      </c>
      <c r="D39" t="str">
        <f t="shared" si="4"/>
        <v>test_account_information_cashier007_25</v>
      </c>
      <c r="E39" t="str">
        <f t="shared" si="5"/>
        <v>run_test_account_information_cashier007_25</v>
      </c>
      <c r="F39" t="str">
        <f t="shared" si="6"/>
        <v>start cmd /k "python run_test_account_information_cashier007_25.py %1 %2"</v>
      </c>
    </row>
    <row r="40" spans="2:6" x14ac:dyDescent="0.25">
      <c r="B40">
        <v>26</v>
      </c>
      <c r="C40" t="s">
        <v>7</v>
      </c>
      <c r="D40" t="str">
        <f t="shared" si="4"/>
        <v>test_account_information_cashier007_26</v>
      </c>
      <c r="E40" t="str">
        <f t="shared" si="5"/>
        <v>run_test_account_information_cashier007_26</v>
      </c>
      <c r="F40" t="str">
        <f t="shared" si="6"/>
        <v>start cmd /k "python run_test_account_information_cashier007_26.py %1 %2"</v>
      </c>
    </row>
    <row r="41" spans="2:6" x14ac:dyDescent="0.25">
      <c r="B41">
        <v>27</v>
      </c>
      <c r="C41" t="s">
        <v>7</v>
      </c>
      <c r="D41" t="str">
        <f t="shared" si="4"/>
        <v>test_account_information_cashier007_27</v>
      </c>
      <c r="E41" t="str">
        <f t="shared" si="5"/>
        <v>run_test_account_information_cashier007_27</v>
      </c>
      <c r="F41" t="str">
        <f t="shared" si="6"/>
        <v>start cmd /k "python run_test_account_information_cashier007_27.py %1 %2"</v>
      </c>
    </row>
    <row r="42" spans="2:6" x14ac:dyDescent="0.25">
      <c r="B42">
        <v>28</v>
      </c>
      <c r="C42" t="s">
        <v>7</v>
      </c>
      <c r="D42" t="str">
        <f t="shared" si="4"/>
        <v>test_account_information_cashier007_28</v>
      </c>
      <c r="E42" t="str">
        <f t="shared" si="5"/>
        <v>run_test_account_information_cashier007_28</v>
      </c>
      <c r="F42" t="str">
        <f t="shared" si="6"/>
        <v>start cmd /k "python run_test_account_information_cashier007_28.py %1 %2"</v>
      </c>
    </row>
    <row r="43" spans="2:6" x14ac:dyDescent="0.25">
      <c r="B43">
        <v>29</v>
      </c>
      <c r="C43" t="s">
        <v>8</v>
      </c>
      <c r="D43" t="str">
        <f t="shared" si="4"/>
        <v>test_account_information_cashier008_29</v>
      </c>
      <c r="E43" t="str">
        <f t="shared" si="5"/>
        <v>run_test_account_information_cashier008_29</v>
      </c>
      <c r="F43" t="str">
        <f t="shared" si="6"/>
        <v>start cmd /k "python run_test_account_information_cashier008_29.py %1 %2"</v>
      </c>
    </row>
    <row r="44" spans="2:6" x14ac:dyDescent="0.25">
      <c r="B44">
        <v>30</v>
      </c>
      <c r="C44" t="s">
        <v>8</v>
      </c>
      <c r="D44" t="str">
        <f t="shared" si="4"/>
        <v>test_account_information_cashier008_30</v>
      </c>
      <c r="E44" t="str">
        <f t="shared" si="5"/>
        <v>run_test_account_information_cashier008_30</v>
      </c>
      <c r="F44" t="str">
        <f t="shared" si="6"/>
        <v>start cmd /k "python run_test_account_information_cashier008_30.py %1 %2"</v>
      </c>
    </row>
    <row r="45" spans="2:6" x14ac:dyDescent="0.25">
      <c r="B45">
        <v>31</v>
      </c>
      <c r="C45" t="s">
        <v>8</v>
      </c>
      <c r="D45" t="str">
        <f t="shared" si="4"/>
        <v>test_account_information_cashier008_31</v>
      </c>
      <c r="E45" t="str">
        <f t="shared" si="5"/>
        <v>run_test_account_information_cashier008_31</v>
      </c>
      <c r="F45" t="str">
        <f t="shared" si="6"/>
        <v>start cmd /k "python run_test_account_information_cashier008_31.py %1 %2"</v>
      </c>
    </row>
    <row r="46" spans="2:6" x14ac:dyDescent="0.25">
      <c r="B46">
        <v>32</v>
      </c>
      <c r="C46" t="s">
        <v>8</v>
      </c>
      <c r="D46" t="str">
        <f t="shared" si="4"/>
        <v>test_account_information_cashier008_32</v>
      </c>
      <c r="E46" t="str">
        <f t="shared" si="5"/>
        <v>run_test_account_information_cashier008_32</v>
      </c>
      <c r="F46" t="str">
        <f t="shared" si="6"/>
        <v>start cmd /k "python run_test_account_information_cashier008_32.py %1 %2"</v>
      </c>
    </row>
    <row r="47" spans="2:6" x14ac:dyDescent="0.25">
      <c r="B47">
        <v>33</v>
      </c>
      <c r="C47" t="s">
        <v>9</v>
      </c>
      <c r="D47" t="str">
        <f t="shared" si="4"/>
        <v>test_account_information_cashier009_33</v>
      </c>
      <c r="E47" t="str">
        <f t="shared" si="5"/>
        <v>run_test_account_information_cashier009_33</v>
      </c>
      <c r="F47" t="str">
        <f t="shared" si="6"/>
        <v>start cmd /k "python run_test_account_information_cashier009_33.py %1 %2"</v>
      </c>
    </row>
    <row r="48" spans="2:6" x14ac:dyDescent="0.25">
      <c r="B48">
        <v>34</v>
      </c>
      <c r="C48" t="s">
        <v>9</v>
      </c>
      <c r="D48" t="str">
        <f t="shared" si="4"/>
        <v>test_account_information_cashier009_34</v>
      </c>
      <c r="E48" t="str">
        <f t="shared" si="5"/>
        <v>run_test_account_information_cashier009_34</v>
      </c>
      <c r="F48" t="str">
        <f t="shared" si="6"/>
        <v>start cmd /k "python run_test_account_information_cashier009_34.py %1 %2"</v>
      </c>
    </row>
    <row r="49" spans="2:6" x14ac:dyDescent="0.25">
      <c r="B49">
        <v>35</v>
      </c>
      <c r="C49" t="s">
        <v>9</v>
      </c>
      <c r="D49" t="str">
        <f t="shared" si="4"/>
        <v>test_account_information_cashier009_35</v>
      </c>
      <c r="E49" t="str">
        <f t="shared" si="5"/>
        <v>run_test_account_information_cashier009_35</v>
      </c>
      <c r="F49" t="str">
        <f t="shared" si="6"/>
        <v>start cmd /k "python run_test_account_information_cashier009_35.py %1 %2"</v>
      </c>
    </row>
    <row r="50" spans="2:6" x14ac:dyDescent="0.25">
      <c r="B50">
        <v>36</v>
      </c>
      <c r="C50" t="s">
        <v>9</v>
      </c>
      <c r="D50" t="str">
        <f t="shared" si="4"/>
        <v>test_account_information_cashier009_36</v>
      </c>
      <c r="E50" t="str">
        <f t="shared" si="5"/>
        <v>run_test_account_information_cashier009_36</v>
      </c>
      <c r="F50" t="str">
        <f t="shared" si="6"/>
        <v>start cmd /k "python run_test_account_information_cashier009_36.py %1 %2"</v>
      </c>
    </row>
    <row r="51" spans="2:6" x14ac:dyDescent="0.25">
      <c r="B51">
        <v>37</v>
      </c>
      <c r="C51" t="s">
        <v>10</v>
      </c>
      <c r="D51" t="str">
        <f t="shared" si="4"/>
        <v>test_account_information_cashier997_37</v>
      </c>
      <c r="E51" t="str">
        <f t="shared" si="5"/>
        <v>run_test_account_information_cashier997_37</v>
      </c>
      <c r="F51" t="str">
        <f t="shared" si="6"/>
        <v>start cmd /k "python run_test_account_information_cashier997_37.py %1 %2"</v>
      </c>
    </row>
    <row r="52" spans="2:6" x14ac:dyDescent="0.25">
      <c r="B52">
        <v>38</v>
      </c>
      <c r="C52" t="s">
        <v>10</v>
      </c>
      <c r="D52" t="str">
        <f t="shared" si="4"/>
        <v>test_account_information_cashier997_38</v>
      </c>
      <c r="E52" t="str">
        <f t="shared" si="5"/>
        <v>run_test_account_information_cashier997_38</v>
      </c>
      <c r="F52" t="str">
        <f t="shared" si="6"/>
        <v>start cmd /k "python run_test_account_information_cashier997_38.py %1 %2"</v>
      </c>
    </row>
    <row r="53" spans="2:6" x14ac:dyDescent="0.25">
      <c r="B53">
        <v>39</v>
      </c>
      <c r="C53" t="s">
        <v>10</v>
      </c>
      <c r="D53" t="str">
        <f t="shared" si="4"/>
        <v>test_account_information_cashier997_39</v>
      </c>
      <c r="E53" t="str">
        <f t="shared" si="5"/>
        <v>run_test_account_information_cashier997_39</v>
      </c>
      <c r="F53" t="str">
        <f t="shared" si="6"/>
        <v>start cmd /k "python run_test_account_information_cashier997_39.py %1 %2"</v>
      </c>
    </row>
    <row r="54" spans="2:6" x14ac:dyDescent="0.25">
      <c r="B54">
        <v>40</v>
      </c>
      <c r="C54" t="s">
        <v>10</v>
      </c>
      <c r="D54" t="str">
        <f t="shared" si="4"/>
        <v>test_account_information_cashier997_40</v>
      </c>
      <c r="E54" t="str">
        <f t="shared" si="5"/>
        <v>run_test_account_information_cashier997_40</v>
      </c>
      <c r="F54" t="str">
        <f t="shared" si="6"/>
        <v>start cmd /k "python run_test_account_information_cashier997_40.py %1 %2"</v>
      </c>
    </row>
    <row r="55" spans="2:6" x14ac:dyDescent="0.25">
      <c r="B55">
        <v>41</v>
      </c>
      <c r="C55" t="s">
        <v>11</v>
      </c>
      <c r="D55" t="str">
        <f t="shared" si="4"/>
        <v>test_account_information_cashier999_41</v>
      </c>
      <c r="E55" t="str">
        <f t="shared" si="5"/>
        <v>run_test_account_information_cashier999_41</v>
      </c>
      <c r="F55" t="str">
        <f t="shared" si="6"/>
        <v>start cmd /k "python run_test_account_information_cashier999_41.py %1 %2"</v>
      </c>
    </row>
    <row r="56" spans="2:6" x14ac:dyDescent="0.25">
      <c r="B56">
        <v>42</v>
      </c>
      <c r="C56" t="s">
        <v>11</v>
      </c>
      <c r="D56" t="str">
        <f t="shared" si="4"/>
        <v>test_account_information_cashier999_42</v>
      </c>
      <c r="E56" t="str">
        <f t="shared" si="5"/>
        <v>run_test_account_information_cashier999_42</v>
      </c>
      <c r="F56" t="str">
        <f t="shared" si="6"/>
        <v>start cmd /k "python run_test_account_information_cashier999_42.py %1 %2"</v>
      </c>
    </row>
    <row r="57" spans="2:6" x14ac:dyDescent="0.25">
      <c r="B57">
        <v>43</v>
      </c>
      <c r="C57" t="s">
        <v>11</v>
      </c>
      <c r="D57" t="str">
        <f t="shared" si="4"/>
        <v>test_account_information_cashier999_43</v>
      </c>
      <c r="E57" t="str">
        <f t="shared" si="5"/>
        <v>run_test_account_information_cashier999_43</v>
      </c>
      <c r="F57" t="str">
        <f t="shared" si="6"/>
        <v>start cmd /k "python run_test_account_information_cashier999_43.py %1 %2"</v>
      </c>
    </row>
    <row r="58" spans="2:6" x14ac:dyDescent="0.25">
      <c r="B58">
        <v>44</v>
      </c>
      <c r="C58" t="s">
        <v>11</v>
      </c>
      <c r="D58" t="str">
        <f t="shared" si="4"/>
        <v>test_account_information_cashier999_44</v>
      </c>
      <c r="E58" t="str">
        <f t="shared" si="5"/>
        <v>run_test_account_information_cashier999_44</v>
      </c>
      <c r="F58" t="str">
        <f t="shared" si="6"/>
        <v>start cmd /k "python run_test_account_information_cashier999_44.py %1 %2"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0DAE-54B2-4E39-97B1-B078F8952CD3}">
  <dimension ref="A2:Q56"/>
  <sheetViews>
    <sheetView topLeftCell="A25" workbookViewId="0">
      <selection activeCell="C35" sqref="C35"/>
    </sheetView>
  </sheetViews>
  <sheetFormatPr defaultRowHeight="15" x14ac:dyDescent="0.25"/>
  <cols>
    <col min="2" max="2" width="26.5703125" bestFit="1" customWidth="1"/>
    <col min="3" max="3" width="102" customWidth="1"/>
    <col min="4" max="4" width="10.140625" bestFit="1" customWidth="1"/>
    <col min="5" max="5" width="6.5703125" bestFit="1" customWidth="1"/>
    <col min="6" max="6" width="8.85546875" bestFit="1" customWidth="1"/>
    <col min="7" max="7" width="8.42578125" bestFit="1" customWidth="1"/>
    <col min="8" max="8" width="36" customWidth="1"/>
    <col min="9" max="9" width="12.28515625" bestFit="1" customWidth="1"/>
  </cols>
  <sheetData>
    <row r="2" spans="1:17" x14ac:dyDescent="0.25">
      <c r="D2" t="s">
        <v>670</v>
      </c>
      <c r="E2" t="s">
        <v>672</v>
      </c>
      <c r="F2" t="s">
        <v>674</v>
      </c>
      <c r="G2" t="s">
        <v>676</v>
      </c>
      <c r="H2" t="s">
        <v>677</v>
      </c>
      <c r="J2" t="s">
        <v>754</v>
      </c>
      <c r="K2" t="s">
        <v>755</v>
      </c>
      <c r="L2" t="s">
        <v>756</v>
      </c>
      <c r="M2" t="s">
        <v>757</v>
      </c>
      <c r="N2" t="s">
        <v>758</v>
      </c>
      <c r="O2" t="s">
        <v>759</v>
      </c>
      <c r="P2" t="s">
        <v>761</v>
      </c>
      <c r="Q2" t="s">
        <v>760</v>
      </c>
    </row>
    <row r="3" spans="1:17" x14ac:dyDescent="0.25">
      <c r="A3" s="11" t="s">
        <v>718</v>
      </c>
      <c r="B3" t="s">
        <v>699</v>
      </c>
      <c r="C3" t="s">
        <v>717</v>
      </c>
      <c r="D3" t="s">
        <v>671</v>
      </c>
      <c r="E3" t="s">
        <v>673</v>
      </c>
      <c r="F3" t="s">
        <v>675</v>
      </c>
      <c r="G3" t="s">
        <v>675</v>
      </c>
      <c r="H3" t="s">
        <v>678</v>
      </c>
      <c r="J3" t="str">
        <f>$J$2&amp;B3&amp;$K$2&amp;$L$2&amp;D3&amp;$M$2&amp;E3&amp;$N$2&amp;F3&amp;$O$2&amp;G3&amp;$Q$2</f>
        <v>def bo_write(self, title, value):return self.write_text(title, value, field_type="T", in_tab="Y", in_group="N", in_multi="N")</v>
      </c>
    </row>
    <row r="4" spans="1:17" x14ac:dyDescent="0.25">
      <c r="A4" s="11" t="s">
        <v>718</v>
      </c>
      <c r="B4" t="s">
        <v>706</v>
      </c>
      <c r="C4" t="s">
        <v>719</v>
      </c>
      <c r="D4" t="s">
        <v>671</v>
      </c>
      <c r="E4" t="s">
        <v>675</v>
      </c>
      <c r="F4" t="s">
        <v>675</v>
      </c>
      <c r="G4" t="s">
        <v>675</v>
      </c>
      <c r="H4" t="s">
        <v>679</v>
      </c>
      <c r="J4" t="str">
        <f t="shared" ref="J4:J16" si="0">$J$2&amp;B4&amp;$K$2&amp;$L$2&amp;D4&amp;$M$2&amp;E4&amp;$N$2&amp;F4&amp;$O$2&amp;G4&amp;$Q$2</f>
        <v>def bo_write_single(self, title, value):return self.write_text(title, value, field_type="T", in_tab="N", in_group="N", in_multi="N")</v>
      </c>
    </row>
    <row r="5" spans="1:17" x14ac:dyDescent="0.25">
      <c r="A5" s="11" t="s">
        <v>718</v>
      </c>
      <c r="B5" t="s">
        <v>704</v>
      </c>
      <c r="C5" t="s">
        <v>720</v>
      </c>
      <c r="D5" t="s">
        <v>671</v>
      </c>
      <c r="E5" t="s">
        <v>673</v>
      </c>
      <c r="F5" t="s">
        <v>673</v>
      </c>
      <c r="G5" t="s">
        <v>675</v>
      </c>
      <c r="H5" t="s">
        <v>680</v>
      </c>
      <c r="J5" t="str">
        <f t="shared" si="0"/>
        <v>def bo_write_group(self, title, value):return self.write_text(title, value, field_type="T", in_tab="Y", in_group="Y", in_multi="N")</v>
      </c>
    </row>
    <row r="6" spans="1:17" x14ac:dyDescent="0.25">
      <c r="A6" s="11" t="s">
        <v>718</v>
      </c>
      <c r="B6" t="s">
        <v>707</v>
      </c>
      <c r="C6" t="s">
        <v>721</v>
      </c>
      <c r="D6" t="s">
        <v>671</v>
      </c>
      <c r="E6" t="s">
        <v>675</v>
      </c>
      <c r="F6" t="s">
        <v>673</v>
      </c>
      <c r="G6" t="s">
        <v>675</v>
      </c>
      <c r="H6" t="s">
        <v>681</v>
      </c>
      <c r="J6" t="str">
        <f t="shared" si="0"/>
        <v>def bo_write_group_single(self, title, value):return self.write_text(title, value, field_type="T", in_tab="N", in_group="Y", in_multi="N")</v>
      </c>
    </row>
    <row r="7" spans="1:17" x14ac:dyDescent="0.25">
      <c r="A7" s="11" t="s">
        <v>718</v>
      </c>
      <c r="B7" t="s">
        <v>700</v>
      </c>
      <c r="C7" t="s">
        <v>724</v>
      </c>
      <c r="D7" t="s">
        <v>684</v>
      </c>
      <c r="E7" t="s">
        <v>673</v>
      </c>
      <c r="F7" t="s">
        <v>675</v>
      </c>
      <c r="G7" t="s">
        <v>675</v>
      </c>
      <c r="H7" t="s">
        <v>685</v>
      </c>
      <c r="J7" t="str">
        <f t="shared" si="0"/>
        <v>def bo_write_text(self, title, value):return self.write_text(title, value, field_type="A", in_tab="Y", in_group="N", in_multi="N")</v>
      </c>
    </row>
    <row r="8" spans="1:17" x14ac:dyDescent="0.25">
      <c r="A8" s="11" t="s">
        <v>718</v>
      </c>
      <c r="B8" t="s">
        <v>709</v>
      </c>
      <c r="C8" t="s">
        <v>725</v>
      </c>
      <c r="D8" t="s">
        <v>684</v>
      </c>
      <c r="E8" t="s">
        <v>675</v>
      </c>
      <c r="F8" t="s">
        <v>675</v>
      </c>
      <c r="G8" t="s">
        <v>675</v>
      </c>
      <c r="H8" t="s">
        <v>686</v>
      </c>
      <c r="J8" t="str">
        <f t="shared" si="0"/>
        <v>def bo_write_text_single(self, title, value):return self.write_text(title, value, field_type="A", in_tab="N", in_group="N", in_multi="N")</v>
      </c>
    </row>
    <row r="9" spans="1:17" x14ac:dyDescent="0.25">
      <c r="A9" s="11" t="s">
        <v>718</v>
      </c>
      <c r="B9" t="s">
        <v>710</v>
      </c>
      <c r="C9" t="s">
        <v>726</v>
      </c>
      <c r="D9" t="s">
        <v>684</v>
      </c>
      <c r="E9" t="s">
        <v>673</v>
      </c>
      <c r="F9" t="s">
        <v>673</v>
      </c>
      <c r="G9" t="s">
        <v>675</v>
      </c>
      <c r="H9" t="s">
        <v>687</v>
      </c>
      <c r="J9" t="str">
        <f t="shared" si="0"/>
        <v>def bo_write_text_group(self, title, value):return self.write_text(title, value, field_type="A", in_tab="Y", in_group="Y", in_multi="N")</v>
      </c>
    </row>
    <row r="10" spans="1:17" x14ac:dyDescent="0.25">
      <c r="A10" s="11" t="s">
        <v>718</v>
      </c>
      <c r="B10" t="s">
        <v>712</v>
      </c>
      <c r="C10" t="s">
        <v>727</v>
      </c>
      <c r="D10" t="s">
        <v>684</v>
      </c>
      <c r="E10" t="s">
        <v>675</v>
      </c>
      <c r="F10" t="s">
        <v>673</v>
      </c>
      <c r="G10" t="s">
        <v>675</v>
      </c>
      <c r="H10" t="s">
        <v>688</v>
      </c>
      <c r="J10" t="str">
        <f t="shared" si="0"/>
        <v>def bo_write_text_group_single(self, title, value):return self.write_text(title, value, field_type="A", in_tab="N", in_group="Y", in_multi="N")</v>
      </c>
    </row>
    <row r="11" spans="1:17" x14ac:dyDescent="0.25">
      <c r="A11" s="11" t="s">
        <v>718</v>
      </c>
      <c r="B11" t="s">
        <v>701</v>
      </c>
      <c r="C11" t="s">
        <v>730</v>
      </c>
      <c r="D11" t="s">
        <v>691</v>
      </c>
      <c r="E11" t="s">
        <v>673</v>
      </c>
      <c r="F11" t="s">
        <v>675</v>
      </c>
      <c r="G11" t="s">
        <v>675</v>
      </c>
      <c r="H11" t="s">
        <v>692</v>
      </c>
      <c r="J11" t="str">
        <f t="shared" si="0"/>
        <v>def bo_write_date(self, title, value):return self.write_text(title, value, field_type="D", in_tab="Y", in_group="N", in_multi="N")</v>
      </c>
    </row>
    <row r="12" spans="1:17" x14ac:dyDescent="0.25">
      <c r="A12" s="11" t="s">
        <v>718</v>
      </c>
      <c r="B12" t="s">
        <v>714</v>
      </c>
      <c r="C12" t="s">
        <v>731</v>
      </c>
      <c r="D12" t="s">
        <v>691</v>
      </c>
      <c r="E12" t="s">
        <v>675</v>
      </c>
      <c r="F12" t="s">
        <v>675</v>
      </c>
      <c r="G12" t="s">
        <v>675</v>
      </c>
      <c r="H12" t="s">
        <v>693</v>
      </c>
      <c r="J12" t="str">
        <f t="shared" si="0"/>
        <v>def bo_write_date_single(self, title, value):return self.write_text(title, value, field_type="D", in_tab="N", in_group="N", in_multi="N")</v>
      </c>
    </row>
    <row r="13" spans="1:17" x14ac:dyDescent="0.25">
      <c r="A13" s="11" t="s">
        <v>718</v>
      </c>
      <c r="B13" t="s">
        <v>702</v>
      </c>
      <c r="C13" t="s">
        <v>732</v>
      </c>
      <c r="D13" t="s">
        <v>675</v>
      </c>
      <c r="E13" t="s">
        <v>673</v>
      </c>
      <c r="F13" t="s">
        <v>675</v>
      </c>
      <c r="G13" t="s">
        <v>675</v>
      </c>
      <c r="H13" t="s">
        <v>694</v>
      </c>
      <c r="J13" t="str">
        <f t="shared" si="0"/>
        <v>def bo_write_number(self, title, value):return self.write_text(title, value, field_type="N", in_tab="Y", in_group="N", in_multi="N")</v>
      </c>
    </row>
    <row r="14" spans="1:17" x14ac:dyDescent="0.25">
      <c r="A14" s="11" t="s">
        <v>718</v>
      </c>
      <c r="B14" t="s">
        <v>715</v>
      </c>
      <c r="C14" t="s">
        <v>733</v>
      </c>
      <c r="D14" t="s">
        <v>675</v>
      </c>
      <c r="E14" t="s">
        <v>675</v>
      </c>
      <c r="F14" t="s">
        <v>675</v>
      </c>
      <c r="G14" t="s">
        <v>675</v>
      </c>
      <c r="H14" t="s">
        <v>695</v>
      </c>
      <c r="J14" t="str">
        <f t="shared" si="0"/>
        <v>def bo_write_number_single(self, title, value):return self.write_text(title, value, field_type="N", in_tab="N", in_group="N", in_multi="N")</v>
      </c>
    </row>
    <row r="15" spans="1:17" x14ac:dyDescent="0.25">
      <c r="A15" s="11" t="s">
        <v>718</v>
      </c>
      <c r="B15" t="s">
        <v>703</v>
      </c>
      <c r="C15" t="s">
        <v>734</v>
      </c>
      <c r="D15" t="s">
        <v>696</v>
      </c>
      <c r="E15" t="s">
        <v>673</v>
      </c>
      <c r="F15" t="s">
        <v>675</v>
      </c>
      <c r="G15" t="s">
        <v>675</v>
      </c>
      <c r="H15" t="s">
        <v>697</v>
      </c>
      <c r="J15" t="str">
        <f t="shared" si="0"/>
        <v>def bo_select(self, title, value):return self.write_text(title, value, field_type="S", in_tab="Y", in_group="N", in_multi="N")</v>
      </c>
    </row>
    <row r="16" spans="1:17" x14ac:dyDescent="0.25">
      <c r="A16" s="11" t="s">
        <v>718</v>
      </c>
      <c r="B16" t="s">
        <v>716</v>
      </c>
      <c r="C16" t="s">
        <v>735</v>
      </c>
      <c r="D16" t="s">
        <v>696</v>
      </c>
      <c r="E16" t="s">
        <v>675</v>
      </c>
      <c r="F16" t="s">
        <v>675</v>
      </c>
      <c r="G16" t="s">
        <v>675</v>
      </c>
      <c r="H16" t="s">
        <v>698</v>
      </c>
      <c r="J16" t="str">
        <f t="shared" si="0"/>
        <v>def bo_select_single(self, title, value):return self.write_text(title, value, field_type="S", in_tab="N", in_group="N", in_multi="N")</v>
      </c>
    </row>
    <row r="17" spans="1:10" x14ac:dyDescent="0.25">
      <c r="A17" s="11" t="s">
        <v>718</v>
      </c>
      <c r="B17" t="s">
        <v>705</v>
      </c>
      <c r="C17" t="s">
        <v>722</v>
      </c>
      <c r="D17" t="s">
        <v>671</v>
      </c>
      <c r="E17" t="s">
        <v>673</v>
      </c>
      <c r="F17" t="s">
        <v>675</v>
      </c>
      <c r="G17" t="s">
        <v>673</v>
      </c>
      <c r="H17" t="s">
        <v>682</v>
      </c>
      <c r="J17" t="str">
        <f>$J$2&amp;B17&amp;$K$2&amp;$L$2&amp;D17&amp;$M$2&amp;E17&amp;$N$2&amp;F17&amp;$O$2&amp;G17&amp;$P$2</f>
        <v>def bo_write_multi(self, title, value):return self.write_text(title, value, field_type="T", in_tab="Y", in_group="N", in_multi="Y", collap_name=collap_name)</v>
      </c>
    </row>
    <row r="18" spans="1:10" x14ac:dyDescent="0.25">
      <c r="A18" s="11" t="s">
        <v>718</v>
      </c>
      <c r="B18" t="s">
        <v>708</v>
      </c>
      <c r="C18" t="s">
        <v>723</v>
      </c>
      <c r="D18" t="s">
        <v>671</v>
      </c>
      <c r="E18" t="s">
        <v>675</v>
      </c>
      <c r="F18" t="s">
        <v>675</v>
      </c>
      <c r="G18" t="s">
        <v>673</v>
      </c>
      <c r="H18" t="s">
        <v>683</v>
      </c>
      <c r="J18" t="str">
        <f t="shared" ref="J18:J20" si="1">$J$2&amp;B18&amp;$K$2&amp;$L$2&amp;D18&amp;$M$2&amp;E18&amp;$N$2&amp;F18&amp;$O$2&amp;G18&amp;$P$2</f>
        <v>def bo_write_multi_single(self, title, value):return self.write_text(title, value, field_type="T", in_tab="N", in_group="N", in_multi="Y", collap_name=collap_name)</v>
      </c>
    </row>
    <row r="19" spans="1:10" x14ac:dyDescent="0.25">
      <c r="A19" s="11" t="s">
        <v>718</v>
      </c>
      <c r="B19" t="s">
        <v>711</v>
      </c>
      <c r="C19" t="s">
        <v>728</v>
      </c>
      <c r="D19" t="s">
        <v>684</v>
      </c>
      <c r="E19" t="s">
        <v>673</v>
      </c>
      <c r="F19" t="s">
        <v>675</v>
      </c>
      <c r="G19" t="s">
        <v>673</v>
      </c>
      <c r="H19" t="s">
        <v>689</v>
      </c>
      <c r="J19" t="str">
        <f t="shared" si="1"/>
        <v>def bo_write_text_multi(self, title, value):return self.write_text(title, value, field_type="A", in_tab="Y", in_group="N", in_multi="Y", collap_name=collap_name)</v>
      </c>
    </row>
    <row r="20" spans="1:10" x14ac:dyDescent="0.25">
      <c r="A20" s="11" t="s">
        <v>718</v>
      </c>
      <c r="B20" t="s">
        <v>713</v>
      </c>
      <c r="C20" t="s">
        <v>729</v>
      </c>
      <c r="D20" t="s">
        <v>684</v>
      </c>
      <c r="E20" t="s">
        <v>675</v>
      </c>
      <c r="F20" t="s">
        <v>675</v>
      </c>
      <c r="G20" t="s">
        <v>673</v>
      </c>
      <c r="H20" t="s">
        <v>690</v>
      </c>
      <c r="J20" t="str">
        <f t="shared" si="1"/>
        <v>def bo_write_text_multi_single(self, title, value):return self.write_text(title, value, field_type="A", in_tab="N", in_group="N", in_multi="Y", collap_name=collap_name)</v>
      </c>
    </row>
    <row r="23" spans="1:10" x14ac:dyDescent="0.25">
      <c r="D23" t="s">
        <v>670</v>
      </c>
      <c r="E23" t="s">
        <v>672</v>
      </c>
      <c r="F23" t="s">
        <v>674</v>
      </c>
      <c r="G23" t="s">
        <v>676</v>
      </c>
      <c r="H23" t="s">
        <v>677</v>
      </c>
    </row>
    <row r="24" spans="1:10" x14ac:dyDescent="0.25">
      <c r="A24" s="11" t="s">
        <v>718</v>
      </c>
      <c r="B24" t="s">
        <v>736</v>
      </c>
      <c r="C24" t="s">
        <v>745</v>
      </c>
      <c r="D24" t="s">
        <v>671</v>
      </c>
      <c r="E24" t="s">
        <v>675</v>
      </c>
      <c r="F24" t="s">
        <v>675</v>
      </c>
      <c r="G24" t="s">
        <v>675</v>
      </c>
      <c r="H24" t="s">
        <v>679</v>
      </c>
      <c r="J24" t="str">
        <f>$J$2&amp;B24&amp;$K$2&amp;$L$2&amp;D24&amp;$M$2&amp;E24&amp;$N$2&amp;F24&amp;$O$2&amp;G24&amp;$Q$2</f>
        <v>def fo_write(self, title, value):return self.write_text(title, value, field_type="T", in_tab="N", in_group="N", in_multi="N")</v>
      </c>
    </row>
    <row r="25" spans="1:10" x14ac:dyDescent="0.25">
      <c r="A25" s="11" t="s">
        <v>718</v>
      </c>
      <c r="B25" t="s">
        <v>737</v>
      </c>
      <c r="C25" t="s">
        <v>746</v>
      </c>
      <c r="D25" t="s">
        <v>671</v>
      </c>
      <c r="E25" t="s">
        <v>675</v>
      </c>
      <c r="F25" t="s">
        <v>673</v>
      </c>
      <c r="G25" t="s">
        <v>675</v>
      </c>
      <c r="H25" t="s">
        <v>681</v>
      </c>
      <c r="J25" t="str">
        <f t="shared" ref="J25:J30" si="2">$J$2&amp;B25&amp;$K$2&amp;$L$2&amp;D25&amp;$M$2&amp;E25&amp;$N$2&amp;F25&amp;$O$2&amp;G25&amp;$Q$2</f>
        <v>def fo_write_group(self, title, value):return self.write_text(title, value, field_type="T", in_tab="N", in_group="Y", in_multi="N")</v>
      </c>
    </row>
    <row r="26" spans="1:10" x14ac:dyDescent="0.25">
      <c r="A26" s="11" t="s">
        <v>718</v>
      </c>
      <c r="B26" t="s">
        <v>739</v>
      </c>
      <c r="C26" t="s">
        <v>748</v>
      </c>
      <c r="D26" t="s">
        <v>684</v>
      </c>
      <c r="E26" t="s">
        <v>675</v>
      </c>
      <c r="F26" t="s">
        <v>675</v>
      </c>
      <c r="G26" t="s">
        <v>675</v>
      </c>
      <c r="H26" t="s">
        <v>686</v>
      </c>
      <c r="J26" t="str">
        <f t="shared" si="2"/>
        <v>def fo_write_text(self, title, value):return self.write_text(title, value, field_type="A", in_tab="N", in_group="N", in_multi="N")</v>
      </c>
    </row>
    <row r="27" spans="1:10" x14ac:dyDescent="0.25">
      <c r="A27" s="11" t="s">
        <v>718</v>
      </c>
      <c r="B27" t="s">
        <v>740</v>
      </c>
      <c r="C27" t="s">
        <v>749</v>
      </c>
      <c r="D27" t="s">
        <v>684</v>
      </c>
      <c r="E27" t="s">
        <v>675</v>
      </c>
      <c r="F27" t="s">
        <v>673</v>
      </c>
      <c r="G27" t="s">
        <v>675</v>
      </c>
      <c r="H27" t="s">
        <v>688</v>
      </c>
      <c r="J27" t="str">
        <f t="shared" si="2"/>
        <v>def fo_write_text_group(self, title, value):return self.write_text(title, value, field_type="A", in_tab="N", in_group="Y", in_multi="N")</v>
      </c>
    </row>
    <row r="28" spans="1:10" x14ac:dyDescent="0.25">
      <c r="A28" s="11" t="s">
        <v>718</v>
      </c>
      <c r="B28" t="s">
        <v>742</v>
      </c>
      <c r="C28" t="s">
        <v>751</v>
      </c>
      <c r="D28" t="s">
        <v>691</v>
      </c>
      <c r="E28" t="s">
        <v>675</v>
      </c>
      <c r="F28" t="s">
        <v>675</v>
      </c>
      <c r="G28" t="s">
        <v>675</v>
      </c>
      <c r="H28" t="s">
        <v>693</v>
      </c>
      <c r="J28" t="str">
        <f t="shared" si="2"/>
        <v>def fo_write_date(self, title, value):return self.write_text(title, value, field_type="D", in_tab="N", in_group="N", in_multi="N")</v>
      </c>
    </row>
    <row r="29" spans="1:10" x14ac:dyDescent="0.25">
      <c r="A29" s="11" t="s">
        <v>718</v>
      </c>
      <c r="B29" t="s">
        <v>743</v>
      </c>
      <c r="C29" t="s">
        <v>752</v>
      </c>
      <c r="D29" t="s">
        <v>675</v>
      </c>
      <c r="E29" t="s">
        <v>675</v>
      </c>
      <c r="F29" t="s">
        <v>675</v>
      </c>
      <c r="G29" t="s">
        <v>675</v>
      </c>
      <c r="H29" t="s">
        <v>695</v>
      </c>
      <c r="J29" t="str">
        <f t="shared" si="2"/>
        <v>def fo_write_number(self, title, value):return self.write_text(title, value, field_type="N", in_tab="N", in_group="N", in_multi="N")</v>
      </c>
    </row>
    <row r="30" spans="1:10" x14ac:dyDescent="0.25">
      <c r="A30" s="11" t="s">
        <v>718</v>
      </c>
      <c r="B30" t="s">
        <v>744</v>
      </c>
      <c r="C30" t="s">
        <v>753</v>
      </c>
      <c r="D30" t="s">
        <v>696</v>
      </c>
      <c r="E30" t="s">
        <v>675</v>
      </c>
      <c r="F30" t="s">
        <v>675</v>
      </c>
      <c r="G30" t="s">
        <v>675</v>
      </c>
      <c r="H30" t="s">
        <v>698</v>
      </c>
      <c r="J30" t="str">
        <f t="shared" si="2"/>
        <v>def fo_select(self, title, value):return self.write_text(title, value, field_type="S", in_tab="N", in_group="N", in_multi="N")</v>
      </c>
    </row>
    <row r="31" spans="1:10" x14ac:dyDescent="0.25">
      <c r="A31" s="11" t="s">
        <v>718</v>
      </c>
      <c r="B31" t="s">
        <v>738</v>
      </c>
      <c r="C31" t="s">
        <v>747</v>
      </c>
      <c r="D31" t="s">
        <v>671</v>
      </c>
      <c r="E31" t="s">
        <v>675</v>
      </c>
      <c r="F31" t="s">
        <v>675</v>
      </c>
      <c r="G31" t="s">
        <v>673</v>
      </c>
      <c r="H31" t="s">
        <v>683</v>
      </c>
      <c r="J31" t="str">
        <f>$J$2&amp;B31&amp;$K$2&amp;$L$2&amp;D31&amp;$M$2&amp;E31&amp;$N$2&amp;F31&amp;$O$2&amp;G31&amp;$P$2</f>
        <v>def fo_write_multi(self, title, value):return self.write_text(title, value, field_type="T", in_tab="N", in_group="N", in_multi="Y", collap_name=collap_name)</v>
      </c>
    </row>
    <row r="32" spans="1:10" x14ac:dyDescent="0.25">
      <c r="A32" s="11" t="s">
        <v>718</v>
      </c>
      <c r="B32" t="s">
        <v>741</v>
      </c>
      <c r="C32" t="s">
        <v>750</v>
      </c>
      <c r="D32" t="s">
        <v>684</v>
      </c>
      <c r="E32" t="s">
        <v>675</v>
      </c>
      <c r="F32" t="s">
        <v>675</v>
      </c>
      <c r="G32" t="s">
        <v>673</v>
      </c>
      <c r="H32" t="s">
        <v>690</v>
      </c>
      <c r="J32" t="str">
        <f>$J$2&amp;B32&amp;$K$2&amp;$L$2&amp;D32&amp;$M$2&amp;E32&amp;$N$2&amp;F32&amp;$O$2&amp;G32&amp;$P$2</f>
        <v>def fo_write_text_multi(self, title, value):return self.write_text(title, value, field_type="A", in_tab="N", in_group="N", in_multi="Y", collap_name=collap_name)</v>
      </c>
    </row>
    <row r="35" spans="1:17" x14ac:dyDescent="0.25">
      <c r="D35" t="s">
        <v>670</v>
      </c>
      <c r="E35" t="s">
        <v>672</v>
      </c>
      <c r="F35" t="s">
        <v>674</v>
      </c>
      <c r="G35" t="s">
        <v>676</v>
      </c>
      <c r="H35" t="s">
        <v>762</v>
      </c>
      <c r="J35" t="s">
        <v>754</v>
      </c>
      <c r="K35" t="s">
        <v>789</v>
      </c>
      <c r="L35" t="s">
        <v>790</v>
      </c>
      <c r="M35" t="s">
        <v>757</v>
      </c>
      <c r="N35" t="s">
        <v>758</v>
      </c>
      <c r="O35" t="s">
        <v>759</v>
      </c>
      <c r="P35" t="s">
        <v>761</v>
      </c>
      <c r="Q35" t="s">
        <v>760</v>
      </c>
    </row>
    <row r="36" spans="1:17" x14ac:dyDescent="0.25">
      <c r="A36" s="11" t="s">
        <v>718</v>
      </c>
      <c r="B36" t="s">
        <v>777</v>
      </c>
      <c r="C36" t="s">
        <v>791</v>
      </c>
      <c r="D36" t="s">
        <v>763</v>
      </c>
      <c r="E36" t="s">
        <v>673</v>
      </c>
      <c r="F36" t="s">
        <v>675</v>
      </c>
      <c r="G36" t="s">
        <v>675</v>
      </c>
      <c r="H36" t="s">
        <v>764</v>
      </c>
      <c r="J36" t="str">
        <f>$J$35&amp;B36&amp;$K$35&amp;$L$35&amp;D36&amp;$M$35&amp;E36&amp;$N$35&amp;F36&amp;$O$35&amp;G36&amp;$Q$35</f>
        <v>def bo_get_value(self, title):return self.get_text(title, field_type="I", in_tab="Y", in_group="N", in_multi="N")</v>
      </c>
    </row>
    <row r="37" spans="1:17" x14ac:dyDescent="0.25">
      <c r="A37" s="11" t="s">
        <v>718</v>
      </c>
      <c r="B37" t="s">
        <v>778</v>
      </c>
      <c r="C37" t="s">
        <v>792</v>
      </c>
      <c r="D37" t="s">
        <v>763</v>
      </c>
      <c r="E37" t="s">
        <v>675</v>
      </c>
      <c r="F37" t="s">
        <v>675</v>
      </c>
      <c r="G37" t="s">
        <v>675</v>
      </c>
      <c r="H37" t="s">
        <v>765</v>
      </c>
      <c r="J37" t="str">
        <f t="shared" ref="J37:J47" si="3">$J$35&amp;B37&amp;$K$35&amp;$L$35&amp;D37&amp;$M$35&amp;E37&amp;$N$35&amp;F37&amp;$O$35&amp;G37&amp;$Q$35</f>
        <v>def bo_get_value_single(self, title):return self.get_text(title, field_type="I", in_tab="N", in_group="N", in_multi="N")</v>
      </c>
    </row>
    <row r="38" spans="1:17" x14ac:dyDescent="0.25">
      <c r="A38" s="11" t="s">
        <v>718</v>
      </c>
      <c r="B38" t="s">
        <v>779</v>
      </c>
      <c r="C38" t="s">
        <v>793</v>
      </c>
      <c r="D38" t="s">
        <v>763</v>
      </c>
      <c r="E38" t="s">
        <v>673</v>
      </c>
      <c r="F38" t="s">
        <v>673</v>
      </c>
      <c r="G38" t="s">
        <v>675</v>
      </c>
      <c r="H38" t="s">
        <v>766</v>
      </c>
      <c r="J38" t="str">
        <f t="shared" si="3"/>
        <v>def bo_get_value_group(self, title):return self.get_text(title, field_type="I", in_tab="Y", in_group="Y", in_multi="N")</v>
      </c>
    </row>
    <row r="39" spans="1:17" x14ac:dyDescent="0.25">
      <c r="A39" s="11" t="s">
        <v>718</v>
      </c>
      <c r="B39" t="s">
        <v>780</v>
      </c>
      <c r="C39" t="s">
        <v>794</v>
      </c>
      <c r="D39" t="s">
        <v>763</v>
      </c>
      <c r="E39" t="s">
        <v>675</v>
      </c>
      <c r="F39" t="s">
        <v>673</v>
      </c>
      <c r="G39" t="s">
        <v>675</v>
      </c>
      <c r="H39" t="s">
        <v>767</v>
      </c>
      <c r="J39" t="str">
        <f t="shared" si="3"/>
        <v>def bo_get_value_group_single(self, title):return self.get_text(title, field_type="I", in_tab="N", in_group="Y", in_multi="N")</v>
      </c>
    </row>
    <row r="40" spans="1:17" x14ac:dyDescent="0.25">
      <c r="A40" s="11" t="s">
        <v>718</v>
      </c>
      <c r="B40" t="s">
        <v>781</v>
      </c>
      <c r="C40" t="s">
        <v>795</v>
      </c>
      <c r="D40" t="s">
        <v>696</v>
      </c>
      <c r="E40" t="s">
        <v>673</v>
      </c>
      <c r="F40" t="s">
        <v>675</v>
      </c>
      <c r="G40" t="s">
        <v>675</v>
      </c>
      <c r="H40" t="s">
        <v>768</v>
      </c>
      <c r="J40" t="str">
        <f t="shared" si="3"/>
        <v>def bo_get_select(self, title):return self.get_text(title, field_type="S", in_tab="Y", in_group="N", in_multi="N")</v>
      </c>
    </row>
    <row r="41" spans="1:17" x14ac:dyDescent="0.25">
      <c r="A41" s="11" t="s">
        <v>718</v>
      </c>
      <c r="B41" t="s">
        <v>782</v>
      </c>
      <c r="C41" t="s">
        <v>796</v>
      </c>
      <c r="D41" t="s">
        <v>696</v>
      </c>
      <c r="E41" t="s">
        <v>675</v>
      </c>
      <c r="F41" t="s">
        <v>675</v>
      </c>
      <c r="G41" t="s">
        <v>675</v>
      </c>
      <c r="H41" t="s">
        <v>769</v>
      </c>
      <c r="J41" t="str">
        <f t="shared" si="3"/>
        <v>def bo_get_select_single(self, title):return self.get_text(title, field_type="S", in_tab="N", in_group="N", in_multi="N")</v>
      </c>
    </row>
    <row r="42" spans="1:17" x14ac:dyDescent="0.25">
      <c r="A42" s="11" t="s">
        <v>718</v>
      </c>
      <c r="B42" s="12" t="s">
        <v>783</v>
      </c>
      <c r="C42" t="s">
        <v>797</v>
      </c>
      <c r="D42" t="s">
        <v>696</v>
      </c>
      <c r="E42" t="s">
        <v>673</v>
      </c>
      <c r="F42" t="s">
        <v>673</v>
      </c>
      <c r="G42" t="s">
        <v>675</v>
      </c>
      <c r="H42" t="s">
        <v>770</v>
      </c>
      <c r="I42" t="s">
        <v>771</v>
      </c>
      <c r="J42" t="str">
        <f t="shared" si="3"/>
        <v>def bo_get_select_group(self, title):return self.get_text(title, field_type="S", in_tab="Y", in_group="Y", in_multi="N")</v>
      </c>
    </row>
    <row r="43" spans="1:17" x14ac:dyDescent="0.25">
      <c r="A43" s="11" t="s">
        <v>718</v>
      </c>
      <c r="B43" s="12" t="s">
        <v>784</v>
      </c>
      <c r="C43" t="s">
        <v>798</v>
      </c>
      <c r="D43" t="s">
        <v>696</v>
      </c>
      <c r="E43" t="s">
        <v>675</v>
      </c>
      <c r="F43" t="s">
        <v>673</v>
      </c>
      <c r="G43" t="s">
        <v>675</v>
      </c>
      <c r="H43" t="s">
        <v>772</v>
      </c>
      <c r="I43" t="s">
        <v>771</v>
      </c>
      <c r="J43" t="str">
        <f t="shared" si="3"/>
        <v>def bo_get_select_group_single(self, title):return self.get_text(title, field_type="S", in_tab="N", in_group="Y", in_multi="N")</v>
      </c>
    </row>
    <row r="44" spans="1:17" x14ac:dyDescent="0.25">
      <c r="A44" s="11" t="s">
        <v>718</v>
      </c>
      <c r="B44" t="s">
        <v>785</v>
      </c>
      <c r="C44" t="s">
        <v>799</v>
      </c>
      <c r="D44" t="s">
        <v>684</v>
      </c>
      <c r="E44" t="s">
        <v>673</v>
      </c>
      <c r="F44" t="s">
        <v>675</v>
      </c>
      <c r="G44" t="s">
        <v>675</v>
      </c>
      <c r="H44" t="s">
        <v>773</v>
      </c>
      <c r="J44" t="str">
        <f t="shared" si="3"/>
        <v>def bo_get_text(self, title):return self.get_text(title, field_type="A", in_tab="Y", in_group="N", in_multi="N")</v>
      </c>
    </row>
    <row r="45" spans="1:17" x14ac:dyDescent="0.25">
      <c r="A45" s="11" t="s">
        <v>718</v>
      </c>
      <c r="B45" t="s">
        <v>786</v>
      </c>
      <c r="C45" t="s">
        <v>800</v>
      </c>
      <c r="D45" t="s">
        <v>684</v>
      </c>
      <c r="E45" t="s">
        <v>675</v>
      </c>
      <c r="F45" t="s">
        <v>675</v>
      </c>
      <c r="G45" t="s">
        <v>675</v>
      </c>
      <c r="H45" t="s">
        <v>774</v>
      </c>
      <c r="J45" t="str">
        <f t="shared" si="3"/>
        <v>def bo_get_text_single(self, title):return self.get_text(title, field_type="A", in_tab="N", in_group="N", in_multi="N")</v>
      </c>
    </row>
    <row r="46" spans="1:17" x14ac:dyDescent="0.25">
      <c r="A46" s="11" t="s">
        <v>718</v>
      </c>
      <c r="B46" t="s">
        <v>787</v>
      </c>
      <c r="C46" t="s">
        <v>801</v>
      </c>
      <c r="D46" t="s">
        <v>684</v>
      </c>
      <c r="E46" t="s">
        <v>673</v>
      </c>
      <c r="F46" t="s">
        <v>673</v>
      </c>
      <c r="G46" t="s">
        <v>675</v>
      </c>
      <c r="H46" t="s">
        <v>775</v>
      </c>
      <c r="J46" t="str">
        <f t="shared" si="3"/>
        <v>def bo_get_text_group(self, title):return self.get_text(title, field_type="A", in_tab="Y", in_group="Y", in_multi="N")</v>
      </c>
    </row>
    <row r="47" spans="1:17" x14ac:dyDescent="0.25">
      <c r="A47" s="11" t="s">
        <v>718</v>
      </c>
      <c r="B47" t="s">
        <v>788</v>
      </c>
      <c r="C47" t="s">
        <v>802</v>
      </c>
      <c r="D47" t="s">
        <v>684</v>
      </c>
      <c r="E47" t="s">
        <v>675</v>
      </c>
      <c r="F47" t="s">
        <v>673</v>
      </c>
      <c r="G47" t="s">
        <v>675</v>
      </c>
      <c r="H47" t="s">
        <v>776</v>
      </c>
      <c r="J47" t="str">
        <f t="shared" si="3"/>
        <v>def bo_get_text_group_single(self, title):return self.get_text(title, field_type="A", in_tab="N", in_group="Y", in_multi="N")</v>
      </c>
    </row>
    <row r="50" spans="1:10" x14ac:dyDescent="0.25">
      <c r="D50" t="s">
        <v>670</v>
      </c>
      <c r="E50" t="s">
        <v>672</v>
      </c>
      <c r="F50" t="s">
        <v>674</v>
      </c>
      <c r="G50" t="s">
        <v>676</v>
      </c>
      <c r="H50" t="s">
        <v>762</v>
      </c>
      <c r="J50" t="s">
        <v>754</v>
      </c>
    </row>
    <row r="51" spans="1:10" x14ac:dyDescent="0.25">
      <c r="A51" s="11" t="s">
        <v>718</v>
      </c>
      <c r="B51" t="s">
        <v>803</v>
      </c>
      <c r="C51" t="s">
        <v>809</v>
      </c>
      <c r="D51" t="s">
        <v>763</v>
      </c>
      <c r="E51" t="s">
        <v>675</v>
      </c>
      <c r="F51" t="s">
        <v>675</v>
      </c>
      <c r="G51" t="s">
        <v>675</v>
      </c>
      <c r="H51" t="s">
        <v>765</v>
      </c>
      <c r="J51" t="str">
        <f t="shared" ref="J51:J56" si="4">$J$35&amp;B51&amp;$K$35&amp;$L$35&amp;D51&amp;$M$35&amp;E51&amp;$N$35&amp;F51&amp;$O$35&amp;G51&amp;$Q$35</f>
        <v>def fo_get_value(self, title):return self.get_text(title, field_type="I", in_tab="N", in_group="N", in_multi="N")</v>
      </c>
    </row>
    <row r="52" spans="1:10" x14ac:dyDescent="0.25">
      <c r="A52" s="11" t="s">
        <v>718</v>
      </c>
      <c r="B52" t="s">
        <v>804</v>
      </c>
      <c r="C52" t="s">
        <v>810</v>
      </c>
      <c r="D52" t="s">
        <v>763</v>
      </c>
      <c r="E52" t="s">
        <v>675</v>
      </c>
      <c r="F52" t="s">
        <v>673</v>
      </c>
      <c r="G52" t="s">
        <v>675</v>
      </c>
      <c r="H52" t="s">
        <v>767</v>
      </c>
      <c r="J52" t="str">
        <f t="shared" si="4"/>
        <v>def fo_get_value_group(self, title):return self.get_text(title, field_type="I", in_tab="N", in_group="Y", in_multi="N")</v>
      </c>
    </row>
    <row r="53" spans="1:10" x14ac:dyDescent="0.25">
      <c r="A53" s="11" t="s">
        <v>718</v>
      </c>
      <c r="B53" t="s">
        <v>805</v>
      </c>
      <c r="C53" t="s">
        <v>811</v>
      </c>
      <c r="D53" t="s">
        <v>696</v>
      </c>
      <c r="E53" t="s">
        <v>675</v>
      </c>
      <c r="F53" t="s">
        <v>675</v>
      </c>
      <c r="G53" t="s">
        <v>675</v>
      </c>
      <c r="H53" t="s">
        <v>769</v>
      </c>
      <c r="J53" t="str">
        <f t="shared" si="4"/>
        <v>def fo_get_select(self, title):return self.get_text(title, field_type="S", in_tab="N", in_group="N", in_multi="N")</v>
      </c>
    </row>
    <row r="54" spans="1:10" x14ac:dyDescent="0.25">
      <c r="A54" s="11" t="s">
        <v>718</v>
      </c>
      <c r="B54" s="12" t="s">
        <v>806</v>
      </c>
      <c r="C54" t="s">
        <v>812</v>
      </c>
      <c r="D54" t="s">
        <v>696</v>
      </c>
      <c r="E54" t="s">
        <v>675</v>
      </c>
      <c r="F54" t="s">
        <v>673</v>
      </c>
      <c r="G54" t="s">
        <v>675</v>
      </c>
      <c r="H54" t="s">
        <v>772</v>
      </c>
      <c r="I54" t="s">
        <v>771</v>
      </c>
      <c r="J54" t="str">
        <f t="shared" si="4"/>
        <v>def fo_get_select_group(self, title):return self.get_text(title, field_type="S", in_tab="N", in_group="Y", in_multi="N")</v>
      </c>
    </row>
    <row r="55" spans="1:10" x14ac:dyDescent="0.25">
      <c r="A55" s="11" t="s">
        <v>718</v>
      </c>
      <c r="B55" t="s">
        <v>807</v>
      </c>
      <c r="C55" t="s">
        <v>813</v>
      </c>
      <c r="D55" t="s">
        <v>684</v>
      </c>
      <c r="E55" t="s">
        <v>675</v>
      </c>
      <c r="F55" t="s">
        <v>675</v>
      </c>
      <c r="G55" t="s">
        <v>675</v>
      </c>
      <c r="H55" t="s">
        <v>774</v>
      </c>
      <c r="J55" t="str">
        <f t="shared" si="4"/>
        <v>def fo_get_text(self, title):return self.get_text(title, field_type="A", in_tab="N", in_group="N", in_multi="N")</v>
      </c>
    </row>
    <row r="56" spans="1:10" x14ac:dyDescent="0.25">
      <c r="A56" s="11" t="s">
        <v>718</v>
      </c>
      <c r="B56" t="s">
        <v>808</v>
      </c>
      <c r="C56" t="s">
        <v>814</v>
      </c>
      <c r="D56" t="s">
        <v>684</v>
      </c>
      <c r="E56" t="s">
        <v>675</v>
      </c>
      <c r="F56" t="s">
        <v>673</v>
      </c>
      <c r="G56" t="s">
        <v>675</v>
      </c>
      <c r="H56" t="s">
        <v>776</v>
      </c>
      <c r="J56" t="str">
        <f t="shared" si="4"/>
        <v>def fo_get_text_group(self, title):return self.get_text(title, field_type="A", in_tab="N", in_group="Y", in_multi="N")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URL</vt:lpstr>
      <vt:lpstr>ListUser</vt:lpstr>
      <vt:lpstr>ListDataTest</vt:lpstr>
      <vt:lpstr>ListTransFO</vt:lpstr>
      <vt:lpstr>ListTransBO</vt:lpstr>
      <vt:lpstr>Sheet2</vt:lpstr>
      <vt:lpstr>ListTransAPI</vt:lpstr>
      <vt:lpstr>ListTrans</vt:lpstr>
      <vt:lpstr>Sheet4</vt:lpstr>
      <vt:lpstr>RawData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Nhi Doan</cp:lastModifiedBy>
  <dcterms:created xsi:type="dcterms:W3CDTF">2024-09-19T09:38:24Z</dcterms:created>
  <dcterms:modified xsi:type="dcterms:W3CDTF">2024-10-31T04:48:33Z</dcterms:modified>
</cp:coreProperties>
</file>